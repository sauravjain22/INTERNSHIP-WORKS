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4F4EA13-8982-4D6F-B9EF-77DFB63B8961}" xr6:coauthVersionLast="47" xr6:coauthVersionMax="47" xr10:uidLastSave="{00000000-0000-0000-0000-000000000000}"/>
  <bookViews>
    <workbookView xWindow="-108" yWindow="-108" windowWidth="23256" windowHeight="13896" activeTab="4" xr2:uid="{00000000-000D-0000-FFFF-FFFF00000000}"/>
  </bookViews>
  <sheets>
    <sheet name="README" sheetId="1" r:id="rId1"/>
    <sheet name="Social_Media_Posts" sheetId="2" r:id="rId2"/>
    <sheet name="Data_Dictionary" sheetId="3" r:id="rId3"/>
    <sheet name="Analysis_Prompts" sheetId="4" r:id="rId4"/>
    <sheet name="Analysis" sheetId="6" r:id="rId5"/>
    <sheet name="Resources" sheetId="5" r:id="rId6"/>
  </sheets>
  <definedNames>
    <definedName name="_xlnm._FilterDatabase" localSheetId="4" hidden="1">Analysis!$A$2:$A$13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3" i="6" l="1"/>
  <c r="B114" i="6"/>
  <c r="B115" i="6"/>
  <c r="B116" i="6"/>
  <c r="B117" i="6"/>
  <c r="B118" i="6"/>
  <c r="B112" i="6"/>
  <c r="B102" i="6"/>
  <c r="B103" i="6"/>
  <c r="B104" i="6"/>
  <c r="B105" i="6"/>
  <c r="B95" i="6"/>
  <c r="B96" i="6"/>
  <c r="B97" i="6"/>
  <c r="B98" i="6"/>
  <c r="B99" i="6"/>
  <c r="B100" i="6"/>
  <c r="B101" i="6"/>
  <c r="B88" i="6"/>
  <c r="B87" i="6"/>
  <c r="B86" i="6"/>
  <c r="B85" i="6"/>
  <c r="B78" i="6"/>
  <c r="B79" i="6"/>
  <c r="B80" i="6"/>
  <c r="B77" i="6"/>
  <c r="AA20" i="2"/>
  <c r="B41" i="6"/>
  <c r="B42" i="6"/>
  <c r="B43" i="6"/>
  <c r="B44" i="6"/>
  <c r="B45" i="6"/>
  <c r="B46" i="6"/>
  <c r="B47" i="6"/>
  <c r="B48" i="6"/>
  <c r="B49" i="6"/>
  <c r="B50" i="6"/>
  <c r="B40" i="6"/>
  <c r="E25" i="6"/>
  <c r="E26" i="6"/>
  <c r="E27" i="6"/>
  <c r="E28" i="6"/>
  <c r="E29" i="6"/>
  <c r="E30" i="6"/>
  <c r="E31" i="6"/>
  <c r="E32" i="6"/>
  <c r="E33" i="6"/>
  <c r="E34" i="6"/>
  <c r="E24" i="6"/>
  <c r="D24" i="6"/>
  <c r="D25" i="6"/>
  <c r="D26" i="6"/>
  <c r="D27" i="6"/>
  <c r="D28" i="6"/>
  <c r="D29" i="6"/>
  <c r="D30" i="6"/>
  <c r="D31" i="6"/>
  <c r="D32" i="6"/>
  <c r="D33" i="6"/>
  <c r="D34" i="6"/>
  <c r="C25" i="6"/>
  <c r="C26" i="6"/>
  <c r="C27" i="6"/>
  <c r="C28" i="6"/>
  <c r="C29" i="6"/>
  <c r="C30" i="6"/>
  <c r="C31" i="6"/>
  <c r="C32" i="6"/>
  <c r="C33" i="6"/>
  <c r="C34" i="6"/>
  <c r="C24" i="6"/>
  <c r="B25" i="6"/>
  <c r="B26" i="6"/>
  <c r="B27" i="6"/>
  <c r="B28" i="6"/>
  <c r="B29" i="6"/>
  <c r="B30" i="6"/>
  <c r="B31" i="6"/>
  <c r="B32" i="6"/>
  <c r="B33" i="6"/>
  <c r="B34" i="6"/>
  <c r="B24" i="6"/>
  <c r="B4" i="6"/>
  <c r="B5" i="6"/>
  <c r="B6" i="6"/>
  <c r="B7" i="6"/>
  <c r="B8" i="6"/>
  <c r="B9" i="6"/>
  <c r="B10" i="6"/>
  <c r="B11" i="6"/>
  <c r="B12" i="6"/>
  <c r="B13" i="6"/>
  <c r="B3" i="6"/>
  <c r="U48" i="2"/>
  <c r="S48" i="2"/>
  <c r="T48" i="2" s="1"/>
  <c r="U11" i="2"/>
  <c r="S11" i="2"/>
  <c r="T11" i="2" s="1"/>
  <c r="U41" i="2"/>
  <c r="S41" i="2"/>
  <c r="T41" i="2" s="1"/>
  <c r="U5" i="2"/>
  <c r="S5" i="2"/>
  <c r="T5" i="2" s="1"/>
  <c r="U31" i="2"/>
  <c r="S31" i="2"/>
  <c r="T31" i="2" s="1"/>
  <c r="U9" i="2"/>
  <c r="S9" i="2"/>
  <c r="T9" i="2" s="1"/>
  <c r="U34" i="2"/>
  <c r="S34" i="2"/>
  <c r="T34" i="2" s="1"/>
  <c r="U18" i="2"/>
  <c r="S18" i="2"/>
  <c r="T18" i="2" s="1"/>
  <c r="U30" i="2"/>
  <c r="S30" i="2"/>
  <c r="T30" i="2" s="1"/>
  <c r="U42" i="2"/>
  <c r="S42" i="2"/>
  <c r="T42" i="2" s="1"/>
  <c r="U6" i="2"/>
  <c r="S6" i="2"/>
  <c r="T6" i="2" s="1"/>
  <c r="U35" i="2"/>
  <c r="S35" i="2"/>
  <c r="T35" i="2" s="1"/>
  <c r="U2" i="2"/>
  <c r="S2" i="2"/>
  <c r="T2" i="2" s="1"/>
  <c r="U53" i="2"/>
  <c r="S53" i="2"/>
  <c r="T53" i="2" s="1"/>
  <c r="U22" i="2"/>
  <c r="S22" i="2"/>
  <c r="T22" i="2" s="1"/>
  <c r="U37" i="2"/>
  <c r="S37" i="2"/>
  <c r="T37" i="2" s="1"/>
  <c r="U20" i="2"/>
  <c r="S20" i="2"/>
  <c r="T20" i="2" s="1"/>
  <c r="U56" i="2"/>
  <c r="S56" i="2"/>
  <c r="T56" i="2" s="1"/>
  <c r="U44" i="2"/>
  <c r="S44" i="2"/>
  <c r="T44" i="2" s="1"/>
  <c r="U16" i="2"/>
  <c r="S16" i="2"/>
  <c r="T16" i="2" s="1"/>
  <c r="U33" i="2"/>
  <c r="S33" i="2"/>
  <c r="T33" i="2" s="1"/>
  <c r="U13" i="2"/>
  <c r="S13" i="2"/>
  <c r="T13" i="2" s="1"/>
  <c r="U47" i="2"/>
  <c r="S47" i="2"/>
  <c r="T47" i="2" s="1"/>
  <c r="U19" i="2"/>
  <c r="S19" i="2"/>
  <c r="T19" i="2" s="1"/>
  <c r="U27" i="2"/>
  <c r="S27" i="2"/>
  <c r="T27" i="2" s="1"/>
  <c r="U29" i="2"/>
  <c r="S29" i="2"/>
  <c r="T29" i="2" s="1"/>
  <c r="U49" i="2"/>
  <c r="S49" i="2"/>
  <c r="T49" i="2" s="1"/>
  <c r="U10" i="2"/>
  <c r="S10" i="2"/>
  <c r="T10" i="2" s="1"/>
  <c r="U26" i="2"/>
  <c r="S26" i="2"/>
  <c r="T26" i="2" s="1"/>
  <c r="U3" i="2"/>
  <c r="S3" i="2"/>
  <c r="T3" i="2" s="1"/>
  <c r="U39" i="2"/>
  <c r="S39" i="2"/>
  <c r="T39" i="2" s="1"/>
  <c r="U57" i="2"/>
  <c r="S57" i="2"/>
  <c r="T57" i="2" s="1"/>
  <c r="U8" i="2"/>
  <c r="S8" i="2"/>
  <c r="T8" i="2" s="1"/>
  <c r="U28" i="2"/>
  <c r="S28" i="2"/>
  <c r="T28" i="2" s="1"/>
  <c r="U15" i="2"/>
  <c r="S15" i="2"/>
  <c r="T15" i="2" s="1"/>
  <c r="U54" i="2"/>
  <c r="S54" i="2"/>
  <c r="T54" i="2" s="1"/>
  <c r="U46" i="2"/>
  <c r="S46" i="2"/>
  <c r="T46" i="2" s="1"/>
  <c r="U51" i="2"/>
  <c r="S51" i="2"/>
  <c r="T51" i="2" s="1"/>
  <c r="U7" i="2"/>
  <c r="S7" i="2"/>
  <c r="T7" i="2" s="1"/>
  <c r="U52" i="2"/>
  <c r="S52" i="2"/>
  <c r="T52" i="2" s="1"/>
  <c r="U25" i="2"/>
  <c r="S25" i="2"/>
  <c r="T25" i="2" s="1"/>
  <c r="U58" i="2"/>
  <c r="S58" i="2"/>
  <c r="T58" i="2" s="1"/>
  <c r="U23" i="2"/>
  <c r="S23" i="2"/>
  <c r="T23" i="2" s="1"/>
  <c r="U45" i="2"/>
  <c r="S45" i="2"/>
  <c r="T45" i="2" s="1"/>
  <c r="U40" i="2"/>
  <c r="S40" i="2"/>
  <c r="T40" i="2" s="1"/>
  <c r="U14" i="2"/>
  <c r="S14" i="2"/>
  <c r="T14" i="2" s="1"/>
  <c r="U32" i="2"/>
  <c r="S32" i="2"/>
  <c r="T32" i="2" s="1"/>
  <c r="U4" i="2"/>
  <c r="S4" i="2"/>
  <c r="T4" i="2" s="1"/>
  <c r="U36" i="2"/>
  <c r="S36" i="2"/>
  <c r="T36" i="2" s="1"/>
  <c r="U60" i="2"/>
  <c r="S60" i="2"/>
  <c r="T60" i="2" s="1"/>
  <c r="U17" i="2"/>
  <c r="S17" i="2"/>
  <c r="T17" i="2" s="1"/>
  <c r="U43" i="2"/>
  <c r="S43" i="2"/>
  <c r="T43" i="2" s="1"/>
  <c r="U24" i="2"/>
  <c r="S24" i="2"/>
  <c r="T24" i="2" s="1"/>
  <c r="U50" i="2"/>
  <c r="S50" i="2"/>
  <c r="T50" i="2" s="1"/>
  <c r="U38" i="2"/>
  <c r="S38" i="2"/>
  <c r="T38" i="2" s="1"/>
  <c r="U55" i="2"/>
  <c r="S55" i="2"/>
  <c r="T55" i="2" s="1"/>
  <c r="U21" i="2"/>
  <c r="S21" i="2"/>
  <c r="T21" i="2" s="1"/>
  <c r="U61" i="2"/>
  <c r="S61" i="2"/>
  <c r="T61" i="2" s="1"/>
  <c r="U59" i="2"/>
  <c r="S59" i="2"/>
  <c r="T59" i="2" s="1"/>
  <c r="U12" i="2"/>
  <c r="S12" i="2"/>
  <c r="T12" i="2" s="1"/>
  <c r="E68" i="6" l="1"/>
  <c r="C73" i="6"/>
  <c r="C72" i="6"/>
  <c r="C71" i="6"/>
  <c r="C70" i="6"/>
  <c r="C69" i="6"/>
  <c r="C77" i="6"/>
  <c r="D85" i="6" s="1"/>
  <c r="C68" i="6"/>
  <c r="C80" i="6"/>
  <c r="D88" i="6" s="1"/>
  <c r="D67" i="6"/>
  <c r="C79" i="6"/>
  <c r="D87" i="6" s="1"/>
  <c r="D73" i="6"/>
  <c r="C78" i="6"/>
  <c r="D86" i="6" s="1"/>
  <c r="D72" i="6"/>
  <c r="D71" i="6"/>
  <c r="C85" i="6"/>
  <c r="D70" i="6"/>
  <c r="D69" i="6"/>
  <c r="C86" i="6"/>
  <c r="D68" i="6"/>
  <c r="E67" i="6"/>
  <c r="C87" i="6"/>
  <c r="E73" i="6"/>
  <c r="E72" i="6"/>
  <c r="C88" i="6"/>
  <c r="E71" i="6"/>
  <c r="E70" i="6"/>
  <c r="E69" i="6"/>
  <c r="C67" i="6"/>
  <c r="B63" i="6"/>
  <c r="B62" i="6"/>
  <c r="B61" i="6"/>
  <c r="B57" i="6"/>
  <c r="B60" i="6"/>
  <c r="B58" i="6"/>
  <c r="B73" i="6"/>
  <c r="B67" i="6"/>
  <c r="B72" i="6"/>
  <c r="B70" i="6"/>
  <c r="B71" i="6"/>
  <c r="B69" i="6"/>
  <c r="B68" i="6"/>
  <c r="B59" i="6"/>
</calcChain>
</file>

<file path=xl/sharedStrings.xml><?xml version="1.0" encoding="utf-8"?>
<sst xmlns="http://schemas.openxmlformats.org/spreadsheetml/2006/main" count="17554" uniqueCount="16818">
  <si>
    <t>Commonwealth Bank Social Media Dataset</t>
  </si>
  <si>
    <t>Purpose</t>
  </si>
  <si>
    <t>This simulated dataset supports Task 3 of the Commonwealth Bank data science program. It mirrors the type of social media content and engagement information learners could analyze without requiring access to a live X/Twitter account.</t>
  </si>
  <si>
    <t>Important note</t>
  </si>
  <si>
    <t>All posts and metrics in this workbook are fictional and created for educational use. They should not be treated as real Commonwealth Bank posts, real customer comments, or real performance data.</t>
  </si>
  <si>
    <t>How learners can use it</t>
  </si>
  <si>
    <t>Use the Social_Media_Posts sheet to explore sentiment, engagement, customer pain points, recurring topics, and trends over time. The Data_Dictionary sheet explains each column and how it connects to social media/API concepts.</t>
  </si>
  <si>
    <t>Suggested analyses</t>
  </si>
  <si>
    <t>1. Identify the topics that appear most often. 2. Compare engagement across topics, formats, and post types. 3. Review positive, negative, neutral, and mixed sentiment. 4. Find posts with high views but low engagement. 5. Summarize customer questions, complaints, praise, and feature feedback.</t>
  </si>
  <si>
    <t>post_id</t>
  </si>
  <si>
    <t>post_datetime</t>
  </si>
  <si>
    <t>post_type</t>
  </si>
  <si>
    <t>author_type</t>
  </si>
  <si>
    <t>author_follower_bucket</t>
  </si>
  <si>
    <t>post_text</t>
  </si>
  <si>
    <t>topic</t>
  </si>
  <si>
    <t>content_format</t>
  </si>
  <si>
    <t>hashtags</t>
  </si>
  <si>
    <t>mentions_commbank</t>
  </si>
  <si>
    <t>sentiment_label</t>
  </si>
  <si>
    <t>sentiment_score</t>
  </si>
  <si>
    <t>likes</t>
  </si>
  <si>
    <t>replies</t>
  </si>
  <si>
    <t>reposts</t>
  </si>
  <si>
    <t>quote_posts</t>
  </si>
  <si>
    <t>views</t>
  </si>
  <si>
    <t>link_clicks</t>
  </si>
  <si>
    <t>total_engagements</t>
  </si>
  <si>
    <t>engagement_rate</t>
  </si>
  <si>
    <t>day_of_week</t>
  </si>
  <si>
    <t>customer_intent</t>
  </si>
  <si>
    <t>response_needed</t>
  </si>
  <si>
    <t>api_field_examples</t>
  </si>
  <si>
    <t>SM001</t>
  </si>
  <si>
    <t>Original post</t>
  </si>
  <si>
    <t>CommBank</t>
  </si>
  <si>
    <t>50k+</t>
  </si>
  <si>
    <t>Scam alert: We will never ask for your NetBank password or one-time code by text message. If a message feels suspicious, stop and check before clicking.</t>
  </si>
  <si>
    <t>Fraud &amp; scams</t>
  </si>
  <si>
    <t>Text + image</t>
  </si>
  <si>
    <t>#ScamAwareness #CyberSafety</t>
  </si>
  <si>
    <t>No</t>
  </si>
  <si>
    <t>Neutral</t>
  </si>
  <si>
    <t>Educational content</t>
  </si>
  <si>
    <t>text, created_at, public_metrics, entities.hashtags</t>
  </si>
  <si>
    <t>SM002</t>
  </si>
  <si>
    <t>Reply</t>
  </si>
  <si>
    <t>Customer</t>
  </si>
  <si>
    <t>0-500</t>
  </si>
  <si>
    <t>Thanks for the reminder. Nearly clicked on a fake delivery text yesterday and this made me double-check.</t>
  </si>
  <si>
    <t>Text</t>
  </si>
  <si>
    <t>Yes</t>
  </si>
  <si>
    <t>Positive</t>
  </si>
  <si>
    <t>Praise</t>
  </si>
  <si>
    <t>text, in_reply_to_user_id, referenced_tweets</t>
  </si>
  <si>
    <t>SM003</t>
  </si>
  <si>
    <t>Mention</t>
  </si>
  <si>
    <t>@CommBank I received a message saying my card is locked. Is this real? The link looks strange.</t>
  </si>
  <si>
    <t>Negative</t>
  </si>
  <si>
    <t>Scam report</t>
  </si>
  <si>
    <t>text, entities.mentions, author_id</t>
  </si>
  <si>
    <t>SM004</t>
  </si>
  <si>
    <t>New budget habit: split your weekly spend into essentials, savings and fun money before the weekend starts.</t>
  </si>
  <si>
    <t>Financial wellbeing</t>
  </si>
  <si>
    <t>#MoneyTips #Budgeting</t>
  </si>
  <si>
    <t>text, created_at, public_metrics, media_keys</t>
  </si>
  <si>
    <t>SM005</t>
  </si>
  <si>
    <t>501-5k</t>
  </si>
  <si>
    <t>This is actually useful. Would love a template for tracking weekly spending categories.</t>
  </si>
  <si>
    <t>Feature feedback</t>
  </si>
  <si>
    <t>text, referenced_tweets, public_metrics</t>
  </si>
  <si>
    <t>SM006</t>
  </si>
  <si>
    <t>@CommBank app keeps timing out this morning. I need to pay rent before work.</t>
  </si>
  <si>
    <t>Digital banking</t>
  </si>
  <si>
    <t>Complaint</t>
  </si>
  <si>
    <t>text, entities.mentions, created_at</t>
  </si>
  <si>
    <t>SM007</t>
  </si>
  <si>
    <t>Sorry for the trouble. Please try closing and reopening the app. If the issue continues, send us a private message so we can help.</t>
  </si>
  <si>
    <t>Customer support</t>
  </si>
  <si>
    <t>text, referenced_tweets, conversation_id</t>
  </si>
  <si>
    <t>SM008</t>
  </si>
  <si>
    <t>Planning a home renovation? Compare quotes, keep a buffer for surprises and avoid transferring deposits until you verify the business.</t>
  </si>
  <si>
    <t>Link</t>
  </si>
  <si>
    <t>#HomeBudget #MoneySafety</t>
  </si>
  <si>
    <t>text, entities.urls, public_metrics</t>
  </si>
  <si>
    <t>SM009</t>
  </si>
  <si>
    <t>Business customer</t>
  </si>
  <si>
    <t>Our small business card payment issue was sorted quickly today. Appreciate the support team calling back.</t>
  </si>
  <si>
    <t>Business banking</t>
  </si>
  <si>
    <t>text, author_id, public_metrics</t>
  </si>
  <si>
    <t>SM010</t>
  </si>
  <si>
    <t>Scheduled maintenance: some card controls and notifications may be unavailable from 1:00am to 3:00am AEST on Sunday.</t>
  </si>
  <si>
    <t>Outage/service issue</t>
  </si>
  <si>
    <t>#ServiceUpdate</t>
  </si>
  <si>
    <t>News/update</t>
  </si>
  <si>
    <t>text, created_at, public_metrics</t>
  </si>
  <si>
    <t>SM011</t>
  </si>
  <si>
    <t>Thanks for giving the timing clearly. Much better than finding out during checkout.</t>
  </si>
  <si>
    <t>text, referenced_tweets</t>
  </si>
  <si>
    <t>SM012</t>
  </si>
  <si>
    <t>My transfer has been pending for hours and I can't find a clear status page. Is there an outage?</t>
  </si>
  <si>
    <t>Question</t>
  </si>
  <si>
    <t>SM013</t>
  </si>
  <si>
    <t>Three signs a message may be a scam: urgency, unusual links and requests for codes. Pause before you respond.</t>
  </si>
  <si>
    <t>Security education</t>
  </si>
  <si>
    <t>Text + video</t>
  </si>
  <si>
    <t>#CyberSafety #ScamAwareness</t>
  </si>
  <si>
    <t>text, attachments.media_keys, entities.hashtags</t>
  </si>
  <si>
    <t>SM014</t>
  </si>
  <si>
    <t>Quote post</t>
  </si>
  <si>
    <t>Scam awareness org</t>
  </si>
  <si>
    <t>5k-50k</t>
  </si>
  <si>
    <t>Good practical reminder from @CommBank. The 'urgent action required' wording is still one of the biggest red flags.</t>
  </si>
  <si>
    <t>#ScamAwareness</t>
  </si>
  <si>
    <t>text, referenced_tweets, entities.mentions</t>
  </si>
  <si>
    <t>SM015</t>
  </si>
  <si>
    <t>We are supporting local community groups with grants focused on financial confidence and digital skills.</t>
  </si>
  <si>
    <t>Community</t>
  </si>
  <si>
    <t>#Community #FinancialConfidence</t>
  </si>
  <si>
    <t>Campaign</t>
  </si>
  <si>
    <t>text, entities.hashtags, public_metrics</t>
  </si>
  <si>
    <t>SM016</t>
  </si>
  <si>
    <t>Community org</t>
  </si>
  <si>
    <t>Proud to be part of this program. The digital skills sessions have already helped our clients feel safer online.</t>
  </si>
  <si>
    <t>SM017</t>
  </si>
  <si>
    <t>Branch wait times are rough lately. I just need a replacement card and couldn't get through on chat.</t>
  </si>
  <si>
    <t>Branch/ATM</t>
  </si>
  <si>
    <t>text, entities.mentions</t>
  </si>
  <si>
    <t>SM018</t>
  </si>
  <si>
    <t>Travel tip: tell us before you go overseas and check card controls in the app before your first purchase.</t>
  </si>
  <si>
    <t>Card services</t>
  </si>
  <si>
    <t>#TravelMoney</t>
  </si>
  <si>
    <t>SM019</t>
  </si>
  <si>
    <t>Can I still use Apple Pay if my physical card is blocked while travelling?</t>
  </si>
  <si>
    <t>SM020</t>
  </si>
  <si>
    <t>Small business owners: join our free webinar on cash flow planning and preparing for quieter trading periods.</t>
  </si>
  <si>
    <t>#SmallBusiness #CashFlow</t>
  </si>
  <si>
    <t>SM021</t>
  </si>
  <si>
    <t>Would love more examples for seasonal businesses in the cash flow webinar. Retail is not the same as consulting.</t>
  </si>
  <si>
    <t>#SmallBusiness</t>
  </si>
  <si>
    <t>Mixed</t>
  </si>
  <si>
    <t>text, entities.hashtags, entities.mentions</t>
  </si>
  <si>
    <t>SM022</t>
  </si>
  <si>
    <t>We have added clearer transaction labels in the app to help you recognise subscriptions and recurring payments.</t>
  </si>
  <si>
    <t>#CommBankApp</t>
  </si>
  <si>
    <t>Product update</t>
  </si>
  <si>
    <t>text, public_metrics, attachments.media_keys</t>
  </si>
  <si>
    <t>SM023</t>
  </si>
  <si>
    <t>Finally! I have been trying to work out what one of my monthly charges was for ages.</t>
  </si>
  <si>
    <t>SM024</t>
  </si>
  <si>
    <t>Please add a way to rename merchants manually too. Some labels are still confusing.</t>
  </si>
  <si>
    <t>SM025</t>
  </si>
  <si>
    <t>ATM near my station has been out of service twice this week. Any update?</t>
  </si>
  <si>
    <t>SM026</t>
  </si>
  <si>
    <t>Start the month by checking subscriptions you no longer use. Small recurring payments can add up quickly.</t>
  </si>
  <si>
    <t>#MoneyTips</t>
  </si>
  <si>
    <t>SM027</t>
  </si>
  <si>
    <t>The new transaction labels are helpful, but my rent payment is now showing as entertainment, which is... optimistic.</t>
  </si>
  <si>
    <t>SM028</t>
  </si>
  <si>
    <t>If you are buying online, use secure payment options and be cautious of sellers asking to move the conversation off-platform.</t>
  </si>
  <si>
    <t>#OnlineSafety #ScamAwareness</t>
  </si>
  <si>
    <t>SM029</t>
  </si>
  <si>
    <t>This happened to me on a marketplace sale. A checklist would be really helpful.</t>
  </si>
  <si>
    <t>SM030</t>
  </si>
  <si>
    <t>Locked out of NetBank after changing phones. The recovery steps are not clear.</t>
  </si>
  <si>
    <t>SM031</t>
  </si>
  <si>
    <t>Today we are sharing practical tips for protecting older family members from impersonation scams.</t>
  </si>
  <si>
    <t>#ScamAwareness #FamilySafety</t>
  </si>
  <si>
    <t>SM032</t>
  </si>
  <si>
    <t>News/media</t>
  </si>
  <si>
    <t>Useful consumer safety advice from @CommBank as impersonation scams continue to target older Australians.</t>
  </si>
  <si>
    <t>SM033</t>
  </si>
  <si>
    <t>We are trialling new in-app prompts that ask customers to pause before sending money to a first-time payee.</t>
  </si>
  <si>
    <t>#CyberSafety</t>
  </si>
  <si>
    <t>SM034</t>
  </si>
  <si>
    <t>Good idea, but please make sure it does not slow down urgent transfers to family.</t>
  </si>
  <si>
    <t>SM035</t>
  </si>
  <si>
    <t>Is PayID down? Two people have tried to pay me and both transfers are stuck.</t>
  </si>
  <si>
    <t>#PayID</t>
  </si>
  <si>
    <t>SM036</t>
  </si>
  <si>
    <t>We are aware some customers are seeing delays with PayID transfers and our teams are investigating. We will share updates as soon as possible.</t>
  </si>
  <si>
    <t>text, conversation_id, public_metrics</t>
  </si>
  <si>
    <t>SM037</t>
  </si>
  <si>
    <t>Know the difference between available balance and current balance before making a large purchase.</t>
  </si>
  <si>
    <t>#MoneyTips #BankingBasics</t>
  </si>
  <si>
    <t>SM038</t>
  </si>
  <si>
    <t>Just used the spend tracker for the first time and it was a wake-up call, in a good way.</t>
  </si>
  <si>
    <t>SM039</t>
  </si>
  <si>
    <t>Card controls can help if your card is misplaced. Temporarily lock, unlock or replace your card in the app.</t>
  </si>
  <si>
    <t>text, attachments.media_keys, public_metrics</t>
  </si>
  <si>
    <t>SM040</t>
  </si>
  <si>
    <t>This saved me last month. Found the card under my car seat after locking it in the app.</t>
  </si>
  <si>
    <t>SM041</t>
  </si>
  <si>
    <t>We are investing in energy efficiency upgrades across selected branches to reduce operational emissions.</t>
  </si>
  <si>
    <t>Sustainability</t>
  </si>
  <si>
    <t>#Sustainability</t>
  </si>
  <si>
    <t>SM042</t>
  </si>
  <si>
    <t>Good, but customers also want greener lending options and clearer reporting.</t>
  </si>
  <si>
    <t>SM043</t>
  </si>
  <si>
    <t>The ATM locator sent me to a branch that has moved. Please update the map.</t>
  </si>
  <si>
    <t>SM044</t>
  </si>
  <si>
    <t>Before tax time, check that your bank statements and interest summaries are easy to access in NetBank.</t>
  </si>
  <si>
    <t>#TaxTime #NetBank</t>
  </si>
  <si>
    <t>SM045</t>
  </si>
  <si>
    <t>Trying to download statements and the page keeps refreshing. Anyone else?</t>
  </si>
  <si>
    <t>#NetBank</t>
  </si>
  <si>
    <t>SM046</t>
  </si>
  <si>
    <t>Thinking about your first credit card? Compare fees, interest rates and repayment habits before applying.</t>
  </si>
  <si>
    <t>#BankingBasics #MoneyTips</t>
  </si>
  <si>
    <t>SM047</t>
  </si>
  <si>
    <t>Can you make an explainer for students who are new to credit? The language is still intimidating.</t>
  </si>
  <si>
    <t>SM048</t>
  </si>
  <si>
    <t>Reminder: genuine bank staff will not ask you to transfer money to a 'safe account'. Stop, check and report suspicious requests.</t>
  </si>
  <si>
    <t>#ScamAwareness #StopCheckReport</t>
  </si>
  <si>
    <t>SM049</t>
  </si>
  <si>
    <t>A caller used the safe account line on my mum today. She hung up because she'd seen your post.</t>
  </si>
  <si>
    <t>SM050</t>
  </si>
  <si>
    <t>We are updating the app home screen to make upcoming bills and scheduled payments easier to find.</t>
  </si>
  <si>
    <t>SM051</t>
  </si>
  <si>
    <t>Please do not move everything again. The last redesign made regular transfers harder to find.</t>
  </si>
  <si>
    <t>SM052</t>
  </si>
  <si>
    <t>Credit where due: the fraud team called quickly after I reported a suspicious transfer.</t>
  </si>
  <si>
    <t>text, entities.mentions, public_metrics</t>
  </si>
  <si>
    <t>SM053</t>
  </si>
  <si>
    <t>Winter energy bills can be unpredictable. Build a small buffer where possible and review direct debits before they are due.</t>
  </si>
  <si>
    <t>SM054</t>
  </si>
  <si>
    <t>Can the app notify me before a direct debit if my balance is low? That would prevent a lot of stress.</t>
  </si>
  <si>
    <t>SM055</t>
  </si>
  <si>
    <t>We are celebrating teams volunteering with local partners to improve financial confidence in regional communities.</t>
  </si>
  <si>
    <t>#Community #Volunteering</t>
  </si>
  <si>
    <t>SM056</t>
  </si>
  <si>
    <t>Thank you @CommBank for supporting practical financial education in our region.</t>
  </si>
  <si>
    <t>#Community</t>
  </si>
  <si>
    <t>SM057</t>
  </si>
  <si>
    <t>If a payment request arrives unexpectedly, call the person on a trusted number before sending money.</t>
  </si>
  <si>
    <t>#CyberSafety #StopCheckReport</t>
  </si>
  <si>
    <t>SM058</t>
  </si>
  <si>
    <t>Why is there no clear scam reporting button in the app? I had to search around for it.</t>
  </si>
  <si>
    <t>SM059</t>
  </si>
  <si>
    <t>Our app update includes accessibility improvements for screen readers and clearer error messages.</t>
  </si>
  <si>
    <t>#CommBankApp #Accessibility</t>
  </si>
  <si>
    <t>SM060</t>
  </si>
  <si>
    <t>The clearer error messages help. Please make the font size easier to adjust too.</t>
  </si>
  <si>
    <t>Column</t>
  </si>
  <si>
    <t>Description</t>
  </si>
  <si>
    <t>Student use</t>
  </si>
  <si>
    <t>X/Twitter API or analytics concept</t>
  </si>
  <si>
    <t>Unique identifier for each simulated social media item.</t>
  </si>
  <si>
    <t>Reference individual posts when discussing findings.</t>
  </si>
  <si>
    <t>id</t>
  </si>
  <si>
    <t>Date and time the post was published.</t>
  </si>
  <si>
    <t>Analyze timing, trends, and day-of-week patterns.</t>
  </si>
  <si>
    <t>created_at</t>
  </si>
  <si>
    <t>Whether the row is a brand post, customer reply, mention, or quote post.</t>
  </si>
  <si>
    <t>Compare original posts with customer interactions.</t>
  </si>
  <si>
    <t>referenced_tweets, conversation_id</t>
  </si>
  <si>
    <t>Simplified category of the account that created the post.</t>
  </si>
  <si>
    <t>Explore who is engaging with the brand.</t>
  </si>
  <si>
    <t>author_id with user profile enrichment</t>
  </si>
  <si>
    <t>Approximate audience-size bucket for the author.</t>
  </si>
  <si>
    <t>Compare engagement from smaller vs. larger accounts.</t>
  </si>
  <si>
    <t>public_metrics.followers_count</t>
  </si>
  <si>
    <t>Simulated text content of the social media post.</t>
  </si>
  <si>
    <t>Perform topic, keyword, and sentiment analysis.</t>
  </si>
  <si>
    <t>text</t>
  </si>
  <si>
    <t>Curated topic label for the post.</t>
  </si>
  <si>
    <t>Group posts into themes such as fraud, app issues, or financial wellbeing.</t>
  </si>
  <si>
    <t>Derived classification from text/entities</t>
  </si>
  <si>
    <t>Simplified format of the post: text, image, video, link, etc.</t>
  </si>
  <si>
    <t>Compare engagement by format.</t>
  </si>
  <si>
    <t>attachments, media_keys, entities.urls</t>
  </si>
  <si>
    <t>Hashtags included in the simulated post.</t>
  </si>
  <si>
    <t>Identify recurring campaign or topic markers.</t>
  </si>
  <si>
    <t>entities.hashtags</t>
  </si>
  <si>
    <t>Whether the post mentions Commonwealth Bank.</t>
  </si>
  <si>
    <t>Separate brand-originated posts from customer mentions.</t>
  </si>
  <si>
    <t>entities.mentions</t>
  </si>
  <si>
    <t>Curated sentiment category.</t>
  </si>
  <si>
    <t>Summarize positive, negative, neutral, and mixed responses.</t>
  </si>
  <si>
    <t>Derived NLP output</t>
  </si>
  <si>
    <t>Numeric sentiment score from -1 to +1.</t>
  </si>
  <si>
    <t>Calculate average sentiment by topic or post type.</t>
  </si>
  <si>
    <t>Simulated like count.</t>
  </si>
  <si>
    <t>Measure visible approval or interest.</t>
  </si>
  <si>
    <t>public_metrics.like_count</t>
  </si>
  <si>
    <t>Simulated reply count.</t>
  </si>
  <si>
    <t>Measure conversation volume and support needs.</t>
  </si>
  <si>
    <t>public_metrics.reply_count</t>
  </si>
  <si>
    <t>Simulated repost/share count.</t>
  </si>
  <si>
    <t>Measure amplification.</t>
  </si>
  <si>
    <t>public_metrics.retweet_count/repost_count</t>
  </si>
  <si>
    <t>Simulated quote post count.</t>
  </si>
  <si>
    <t>Measure public commentary beyond direct replies.</t>
  </si>
  <si>
    <t>public_metrics.quote_count</t>
  </si>
  <si>
    <t>Simulated view/impression count.</t>
  </si>
  <si>
    <t>Find high-reach posts and high-view/low-engagement posts.</t>
  </si>
  <si>
    <t>impression_count or analytics field</t>
  </si>
  <si>
    <t>Simulated click count for links or calls to action. This may require internal analytics access.</t>
  </si>
  <si>
    <t>Evaluate whether posts drive action beyond public engagement.</t>
  </si>
  <si>
    <t>URL analytics/owned social reporting; not always public API</t>
  </si>
  <si>
    <t>Formula that adds likes, replies, reposts, quote posts, and link clicks.</t>
  </si>
  <si>
    <t>Sort by highest engagement.</t>
  </si>
  <si>
    <t>Derived metric</t>
  </si>
  <si>
    <t>Formula: total engagements divided by views.</t>
  </si>
  <si>
    <t>Compare performance while accounting for reach.</t>
  </si>
  <si>
    <t>Formula derived from post_datetime.</t>
  </si>
  <si>
    <t>Explore timing patterns.</t>
  </si>
  <si>
    <t>Derived from created_at</t>
  </si>
  <si>
    <t>Curated reason for the post, such as complaint, question, praise, or feature feedback.</t>
  </si>
  <si>
    <t>Identify support needs and insight opportunities.</t>
  </si>
  <si>
    <t>Derived classification</t>
  </si>
  <si>
    <t>Whether the row appears to need a customer support response.</t>
  </si>
  <si>
    <t>Prioritize issues that need action.</t>
  </si>
  <si>
    <t>Derived business rule</t>
  </si>
  <si>
    <t>Examples of API fields or concepts that could produce similar information.</t>
  </si>
  <si>
    <t>Connect the dataset back to API documentation.</t>
  </si>
  <si>
    <t>Documentation mapping</t>
  </si>
  <si>
    <t>Analysis area</t>
  </si>
  <si>
    <t>Question learners can answer with the dataset</t>
  </si>
  <si>
    <t>Relevant columns</t>
  </si>
  <si>
    <t>Topic analysis</t>
  </si>
  <si>
    <t>Which topics appear most often, and what do those topics suggest customers care about?</t>
  </si>
  <si>
    <t>topic, post_text, hashtags</t>
  </si>
  <si>
    <t>Engagement analysis</t>
  </si>
  <si>
    <t>Which posts generate the most total engagement? Do the highest-view posts also receive the highest engagement?</t>
  </si>
  <si>
    <t>likes, replies, reposts, quote_posts, views, link_clicks, total_engagements, engagement_rate</t>
  </si>
  <si>
    <t>Sentiment analysis</t>
  </si>
  <si>
    <t>Which topics have the most positive, negative, neutral, or mixed sentiment?</t>
  </si>
  <si>
    <t>topic, sentiment_label, sentiment_score</t>
  </si>
  <si>
    <t>Which posts likely require a response from CommBank, and what themes do they share?</t>
  </si>
  <si>
    <t>post_type, customer_intent, response_needed, topic, post_text</t>
  </si>
  <si>
    <t>Trend analysis</t>
  </si>
  <si>
    <t>Do certain topics or sentiment patterns appear more often on specific dates or days of the week?</t>
  </si>
  <si>
    <t>post_datetime, day_of_week, topic, sentiment_label</t>
  </si>
  <si>
    <t>Marketing insight</t>
  </si>
  <si>
    <t>Which formats or campaign themes appear to resonate most with audiences?</t>
  </si>
  <si>
    <t>content_format, hashtags, topic, engagement_rate</t>
  </si>
  <si>
    <t>Product insight</t>
  </si>
  <si>
    <t>What app, NetBank, card, or service improvements are customers requesting?</t>
  </si>
  <si>
    <t>topic, customer_intent, post_text</t>
  </si>
  <si>
    <t>Risk insight</t>
  </si>
  <si>
    <t>What scam or security concerns are most visible in the data?</t>
  </si>
  <si>
    <t>topic, customer_intent, sentiment_label, post_text</t>
  </si>
  <si>
    <t>Resource</t>
  </si>
  <si>
    <t>Use in task</t>
  </si>
  <si>
    <t>URL</t>
  </si>
  <si>
    <t>X API documentation</t>
  </si>
  <si>
    <t>Understand available fields and API concepts that can map to this dataset.</t>
  </si>
  <si>
    <t>http://docs.x.com/overview</t>
  </si>
  <si>
    <t>X API Getting Started PDF</t>
  </si>
  <si>
    <t>Reference for introductory API concepts.</t>
  </si>
  <si>
    <t>https://cdn.theforage.com/vinternships/companyassets/2sNmYuurxgpFYawco/y2NzZJASdgERdYR4S/1675682056660/getting_started.pdf</t>
  </si>
  <si>
    <t>Social media sentiment analysis</t>
  </si>
  <si>
    <t>Background reading for classifying positive, negative, neutral, and mixed social media text.</t>
  </si>
  <si>
    <t>Add program-approved URL here</t>
  </si>
  <si>
    <t>Number of Posts</t>
  </si>
  <si>
    <t>Q1 Interpretation</t>
  </si>
  <si>
    <t>Finding</t>
  </si>
  <si>
    <t>Digital banking, Fraud &amp; scams, and Financial wellbeing are the most frequent topics in the dataset.</t>
  </si>
  <si>
    <t>Insight</t>
  </si>
  <si>
    <t>The high frequency of these topics suggests that customers are particularly concerned with digital banking experiences, financial security, and managing their financial wellbeing. The presence of Fraud &amp; scams alongside Digital banking also indicates that security and fraud prevention are important areas of customer discussion within the dataset.</t>
  </si>
  <si>
    <t>Q2 Interpretation</t>
  </si>
  <si>
    <t>The posts with the highest engagement are generally also among the posts with the highest views. However, the rankings are not identical.</t>
  </si>
  <si>
    <t>High reach can contribute to engagement, but views alone do not determine how strongly audiences interact with a post. For example, SM028 received fewer views than SM022 but generated higher total engagement, suggesting that content relevance can influence engagement beyond reach.</t>
  </si>
  <si>
    <t>Q3 — Sentiment Analysis</t>
  </si>
  <si>
    <t>Card Services</t>
  </si>
  <si>
    <t>Q3 Interpretation</t>
  </si>
  <si>
    <t>Digital banking has the most balanced mix of positive, negative, and mixed sentiment, while Community shows entirely positive sentiment and Branch/ATM shows entirely negative sentiment.</t>
  </si>
  <si>
    <t>The sentiment patterns suggest that customer experiences vary by topic. Digital banking generates both positive and negative reactions, while negative sentiment is particularly visible in Branch/ATM discussions. Positive sentiment is more prominent in Community and Security education discussions.</t>
  </si>
  <si>
    <t>Q4 — Customer Support</t>
  </si>
  <si>
    <t>Topic</t>
  </si>
  <si>
    <t>Responses Needed</t>
  </si>
  <si>
    <t>Q4 Interpretation</t>
  </si>
  <si>
    <t xml:space="preserve">	
Finding</t>
  </si>
  <si>
    <t>Digital banking and Branch/ATM posts have the highest number of posts requiring a response, followed by Fraud &amp; scams and Outage/service issues.</t>
  </si>
  <si>
    <t>Posts requiring responses are mainly related to customer problems, service disruptions, fraud concerns, and banking-access issues. This suggests that social-media monitoring could help CommBank identify customer-support cases and route them to the appropriate teams for timely follow-up.</t>
  </si>
  <si>
    <t>Q5 — Trend Analysis</t>
  </si>
  <si>
    <t>Day</t>
  </si>
  <si>
    <t>Monday</t>
  </si>
  <si>
    <t>Tuesday</t>
  </si>
  <si>
    <t>Wednesday</t>
  </si>
  <si>
    <t>Thursday</t>
  </si>
  <si>
    <t>Friday</t>
  </si>
  <si>
    <t>Saturday</t>
  </si>
  <si>
    <t>Sunday</t>
  </si>
  <si>
    <t>Sentiment Distribution by Day</t>
  </si>
  <si>
    <t>Post Volume by Day</t>
  </si>
  <si>
    <t xml:space="preserve">    </t>
  </si>
  <si>
    <t>Q1 Topic analysis</t>
  </si>
  <si>
    <t>Q6 — Marketing Insight</t>
  </si>
  <si>
    <t>Content Format</t>
  </si>
  <si>
    <t>Total Engagement</t>
  </si>
  <si>
    <t>But we cannot conclude that Text + image is the most resonant yet, because there are very different numbers of posts in each format.
For example, Text has 36 posts, while Text + video has only 4.</t>
  </si>
  <si>
    <t>Average Engagement per Post</t>
  </si>
  <si>
    <t>Average Engagement = Total Engagement ÷ Number of Posts</t>
  </si>
  <si>
    <t>Q6 Interpretation</t>
  </si>
  <si>
    <t>Text + video posts have the highest average engagement per post at 6,771, followed by Text + image posts at 5,239.86. Text posts have the lowest average engagement per post at 105.81.</t>
  </si>
  <si>
    <t>The results suggest that richer content formats, particularly posts combining text with video or images, appear to generate higher audience engagement in this dataset. This could help inform social-media content planning, while the small number of Text + video posts should be considered when interpreting the result.</t>
  </si>
  <si>
    <t>Q7 — Product Insight</t>
  </si>
  <si>
    <t>Improvement Theme</t>
  </si>
  <si>
    <t>Number of Requests</t>
  </si>
  <si>
    <t>Digital banking / payments</t>
  </si>
  <si>
    <t>Transfer management</t>
  </si>
  <si>
    <t>UI / accessibility</t>
  </si>
  <si>
    <t>Financial education</t>
  </si>
  <si>
    <t>Scam prevention</t>
  </si>
  <si>
    <t>Sustainability / greener lending</t>
  </si>
  <si>
    <t>Post ID</t>
  </si>
  <si>
    <t>Business Banking</t>
  </si>
  <si>
    <t>Q7 Interpretation</t>
  </si>
  <si>
    <t>UI / accessibility has the highest number of feature requests (3), followed by Digital banking / payments and Financial education (2 each). Transfer management, Business Banking, Scam prevention, and Sustainability / greener lending each have 1 request.</t>
  </si>
  <si>
    <t>The feature feedback indicates that customers are requesting improvements across digital banking usability, accessibility, financial education, and payment-related experiences. These requests could help CommBank identify areas for product and service improvements based on customer feedback.</t>
  </si>
  <si>
    <t>Q8 — Risk Insight</t>
  </si>
  <si>
    <t>Scam / Security Concern</t>
  </si>
  <si>
    <t>Impersonation / fake bank messages</t>
  </si>
  <si>
    <t>Phishing / suspicious links or messages</t>
  </si>
  <si>
    <t>Payment / transfer scams</t>
  </si>
  <si>
    <t>Marketplace / seller scams</t>
  </si>
  <si>
    <t>Fake delivery scams</t>
  </si>
  <si>
    <t>Card / account security concerns</t>
  </si>
  <si>
    <t>Scam reporting / response concerns</t>
  </si>
  <si>
    <t>Classification</t>
  </si>
  <si>
    <t>Q8 Interpretation</t>
  </si>
  <si>
    <t>Payment / transfer scams are the most visible security concern in the dataset, followed by phishing or suspicious links and messages. Impersonation and marketplace / seller scams also appear multiple times.</t>
  </si>
  <si>
    <t>The dataset highlights recurring concerns around unsafe payment requests, suspicious messages or links, impersonation attempts, and online marketplace scams. Posts about scam reporting and account or card security also indicate concerns about identifying and responding to suspicious activity.</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</si>
  <si>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</si>
  <si>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</si>
  <si>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</si>
  <si>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</si>
  <si>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</si>
  <si>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</si>
  <si>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</si>
  <si>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</si>
  <si>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</si>
  <si>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</si>
  <si>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</si>
  <si>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</si>
  <si>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</si>
  <si>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</si>
  <si>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</si>
  <si>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</si>
  <si>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</si>
  <si>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</si>
  <si>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</si>
  <si>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</si>
  <si>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</si>
  <si>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</si>
  <si>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</si>
  <si>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</si>
  <si>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</si>
  <si>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</si>
  <si>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</si>
  <si>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</si>
  <si>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</si>
  <si>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</si>
  <si>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</si>
  <si>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</si>
  <si>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</si>
  <si>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</si>
  <si>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</si>
  <si>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</si>
  <si>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</si>
  <si>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</si>
  <si>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</si>
  <si>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</si>
  <si>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</si>
  <si>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</si>
  <si>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</si>
  <si>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</si>
  <si>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</si>
  <si>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</si>
  <si>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</si>
  <si>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</si>
  <si>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</si>
  <si>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</si>
  <si>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</si>
  <si>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</si>
  <si>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</si>
  <si>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</si>
  <si>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</si>
  <si>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</si>
  <si>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</si>
  <si>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</si>
  <si>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</si>
  <si>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</si>
  <si>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</si>
  <si>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</si>
  <si>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</si>
  <si>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</si>
  <si>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</si>
  <si>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</si>
  <si>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</si>
  <si>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</si>
  <si>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</si>
  <si>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</si>
  <si>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</si>
  <si>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</si>
  <si>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</si>
  <si>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</si>
  <si>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</si>
  <si>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</si>
  <si>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</si>
  <si>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</si>
  <si>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</si>
  <si>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</si>
  <si>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</si>
  <si>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</si>
  <si>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</si>
  <si>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</si>
  <si>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</si>
  <si>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</si>
  <si>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</si>
  <si>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</si>
  <si>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</si>
  <si>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</si>
  <si>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</si>
  <si>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</si>
  <si>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</si>
  <si>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</si>
  <si>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</si>
  <si>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</si>
  <si>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</si>
  <si>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</si>
  <si>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</si>
  <si>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</si>
  <si>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</si>
  <si>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</si>
  <si>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</si>
  <si>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</si>
  <si>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</si>
  <si>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</si>
  <si>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</si>
  <si>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</si>
  <si>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</si>
  <si>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</si>
  <si>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</si>
  <si>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</si>
  <si>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</si>
  <si>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</si>
  <si>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</si>
  <si>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</si>
  <si>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</si>
  <si>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</si>
  <si>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</si>
  <si>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</si>
  <si>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</si>
  <si>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</si>
  <si>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</si>
  <si>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</si>
  <si>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</si>
  <si>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</si>
  <si>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</si>
  <si>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</si>
  <si>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</si>
  <si>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</si>
  <si>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</si>
  <si>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</si>
  <si>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</si>
  <si>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</si>
  <si>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</si>
  <si>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</si>
  <si>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</si>
  <si>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</si>
  <si>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</si>
  <si>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</si>
  <si>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</si>
  <si>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</si>
  <si>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</si>
  <si>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</si>
  <si>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</si>
  <si>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</si>
  <si>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</si>
  <si>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</si>
  <si>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</si>
  <si>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</si>
  <si>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</si>
  <si>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</si>
  <si>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</si>
  <si>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</si>
  <si>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</si>
  <si>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</si>
  <si>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</si>
  <si>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</si>
  <si>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</si>
  <si>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</si>
  <si>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</si>
  <si>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</si>
  <si>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</si>
  <si>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</si>
  <si>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</si>
  <si>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</si>
  <si>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</si>
  <si>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</si>
  <si>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</si>
  <si>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</si>
  <si>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</si>
  <si>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</si>
  <si>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</si>
  <si>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</si>
  <si>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</si>
  <si>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</si>
  <si>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</si>
  <si>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</si>
  <si>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</si>
  <si>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</si>
  <si>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</si>
  <si>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</si>
  <si>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</si>
  <si>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</si>
  <si>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</si>
  <si>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</si>
  <si>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</si>
  <si>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</si>
  <si>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</si>
  <si>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</si>
  <si>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</si>
  <si>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</si>
  <si>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</si>
  <si>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</si>
  <si>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</si>
  <si>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</si>
  <si>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</si>
  <si>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</si>
  <si>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</si>
  <si>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</si>
  <si>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</si>
  <si>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</si>
  <si>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</si>
  <si>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</si>
  <si>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</si>
  <si>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</si>
  <si>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</si>
  <si>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</si>
  <si>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</si>
  <si>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</si>
  <si>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</si>
  <si>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</si>
  <si>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</si>
  <si>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</si>
  <si>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</si>
  <si>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</si>
  <si>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</si>
  <si>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</si>
  <si>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</si>
  <si>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</si>
  <si>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</si>
  <si>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</si>
  <si>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</si>
  <si>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</si>
  <si>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</si>
  <si>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</si>
  <si>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</si>
  <si>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</si>
  <si>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</si>
  <si>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</si>
  <si>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</si>
  <si>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</si>
  <si>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</si>
  <si>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</si>
  <si>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</si>
  <si>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</si>
  <si>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</si>
  <si>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</si>
  <si>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</si>
  <si>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</si>
  <si>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</si>
  <si>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</si>
  <si>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</si>
  <si>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</si>
  <si>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</si>
  <si>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</si>
  <si>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</si>
  <si>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</si>
  <si>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</si>
  <si>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</si>
  <si>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</si>
  <si>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</si>
  <si>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</si>
  <si>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</si>
  <si>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</si>
  <si>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</si>
  <si>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</si>
  <si>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</si>
  <si>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</si>
  <si>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</si>
  <si>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</si>
  <si>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</si>
  <si>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</si>
  <si>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</si>
  <si>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</si>
  <si>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</si>
  <si>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</si>
  <si>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</si>
  <si>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</si>
  <si>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</si>
  <si>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</si>
  <si>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</si>
  <si>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</si>
  <si>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</si>
  <si>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</si>
  <si>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</si>
  <si>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</si>
  <si>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</si>
  <si>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</si>
  <si>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</si>
  <si>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</si>
  <si>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</si>
  <si>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</si>
  <si>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</si>
  <si>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</si>
  <si>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</si>
  <si>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</si>
  <si>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</si>
  <si>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</si>
  <si>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</si>
  <si>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</si>
  <si>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</si>
  <si>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</si>
  <si>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</si>
  <si>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</si>
  <si>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</si>
  <si>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</si>
  <si>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</si>
  <si>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</si>
  <si>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</si>
  <si>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</si>
  <si>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</si>
  <si>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</si>
  <si>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</si>
  <si>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</si>
  <si>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</si>
  <si>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</si>
  <si>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</si>
  <si>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</si>
  <si>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</si>
  <si>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</si>
  <si>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</si>
  <si>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</si>
  <si>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</si>
  <si>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</si>
  <si>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</si>
  <si>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</si>
  <si>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</si>
  <si>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</si>
  <si>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</si>
  <si>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</si>
  <si>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</si>
  <si>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</si>
  <si>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</si>
  <si>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</si>
  <si>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</si>
  <si>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</si>
  <si>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</si>
  <si>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</si>
  <si>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</si>
  <si>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</si>
  <si>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</si>
  <si>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</si>
  <si>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</si>
  <si>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</si>
  <si>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</si>
  <si>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</si>
  <si>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</si>
  <si>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</si>
  <si>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</si>
  <si>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</si>
  <si>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</si>
  <si>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</si>
  <si>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</si>
  <si>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</si>
  <si>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</si>
  <si>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</si>
  <si>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</si>
  <si>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</si>
  <si>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</si>
  <si>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</si>
  <si>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</si>
  <si>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</si>
  <si>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</si>
  <si>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</si>
  <si>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</si>
  <si>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</si>
  <si>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</si>
  <si>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</si>
  <si>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</si>
  <si>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</si>
  <si>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</si>
  <si>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</si>
  <si>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</si>
  <si>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</si>
  <si>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</si>
  <si>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</si>
  <si>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</si>
  <si>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</si>
  <si>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</si>
  <si>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</si>
  <si>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</si>
  <si>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</si>
  <si>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</si>
  <si>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</si>
  <si>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</si>
  <si>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</si>
  <si>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</si>
  <si>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</si>
  <si>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</si>
  <si>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</si>
  <si>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</si>
  <si>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</si>
  <si>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</si>
  <si>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</si>
  <si>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</si>
  <si>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</si>
  <si>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</si>
  <si>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</si>
  <si>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</si>
  <si>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</si>
  <si>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</si>
  <si>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</si>
  <si>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</si>
  <si>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</si>
  <si>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</si>
  <si>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</si>
  <si>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</si>
  <si>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</si>
  <si>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</si>
  <si>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</si>
  <si>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</si>
  <si>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</si>
  <si>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</si>
  <si>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</si>
  <si>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</si>
  <si>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</si>
  <si>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</si>
  <si>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</si>
  <si>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</si>
  <si>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</si>
  <si>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</si>
  <si>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</si>
  <si>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</si>
  <si>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</si>
  <si>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</si>
  <si>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</si>
  <si>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</si>
  <si>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</si>
  <si>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</si>
  <si>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</si>
  <si>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</si>
  <si>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</si>
  <si>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</si>
  <si>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</si>
  <si>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</si>
  <si>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</si>
  <si>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</si>
  <si>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</si>
  <si>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</si>
  <si>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</si>
  <si>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</si>
  <si>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</si>
  <si>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</si>
  <si>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</si>
  <si>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</si>
  <si>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</si>
  <si>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</si>
  <si>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</si>
  <si>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</si>
  <si>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</si>
  <si>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</si>
  <si>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</si>
  <si>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</si>
  <si>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</si>
  <si>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</si>
  <si>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</si>
  <si>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</si>
  <si>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</si>
  <si>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</si>
  <si>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</si>
  <si>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</si>
  <si>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</si>
  <si>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</si>
  <si>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</si>
  <si>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</si>
  <si>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</si>
  <si>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</si>
  <si>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</si>
  <si>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</si>
  <si>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</si>
  <si>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</si>
  <si>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</si>
  <si>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</si>
  <si>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</si>
  <si>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</si>
  <si>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</si>
  <si>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</si>
  <si>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</si>
  <si>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</si>
  <si>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</si>
  <si>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</si>
  <si>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</si>
  <si>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</si>
  <si>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</si>
  <si>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</si>
  <si>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</si>
  <si>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</si>
  <si>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</si>
  <si>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</si>
  <si>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</si>
  <si>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</si>
  <si>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</si>
  <si>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</si>
  <si>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</si>
  <si>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</si>
  <si>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</si>
  <si>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</si>
  <si>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</si>
  <si>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</si>
  <si>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</si>
  <si>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</si>
  <si>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</si>
  <si>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</si>
  <si>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</si>
  <si>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</si>
  <si>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</si>
  <si>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</si>
  <si>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</si>
  <si>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</si>
  <si>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</si>
  <si>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</si>
  <si>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</si>
  <si>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</si>
  <si>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</si>
  <si>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</si>
  <si>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</si>
  <si>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</si>
  <si>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</si>
  <si>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</si>
  <si>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</si>
  <si>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</si>
  <si>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</si>
  <si>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</si>
  <si>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</si>
  <si>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</si>
  <si>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</si>
  <si>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</si>
  <si>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</si>
  <si>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</si>
  <si>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</si>
  <si>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</si>
  <si>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</si>
  <si>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</si>
  <si>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</si>
  <si>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</si>
  <si>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</si>
  <si>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</si>
  <si>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</si>
  <si>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</si>
  <si>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</si>
  <si>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</si>
  <si>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</si>
  <si>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</si>
  <si>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</si>
  <si>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</si>
  <si>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</si>
  <si>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</si>
  <si>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</si>
  <si>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</si>
  <si>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</si>
  <si>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</si>
  <si>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</si>
  <si>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</si>
  <si>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</si>
  <si>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</si>
  <si>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</si>
  <si>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</si>
  <si>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</si>
  <si>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</si>
  <si>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</si>
  <si>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</si>
  <si>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</si>
  <si>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</si>
  <si>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</si>
  <si>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</si>
  <si>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</si>
  <si>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</si>
  <si>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</si>
  <si>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</si>
  <si>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</si>
  <si>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</si>
  <si>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</si>
  <si>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</si>
  <si>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</si>
  <si>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</si>
  <si>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</si>
  <si>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</si>
  <si>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</si>
  <si>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</si>
  <si>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</si>
  <si>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</si>
  <si>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</si>
  <si>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</si>
  <si>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</si>
  <si>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</si>
  <si>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</si>
  <si>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</si>
  <si>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</si>
  <si>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</si>
  <si>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</si>
  <si>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</si>
  <si>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</si>
  <si>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</si>
  <si>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</si>
  <si>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</si>
  <si>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</si>
  <si>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</si>
  <si>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</si>
  <si>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</si>
  <si>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</si>
  <si>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</si>
  <si>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</si>
  <si>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</si>
  <si>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</si>
  <si>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</si>
  <si>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</si>
  <si>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</si>
  <si>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</si>
  <si>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</si>
  <si>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</si>
  <si>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</si>
  <si>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</si>
  <si>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</si>
  <si>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</si>
  <si>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</si>
  <si>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</si>
  <si>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</si>
  <si>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</si>
  <si>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</si>
  <si>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</si>
  <si>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</si>
  <si>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</si>
  <si>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</si>
  <si>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</si>
  <si>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</si>
  <si>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</si>
  <si>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</si>
  <si>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</si>
  <si>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</si>
  <si>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</si>
  <si>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</si>
  <si>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</si>
  <si>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</si>
  <si>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</si>
  <si>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</si>
  <si>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</si>
  <si>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</si>
  <si>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</si>
  <si>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</si>
  <si>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</si>
  <si>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</si>
  <si>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</si>
  <si>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</si>
  <si>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</si>
  <si>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</si>
  <si>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</si>
  <si>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</si>
  <si>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</si>
  <si>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</si>
  <si>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</si>
  <si>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</si>
  <si>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</si>
  <si>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</si>
  <si>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</si>
  <si>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</si>
  <si>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</si>
  <si>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</si>
  <si>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</si>
  <si>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</si>
  <si>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</si>
  <si>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</si>
  <si>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</si>
  <si>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</si>
  <si>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</si>
  <si>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</si>
  <si>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</si>
  <si>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</si>
  <si>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</si>
  <si>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</si>
  <si>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</si>
  <si>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</si>
  <si>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</si>
  <si>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</si>
  <si>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</si>
  <si>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</si>
  <si>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</si>
  <si>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</si>
  <si>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</si>
  <si>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</si>
  <si>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</si>
  <si>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</si>
  <si>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</si>
  <si>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</si>
  <si>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</si>
  <si>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</si>
  <si>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</si>
  <si>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</si>
  <si>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</si>
  <si>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</si>
  <si>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</si>
  <si>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</si>
  <si>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</si>
  <si>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</si>
  <si>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</si>
  <si>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</si>
  <si>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</si>
  <si>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</si>
  <si>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</si>
  <si>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</si>
  <si>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</si>
  <si>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</si>
  <si>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</si>
  <si>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</si>
  <si>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</si>
  <si>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</si>
  <si>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</si>
  <si>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</si>
  <si>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</si>
  <si>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</si>
  <si>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</si>
  <si>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</si>
  <si>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</si>
  <si>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</si>
  <si>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</si>
  <si>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</si>
  <si>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</si>
  <si>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</si>
  <si>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</si>
  <si>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</si>
  <si>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</si>
  <si>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</si>
  <si>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</si>
  <si>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</si>
  <si>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</si>
  <si>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</si>
  <si>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</si>
  <si>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</si>
  <si>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</si>
  <si>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</si>
  <si>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</si>
  <si>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</si>
  <si>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</si>
  <si>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</si>
  <si>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</si>
  <si>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</si>
  <si>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</si>
  <si>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</si>
  <si>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</si>
  <si>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</si>
  <si>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</si>
  <si>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</si>
  <si>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</si>
  <si>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</si>
  <si>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</si>
  <si>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</si>
  <si>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</si>
  <si>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</si>
  <si>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</si>
  <si>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</si>
  <si>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</si>
  <si>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</si>
  <si>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</si>
  <si>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</si>
  <si>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</si>
  <si>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</si>
  <si>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</si>
  <si>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</si>
  <si>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</si>
  <si>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</si>
  <si>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</si>
  <si>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</si>
  <si>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</si>
  <si>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</si>
  <si>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</si>
  <si>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</si>
  <si>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</si>
  <si>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</si>
  <si>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</si>
  <si>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</si>
  <si>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</si>
  <si>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</si>
  <si>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</si>
  <si>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</si>
  <si>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</si>
  <si>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</si>
  <si>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</si>
  <si>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</si>
  <si>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</si>
  <si>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</si>
  <si>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</si>
  <si>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</si>
  <si>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</si>
  <si>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</si>
  <si>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</si>
  <si>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</si>
  <si>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</si>
  <si>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</si>
  <si>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</si>
  <si>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</si>
  <si>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</si>
  <si>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</si>
  <si>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</si>
  <si>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</si>
  <si>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</si>
  <si>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</si>
  <si>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</si>
  <si>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</si>
  <si>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</si>
  <si>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</si>
  <si>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</si>
  <si>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</si>
  <si>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</si>
  <si>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</si>
  <si>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</si>
  <si>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</si>
  <si>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</si>
  <si>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</si>
  <si>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</si>
  <si>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</si>
  <si>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</si>
  <si>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</si>
  <si>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</si>
  <si>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</si>
  <si>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</si>
  <si>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</si>
  <si>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</si>
  <si>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</si>
  <si>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</si>
  <si>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</si>
  <si>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</si>
  <si>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</si>
  <si>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</si>
  <si>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</si>
  <si>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</si>
  <si>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</si>
  <si>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</si>
  <si>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</si>
  <si>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</si>
  <si>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</si>
  <si>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</si>
  <si>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</si>
  <si>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</si>
  <si>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</si>
  <si>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</si>
  <si>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</si>
  <si>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</si>
  <si>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</si>
  <si>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</si>
  <si>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</si>
  <si>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</si>
  <si>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</si>
  <si>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</si>
  <si>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</si>
  <si>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</si>
  <si>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</si>
  <si>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</si>
  <si>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</si>
  <si>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</si>
  <si>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</si>
  <si>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</si>
  <si>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</si>
  <si>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</si>
  <si>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</si>
  <si>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</si>
  <si>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</si>
  <si>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</si>
  <si>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</si>
  <si>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</si>
  <si>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</si>
  <si>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</si>
  <si>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</si>
  <si>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</si>
  <si>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</si>
  <si>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</si>
  <si>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</si>
  <si>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</si>
  <si>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</si>
  <si>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</si>
  <si>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</si>
  <si>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</si>
  <si>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</si>
  <si>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</si>
  <si>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</si>
  <si>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</si>
  <si>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</si>
  <si>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</si>
  <si>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</si>
  <si>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</si>
  <si>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</si>
  <si>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</si>
  <si>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</si>
  <si>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</si>
  <si>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</si>
  <si>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</si>
  <si>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</si>
  <si>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</si>
  <si>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</si>
  <si>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</si>
  <si>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</si>
  <si>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</si>
  <si>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</si>
  <si>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</si>
  <si>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</si>
  <si>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</si>
  <si>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</si>
  <si>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</si>
  <si>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</si>
  <si>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</si>
  <si>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</si>
  <si>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</si>
  <si>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</si>
  <si>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</si>
  <si>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</si>
  <si>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</si>
  <si>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</si>
  <si>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</si>
  <si>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</si>
  <si>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</si>
  <si>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</si>
  <si>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</si>
  <si>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</si>
  <si>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</si>
  <si>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</si>
  <si>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</si>
  <si>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</si>
  <si>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</si>
  <si>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</si>
  <si>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</si>
  <si>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</si>
  <si>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</si>
  <si>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</si>
  <si>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</si>
  <si>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</si>
  <si>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</si>
  <si>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</si>
  <si>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</si>
  <si>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</si>
  <si>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</si>
  <si>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</si>
  <si>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</si>
  <si>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</si>
  <si>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</si>
  <si>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</si>
  <si>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</si>
  <si>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</si>
  <si>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</si>
  <si>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</si>
  <si>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</si>
  <si>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</si>
  <si>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</si>
  <si>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</si>
  <si>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</si>
  <si>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</si>
  <si>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</si>
  <si>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</si>
  <si>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</si>
  <si>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</si>
  <si>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</si>
  <si>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</si>
  <si>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</si>
  <si>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</si>
  <si>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</si>
  <si>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</si>
  <si>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</si>
  <si>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</si>
  <si>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</si>
  <si>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</si>
  <si>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</si>
  <si>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</si>
  <si>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</si>
  <si>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</si>
  <si>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</si>
  <si>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</si>
  <si>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</si>
  <si>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</si>
  <si>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</si>
  <si>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</si>
  <si>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</si>
  <si>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</si>
  <si>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</si>
  <si>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</si>
  <si>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</si>
  <si>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</si>
  <si>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</si>
  <si>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</si>
  <si>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</si>
  <si>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</si>
  <si>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</si>
  <si>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</si>
  <si>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</si>
  <si>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</si>
  <si>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</si>
  <si>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</si>
  <si>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</si>
  <si>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</si>
  <si>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</si>
  <si>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</si>
  <si>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</si>
  <si>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</si>
  <si>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</si>
  <si>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</si>
  <si>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</si>
  <si>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</si>
  <si>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</si>
  <si>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</si>
  <si>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</si>
  <si>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</si>
  <si>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</si>
  <si>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</si>
  <si>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</si>
  <si>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</si>
  <si>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</si>
  <si>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</si>
  <si>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</si>
  <si>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</si>
  <si>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</si>
  <si>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</si>
  <si>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</si>
  <si>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</si>
  <si>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</si>
  <si>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</si>
  <si>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</si>
  <si>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</si>
  <si>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</si>
  <si>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</si>
  <si>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</si>
  <si>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</si>
  <si>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</si>
  <si>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</si>
  <si>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</si>
  <si>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</si>
  <si>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</si>
  <si>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</si>
  <si>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</si>
  <si>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</si>
  <si>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</si>
  <si>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</si>
  <si>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</si>
  <si>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</si>
  <si>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</si>
  <si>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</si>
  <si>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</si>
  <si>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</si>
  <si>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</si>
  <si>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</si>
  <si>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</si>
  <si>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</si>
  <si>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</si>
  <si>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</si>
  <si>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</si>
  <si>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</si>
  <si>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</si>
  <si>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</si>
  <si>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</si>
  <si>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</si>
  <si>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</si>
  <si>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</si>
  <si>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</si>
  <si>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</si>
  <si>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</si>
  <si>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</si>
  <si>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</si>
  <si>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</si>
  <si>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</si>
  <si>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</si>
  <si>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</si>
  <si>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</si>
  <si>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</si>
  <si>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</si>
  <si>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</si>
  <si>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</si>
  <si>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</si>
  <si>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</si>
  <si>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</si>
  <si>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</si>
  <si>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</si>
  <si>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</si>
  <si>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</si>
  <si>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</si>
  <si>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</si>
  <si>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</si>
  <si>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</si>
  <si>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</si>
  <si>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</si>
  <si>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</si>
  <si>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</si>
  <si>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</si>
  <si>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</si>
  <si>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</si>
  <si>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</si>
  <si>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</si>
  <si>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</si>
  <si>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</si>
  <si>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</si>
  <si>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</si>
  <si>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</si>
  <si>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</si>
  <si>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</si>
  <si>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</si>
  <si>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</si>
  <si>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</si>
  <si>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</si>
  <si>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</si>
  <si>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</si>
  <si>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</si>
  <si>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</si>
  <si>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</si>
  <si>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</si>
  <si>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</si>
  <si>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</si>
  <si>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</si>
  <si>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</si>
  <si>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</si>
  <si>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</si>
  <si>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</si>
  <si>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</si>
  <si>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</si>
  <si>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</si>
  <si>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</si>
  <si>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</si>
  <si>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</si>
  <si>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</si>
  <si>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</si>
  <si>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</si>
  <si>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</si>
  <si>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</si>
  <si>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</si>
  <si>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</si>
  <si>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</si>
  <si>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</si>
  <si>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</si>
  <si>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</si>
  <si>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</si>
  <si>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</si>
  <si>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</si>
  <si>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</si>
  <si>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</si>
  <si>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</si>
  <si>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</si>
  <si>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</si>
  <si>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</si>
  <si>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</si>
  <si>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</si>
  <si>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</si>
  <si>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</si>
  <si>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</si>
  <si>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</si>
  <si>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</si>
  <si>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</si>
  <si>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</si>
  <si>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</si>
  <si>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</si>
  <si>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</si>
  <si>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</si>
  <si>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</si>
  <si>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</si>
  <si>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</si>
  <si>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</si>
  <si>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</si>
  <si>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</si>
  <si>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</si>
  <si>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</si>
  <si>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</si>
  <si>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</si>
  <si>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</si>
  <si>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</si>
  <si>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</si>
  <si>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</si>
  <si>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</si>
  <si>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</si>
  <si>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</si>
  <si>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</si>
  <si>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</si>
  <si>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</si>
  <si>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</si>
  <si>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</si>
  <si>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</si>
  <si>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</si>
  <si>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</si>
  <si>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</si>
  <si>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</si>
  <si>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</si>
  <si>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</si>
  <si>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</si>
  <si>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</si>
  <si>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</si>
  <si>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</si>
  <si>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</si>
  <si>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</si>
  <si>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</si>
  <si>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</si>
  <si>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</si>
  <si>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</si>
  <si>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</si>
  <si>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</si>
  <si>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</si>
  <si>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</si>
  <si>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</si>
  <si>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</si>
  <si>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</si>
  <si>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</si>
  <si>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</si>
  <si>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</si>
  <si>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</si>
  <si>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</si>
  <si>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</si>
  <si>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</si>
  <si>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</si>
  <si>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</si>
  <si>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</si>
  <si>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</si>
  <si>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</si>
  <si>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</si>
  <si>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</si>
  <si>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</si>
  <si>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</si>
  <si>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</si>
  <si>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</si>
  <si>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</si>
  <si>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</si>
  <si>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</si>
  <si>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</si>
  <si>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</si>
  <si>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</si>
  <si>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</si>
  <si>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</si>
  <si>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</si>
  <si>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</si>
  <si>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</si>
  <si>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</si>
  <si>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</si>
  <si>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</si>
  <si>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</si>
  <si>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</si>
  <si>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</si>
  <si>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</si>
  <si>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</si>
  <si>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</si>
  <si>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</si>
  <si>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</si>
  <si>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</si>
  <si>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</si>
  <si>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</si>
  <si>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</si>
  <si>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</si>
  <si>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</si>
  <si>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</si>
  <si>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</si>
  <si>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</si>
  <si>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</si>
  <si>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</si>
  <si>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</si>
  <si>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</si>
  <si>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</si>
  <si>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</si>
  <si>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</si>
  <si>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</si>
  <si>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</si>
  <si>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</si>
  <si>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</si>
  <si>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</si>
  <si>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</si>
  <si>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</si>
  <si>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</si>
  <si>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</si>
  <si>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</si>
  <si>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</si>
  <si>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</si>
  <si>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</si>
  <si>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</si>
  <si>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</si>
  <si>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</si>
  <si>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</si>
  <si>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</si>
  <si>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</si>
  <si>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</si>
  <si>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</si>
  <si>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</si>
  <si>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</si>
  <si>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</si>
  <si>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</si>
  <si>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</si>
  <si>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</si>
  <si>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</si>
  <si>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</si>
  <si>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</si>
  <si>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</si>
  <si>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</si>
  <si>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</si>
  <si>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</si>
  <si>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</si>
  <si>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</si>
  <si>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</si>
  <si>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</si>
  <si>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</si>
  <si>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</si>
  <si>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</si>
  <si>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</si>
  <si>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</si>
  <si>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</si>
  <si>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</si>
  <si>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</si>
  <si>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</si>
  <si>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</si>
  <si>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</si>
  <si>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</si>
  <si>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</si>
  <si>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</si>
  <si>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</si>
  <si>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</si>
  <si>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</si>
  <si>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</si>
  <si>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</si>
  <si>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</si>
  <si>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</si>
  <si>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</si>
  <si>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</si>
  <si>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</si>
  <si>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</si>
  <si>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</si>
  <si>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</si>
  <si>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</si>
  <si>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</si>
  <si>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</si>
  <si>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</si>
  <si>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</si>
  <si>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</si>
  <si>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</si>
  <si>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</si>
  <si>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</si>
  <si>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</si>
  <si>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</si>
  <si>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</si>
  <si>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</si>
  <si>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</si>
  <si>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</si>
  <si>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</si>
  <si>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</si>
  <si>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</si>
  <si>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</si>
  <si>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</si>
  <si>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</si>
  <si>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</si>
  <si>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</si>
  <si>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</si>
  <si>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</si>
  <si>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</si>
  <si>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</si>
  <si>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</si>
  <si>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</si>
  <si>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</si>
  <si>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</si>
  <si>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</si>
  <si>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</si>
  <si>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</si>
  <si>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</si>
  <si>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</si>
  <si>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</si>
  <si>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</si>
  <si>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</si>
  <si>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</si>
  <si>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</si>
  <si>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</si>
  <si>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</si>
  <si>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</si>
  <si>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</si>
  <si>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</si>
  <si>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</si>
  <si>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</si>
  <si>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</si>
  <si>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</si>
  <si>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</si>
  <si>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</si>
  <si>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</si>
  <si>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</si>
  <si>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</si>
  <si>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</si>
  <si>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</si>
  <si>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</si>
  <si>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</si>
  <si>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</si>
  <si>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</si>
  <si>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</si>
  <si>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</si>
  <si>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</si>
  <si>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</si>
  <si>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</si>
  <si>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</si>
  <si>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</si>
  <si>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</si>
  <si>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</si>
  <si>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</si>
  <si>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</si>
  <si>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</si>
  <si>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</si>
  <si>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</si>
  <si>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</si>
  <si>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</si>
  <si>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</si>
  <si>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</si>
  <si>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</si>
  <si>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</si>
  <si>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</si>
  <si>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</si>
  <si>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</si>
  <si>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</si>
  <si>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</si>
  <si>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</si>
  <si>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</si>
  <si>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</si>
  <si>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</si>
  <si>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</si>
  <si>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</si>
  <si>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</si>
  <si>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</si>
  <si>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</si>
  <si>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</si>
  <si>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</si>
  <si>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</si>
  <si>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</si>
  <si>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</si>
  <si>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</si>
  <si>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</si>
  <si>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</si>
  <si>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</si>
  <si>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</si>
  <si>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</si>
  <si>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</si>
  <si>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</si>
  <si>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</si>
  <si>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</si>
  <si>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</si>
  <si>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</si>
  <si>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</si>
  <si>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</si>
  <si>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</si>
  <si>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</si>
  <si>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</si>
  <si>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</si>
  <si>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</si>
  <si>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</si>
  <si>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</si>
  <si>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</si>
  <si>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</si>
  <si>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</si>
  <si>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</si>
  <si>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</si>
  <si>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</si>
  <si>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</si>
  <si>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</si>
  <si>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</si>
  <si>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</si>
  <si>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</si>
  <si>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</si>
  <si>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</si>
  <si>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</si>
  <si>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</si>
  <si>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</si>
  <si>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</si>
  <si>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</si>
  <si>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</si>
  <si>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</si>
  <si>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</si>
  <si>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</si>
  <si>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</si>
  <si>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</si>
  <si>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</si>
  <si>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</si>
  <si>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</si>
  <si>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</si>
  <si>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</si>
  <si>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</si>
  <si>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</si>
  <si>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</si>
  <si>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</si>
  <si>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</si>
  <si>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</si>
  <si>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</si>
  <si>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</si>
  <si>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</si>
  <si>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</si>
  <si>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</si>
  <si>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</si>
  <si>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</si>
  <si>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</si>
  <si>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</si>
  <si>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</si>
  <si>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</si>
  <si>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</si>
  <si>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</si>
  <si>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</si>
  <si>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</si>
  <si>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</si>
  <si>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</si>
  <si>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</si>
  <si>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</si>
  <si>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</si>
  <si>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</si>
  <si>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</si>
  <si>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</si>
  <si>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</si>
  <si>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</si>
  <si>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</si>
  <si>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</si>
  <si>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</si>
  <si>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</si>
  <si>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</si>
  <si>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</si>
  <si>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</si>
  <si>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</si>
  <si>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</si>
  <si>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</si>
  <si>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</si>
  <si>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</si>
  <si>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</si>
  <si>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</si>
  <si>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</si>
  <si>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</si>
  <si>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</si>
  <si>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</si>
  <si>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</si>
  <si>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</si>
  <si>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</si>
  <si>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</si>
  <si>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</si>
  <si>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</si>
  <si>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</si>
  <si>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</si>
  <si>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</si>
  <si>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</si>
  <si>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</si>
  <si>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</si>
  <si>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</si>
  <si>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</si>
  <si>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</si>
  <si>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</si>
  <si>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</si>
  <si>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</si>
  <si>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</si>
  <si>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</si>
  <si>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</si>
  <si>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</si>
  <si>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</si>
  <si>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</si>
  <si>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</si>
  <si>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</si>
  <si>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</si>
  <si>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</si>
  <si>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</si>
  <si>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</si>
  <si>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</si>
  <si>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</si>
  <si>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</si>
  <si>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</si>
  <si>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</si>
  <si>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</si>
  <si>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</si>
  <si>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</si>
  <si>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</si>
  <si>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</si>
  <si>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</si>
  <si>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</si>
  <si>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</si>
  <si>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</si>
  <si>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</si>
  <si>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</si>
  <si>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</si>
  <si>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</si>
  <si>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</si>
  <si>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</si>
  <si>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</si>
  <si>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</si>
  <si>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</si>
  <si>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</si>
  <si>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</si>
  <si>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</si>
  <si>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</si>
  <si>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</si>
  <si>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</si>
  <si>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</si>
  <si>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</si>
  <si>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</si>
  <si>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</si>
  <si>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</si>
  <si>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</si>
  <si>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</si>
  <si>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</si>
  <si>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</si>
  <si>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</si>
  <si>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</si>
  <si>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</si>
  <si>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</si>
  <si>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</si>
  <si>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</si>
  <si>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</si>
  <si>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</si>
  <si>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</si>
  <si>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</si>
  <si>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</si>
  <si>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</si>
  <si>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</si>
  <si>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</si>
  <si>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</si>
  <si>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</si>
  <si>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</si>
  <si>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</si>
  <si>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</si>
  <si>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</si>
  <si>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</si>
  <si>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</si>
  <si>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</si>
  <si>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</si>
  <si>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</si>
  <si>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</si>
  <si>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</si>
  <si>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</si>
  <si>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</si>
  <si>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</si>
  <si>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</si>
  <si>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</si>
  <si>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</si>
  <si>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</si>
  <si>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</si>
  <si>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</si>
  <si>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</si>
  <si>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</si>
  <si>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</si>
  <si>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</si>
  <si>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</si>
  <si>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</si>
  <si>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</si>
  <si>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</si>
  <si>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</si>
  <si>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</si>
  <si>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</si>
  <si>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</si>
  <si>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</si>
  <si>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</si>
  <si>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</si>
  <si>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</si>
  <si>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</si>
  <si>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</si>
  <si>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</si>
  <si>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</si>
  <si>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</si>
  <si>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</si>
  <si>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</si>
  <si>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</si>
  <si>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</si>
  <si>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</si>
  <si>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</si>
  <si>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</si>
  <si>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</si>
  <si>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</si>
  <si>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</si>
  <si>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</si>
  <si>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</si>
  <si>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</si>
  <si>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</si>
  <si>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</si>
  <si>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</si>
  <si>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</si>
  <si>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</si>
  <si>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</si>
  <si>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</si>
  <si>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</si>
  <si>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</si>
  <si>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</si>
  <si>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</si>
  <si>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</si>
  <si>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</si>
  <si>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</si>
  <si>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</si>
  <si>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</si>
  <si>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</si>
  <si>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</si>
  <si>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</si>
  <si>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</si>
  <si>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</si>
  <si>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</si>
  <si>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</si>
  <si>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</si>
  <si>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</si>
  <si>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</si>
  <si>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</si>
  <si>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</si>
  <si>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</si>
  <si>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</si>
  <si>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</si>
  <si>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</si>
  <si>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</si>
  <si>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</si>
  <si>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</si>
  <si>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</si>
  <si>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</si>
  <si>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</si>
  <si>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</si>
  <si>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</si>
  <si>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</si>
  <si>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</si>
  <si>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</si>
  <si>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</si>
  <si>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</si>
  <si>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</si>
  <si>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</si>
  <si>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</si>
  <si>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</si>
  <si>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</si>
  <si>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</si>
  <si>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</si>
  <si>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</si>
  <si>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</si>
  <si>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</si>
  <si>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</si>
  <si>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</si>
  <si>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</si>
  <si>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</si>
  <si>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</si>
  <si>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</si>
  <si>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</si>
  <si>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</si>
  <si>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</si>
  <si>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</si>
  <si>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</si>
  <si>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</si>
  <si>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</si>
  <si>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</si>
  <si>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</si>
  <si>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</si>
  <si>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</si>
  <si>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</si>
  <si>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</si>
  <si>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</si>
  <si>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</si>
  <si>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</si>
  <si>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</si>
  <si>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</si>
  <si>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</si>
  <si>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</si>
  <si>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</si>
  <si>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</si>
  <si>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</si>
  <si>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</si>
  <si>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</si>
  <si>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</si>
  <si>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</si>
  <si>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</si>
  <si>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</si>
  <si>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</si>
  <si>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</si>
  <si>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</si>
  <si>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</si>
  <si>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</si>
  <si>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</si>
  <si>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</si>
  <si>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</si>
  <si>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</si>
  <si>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</si>
  <si>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</si>
  <si>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</si>
  <si>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</si>
  <si>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</si>
  <si>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</si>
  <si>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</si>
  <si>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</si>
  <si>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</si>
  <si>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</si>
  <si>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</si>
  <si>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</si>
  <si>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</si>
  <si>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</si>
  <si>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</si>
  <si>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</si>
  <si>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</si>
  <si>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</si>
  <si>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</si>
  <si>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</si>
  <si>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</si>
  <si>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</si>
  <si>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</si>
  <si>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</si>
  <si>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</si>
  <si>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</si>
  <si>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</si>
  <si>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</si>
  <si>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</si>
  <si>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</si>
  <si>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</si>
  <si>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</si>
  <si>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</si>
  <si>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</si>
  <si>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</si>
  <si>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</si>
  <si>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</si>
  <si>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</si>
  <si>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</si>
  <si>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</si>
  <si>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</si>
  <si>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</si>
  <si>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</si>
  <si>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</si>
  <si>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</si>
  <si>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</si>
  <si>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</si>
  <si>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</si>
  <si>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</si>
  <si>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</si>
  <si>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</si>
  <si>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</si>
  <si>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</si>
  <si>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</si>
  <si>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</si>
  <si>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</si>
  <si>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</si>
  <si>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</si>
  <si>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</si>
  <si>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</si>
  <si>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</si>
  <si>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</si>
  <si>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</si>
  <si>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</si>
  <si>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</si>
  <si>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</si>
  <si>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</si>
  <si>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</si>
  <si>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</si>
  <si>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</si>
  <si>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</si>
  <si>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</si>
  <si>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</si>
  <si>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</si>
  <si>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</si>
  <si>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</si>
  <si>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</si>
  <si>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</si>
  <si>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</si>
  <si>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</si>
  <si>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</si>
  <si>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</si>
  <si>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</si>
  <si>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</si>
  <si>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</si>
  <si>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</si>
  <si>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</si>
  <si>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</si>
  <si>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</si>
  <si>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</si>
  <si>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</si>
  <si>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</si>
  <si>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</si>
  <si>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</si>
  <si>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</si>
  <si>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</si>
  <si>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</si>
  <si>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</si>
  <si>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</si>
  <si>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</si>
  <si>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</si>
  <si>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</si>
  <si>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</si>
  <si>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</si>
  <si>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</si>
  <si>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</si>
  <si>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</si>
  <si>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</si>
  <si>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</si>
  <si>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</si>
  <si>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</si>
  <si>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</si>
  <si>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</si>
  <si>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</si>
  <si>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</si>
  <si>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</si>
  <si>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</si>
  <si>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</si>
  <si>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</si>
  <si>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</si>
  <si>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</si>
  <si>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</si>
  <si>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</si>
  <si>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</si>
  <si>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</si>
  <si>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</si>
  <si>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</si>
  <si>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</si>
  <si>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</si>
  <si>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</si>
  <si>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</si>
  <si>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</si>
  <si>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</si>
  <si>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</si>
  <si>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</si>
  <si>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</si>
  <si>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</si>
  <si>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</si>
  <si>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</si>
  <si>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</si>
  <si>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</si>
  <si>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</si>
  <si>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</si>
  <si>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</si>
  <si>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</si>
  <si>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</si>
  <si>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</si>
  <si>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</si>
  <si>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</si>
  <si>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</si>
  <si>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</si>
  <si>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</si>
  <si>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</si>
  <si>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</si>
  <si>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</si>
  <si>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</si>
  <si>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</si>
  <si>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</si>
  <si>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</si>
  <si>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</si>
  <si>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</si>
  <si>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</si>
  <si>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</si>
  <si>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</si>
  <si>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</si>
  <si>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</si>
  <si>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</si>
  <si>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</si>
  <si>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</si>
  <si>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</si>
  <si>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</si>
  <si>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</si>
  <si>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</si>
  <si>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</si>
  <si>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</si>
  <si>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</si>
  <si>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</si>
  <si>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</si>
  <si>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</si>
  <si>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</si>
  <si>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</si>
  <si>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</si>
  <si>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</si>
  <si>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</si>
  <si>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</si>
  <si>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</si>
  <si>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</si>
  <si>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</si>
  <si>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</si>
  <si>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</si>
  <si>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</si>
  <si>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</si>
  <si>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</si>
  <si>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</si>
  <si>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</si>
  <si>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</si>
  <si>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</si>
  <si>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</si>
  <si>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</si>
  <si>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</si>
  <si>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</si>
  <si>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</si>
  <si>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</si>
  <si>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</si>
  <si>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</si>
  <si>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</si>
  <si>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</si>
  <si>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</si>
  <si>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</si>
  <si>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</si>
  <si>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</si>
  <si>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</si>
  <si>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</si>
  <si>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</si>
  <si>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</si>
  <si>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</si>
  <si>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</si>
  <si>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</si>
  <si>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</si>
  <si>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</si>
  <si>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</si>
  <si>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</si>
  <si>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</si>
  <si>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</si>
  <si>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</si>
  <si>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</si>
  <si>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</si>
  <si>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</si>
  <si>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</si>
  <si>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</si>
  <si>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</si>
  <si>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</si>
  <si>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</si>
  <si>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</si>
  <si>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</si>
  <si>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</si>
  <si>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</si>
  <si>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</si>
  <si>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</si>
  <si>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</si>
  <si>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</si>
  <si>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</si>
  <si>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</si>
  <si>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</si>
  <si>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</si>
  <si>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</si>
  <si>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</si>
  <si>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</si>
  <si>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</si>
  <si>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</si>
  <si>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</si>
  <si>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</si>
  <si>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</si>
  <si>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</si>
  <si>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</si>
  <si>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</si>
  <si>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</si>
  <si>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</si>
  <si>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</si>
  <si>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</si>
  <si>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</si>
  <si>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</si>
  <si>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</si>
  <si>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</si>
  <si>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</si>
  <si>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</si>
  <si>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</si>
  <si>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</si>
  <si>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</si>
  <si>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</si>
  <si>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</si>
  <si>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</si>
  <si>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</si>
  <si>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</si>
  <si>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</si>
  <si>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</si>
  <si>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</si>
  <si>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</si>
  <si>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</si>
  <si>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</si>
  <si>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</si>
  <si>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</si>
  <si>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</si>
  <si>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</si>
  <si>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</si>
  <si>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</si>
  <si>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</si>
  <si>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</si>
  <si>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</si>
  <si>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</si>
  <si>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</si>
  <si>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</si>
  <si>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</si>
  <si>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</si>
  <si>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</si>
  <si>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</si>
  <si>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</si>
  <si>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</si>
  <si>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</si>
  <si>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</si>
  <si>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</si>
  <si>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</si>
  <si>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</si>
  <si>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</si>
  <si>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</si>
  <si>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</si>
  <si>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</si>
  <si>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</si>
  <si>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</si>
  <si>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</si>
  <si>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</si>
  <si>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</si>
  <si>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</si>
  <si>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</si>
  <si>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</si>
  <si>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</si>
  <si>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</si>
  <si>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</si>
  <si>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</si>
  <si>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</si>
  <si>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</si>
  <si>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</si>
  <si>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</si>
  <si>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</si>
  <si>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</si>
  <si>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</si>
  <si>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</si>
  <si>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</si>
  <si>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</si>
  <si>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</si>
  <si>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</si>
  <si>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</si>
  <si>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</si>
  <si>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</si>
  <si>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</si>
  <si>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</si>
  <si>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</si>
  <si>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</si>
  <si>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</si>
  <si>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</si>
  <si>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</si>
  <si>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</si>
  <si>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</si>
  <si>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</si>
  <si>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</si>
  <si>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</si>
  <si>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</si>
  <si>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</si>
  <si>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</si>
  <si>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</si>
  <si>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</si>
  <si>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</si>
  <si>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</si>
  <si>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</si>
  <si>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</si>
  <si>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</si>
  <si>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</si>
  <si>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</si>
  <si>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</si>
  <si>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</si>
  <si>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</si>
  <si>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</si>
  <si>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</si>
  <si>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</si>
  <si>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</si>
  <si>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</si>
  <si>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</si>
  <si>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</si>
  <si>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</si>
  <si>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</si>
  <si>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</si>
  <si>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</si>
  <si>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</si>
  <si>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</si>
  <si>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</si>
  <si>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</si>
  <si>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</si>
  <si>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</si>
  <si>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</si>
  <si>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</si>
  <si>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</si>
  <si>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</si>
  <si>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</si>
  <si>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</si>
  <si>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</si>
  <si>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</si>
  <si>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</si>
  <si>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</si>
  <si>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</si>
  <si>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</si>
  <si>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</si>
  <si>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</si>
  <si>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</si>
  <si>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</si>
  <si>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</si>
  <si>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</si>
  <si>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</si>
  <si>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</si>
  <si>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</si>
  <si>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</si>
  <si>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</si>
  <si>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</si>
  <si>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</si>
  <si>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</si>
  <si>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</si>
  <si>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</si>
  <si>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</si>
  <si>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</si>
  <si>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</si>
  <si>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</si>
  <si>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</si>
  <si>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</si>
  <si>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</si>
  <si>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</si>
  <si>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</si>
  <si>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</si>
  <si>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</si>
  <si>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</si>
  <si>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</si>
  <si>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</si>
  <si>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</si>
  <si>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</si>
  <si>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</si>
  <si>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</si>
  <si>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</si>
  <si>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</si>
  <si>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</si>
  <si>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</si>
  <si>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</si>
  <si>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</si>
  <si>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</si>
  <si>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</si>
  <si>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</si>
  <si>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</si>
  <si>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</si>
  <si>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</si>
  <si>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</si>
  <si>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</si>
  <si>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</si>
  <si>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</si>
  <si>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</si>
  <si>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</si>
  <si>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</si>
  <si>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</si>
  <si>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</si>
  <si>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</si>
  <si>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</si>
  <si>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</si>
  <si>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</si>
  <si>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</si>
  <si>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</si>
  <si>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</si>
  <si>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</si>
  <si>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</si>
  <si>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</si>
  <si>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</si>
  <si>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</si>
  <si>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</si>
  <si>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</si>
  <si>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</si>
  <si>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</si>
  <si>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</si>
  <si>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</si>
  <si>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</si>
  <si>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</si>
  <si>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</si>
  <si>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</si>
  <si>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</si>
  <si>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</si>
  <si>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</si>
  <si>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</si>
  <si>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</si>
  <si>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</si>
  <si>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</si>
  <si>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</si>
  <si>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</si>
  <si>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</si>
  <si>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</si>
  <si>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</si>
  <si>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</si>
  <si>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</si>
  <si>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</si>
  <si>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</si>
  <si>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</si>
  <si>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</si>
  <si>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</si>
  <si>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</si>
  <si>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</si>
  <si>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</si>
  <si>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</si>
  <si>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</si>
  <si>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</si>
  <si>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</si>
  <si>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</si>
  <si>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</si>
  <si>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</si>
  <si>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</si>
  <si>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</si>
  <si>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</si>
  <si>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</si>
  <si>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</si>
  <si>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</si>
  <si>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</si>
  <si>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</si>
  <si>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</si>
  <si>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</si>
  <si>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</si>
  <si>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</si>
  <si>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</si>
  <si>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</si>
  <si>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</si>
  <si>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</si>
  <si>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</si>
  <si>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</si>
  <si>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</si>
  <si>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</si>
  <si>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</si>
  <si>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</si>
  <si>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</si>
  <si>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</si>
  <si>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</si>
  <si>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</si>
  <si>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</si>
  <si>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</si>
  <si>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</si>
  <si>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</si>
  <si>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</si>
  <si>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</si>
  <si>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</si>
  <si>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</si>
  <si>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</si>
  <si>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</si>
  <si>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</si>
  <si>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</si>
  <si>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</si>
  <si>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</si>
  <si>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</si>
  <si>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</si>
  <si>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</si>
  <si>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</si>
  <si>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</si>
  <si>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</si>
  <si>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</si>
  <si>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</si>
  <si>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</si>
  <si>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</si>
  <si>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</si>
  <si>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</si>
  <si>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</si>
  <si>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</si>
  <si>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</si>
  <si>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</si>
  <si>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</si>
  <si>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</si>
  <si>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</si>
  <si>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</si>
  <si>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</si>
  <si>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</si>
  <si>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</si>
  <si>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</si>
  <si>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</si>
  <si>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</si>
  <si>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</si>
  <si>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</si>
  <si>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</si>
  <si>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</si>
  <si>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</si>
  <si>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</si>
  <si>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</si>
  <si>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</si>
  <si>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</si>
  <si>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</si>
  <si>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</si>
  <si>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</si>
  <si>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</si>
  <si>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</si>
  <si>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</si>
  <si>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</si>
  <si>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</si>
  <si>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</si>
  <si>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</si>
  <si>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</si>
  <si>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</si>
  <si>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</si>
  <si>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</si>
  <si>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</si>
  <si>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</si>
  <si>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</si>
  <si>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</si>
  <si>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</si>
  <si>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</si>
  <si>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</si>
  <si>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</si>
  <si>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</si>
  <si>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</si>
  <si>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</si>
  <si>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</si>
  <si>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</si>
  <si>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</si>
  <si>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</si>
  <si>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</si>
  <si>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</si>
  <si>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</si>
  <si>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</si>
  <si>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</si>
  <si>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</si>
  <si>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</si>
  <si>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</si>
  <si>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</si>
  <si>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</si>
  <si>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</si>
  <si>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</si>
  <si>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</si>
  <si>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</si>
  <si>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</si>
  <si>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</si>
  <si>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</si>
  <si>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</si>
  <si>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</si>
  <si>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</si>
  <si>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</si>
  <si>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</si>
  <si>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</si>
  <si>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</si>
  <si>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</si>
  <si>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</si>
  <si>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</si>
  <si>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</si>
  <si>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</si>
  <si>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</si>
  <si>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</si>
  <si>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</si>
  <si>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</si>
  <si>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</si>
  <si>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</si>
  <si>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</si>
  <si>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</si>
  <si>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</si>
  <si>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</si>
  <si>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</si>
  <si>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</si>
  <si>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</si>
  <si>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</si>
  <si>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</si>
  <si>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</si>
  <si>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</si>
  <si>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</si>
  <si>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</si>
  <si>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</si>
  <si>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</si>
  <si>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</si>
  <si>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</si>
  <si>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</si>
  <si>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</si>
  <si>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</si>
  <si>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</si>
  <si>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</si>
  <si>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</si>
  <si>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</si>
  <si>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</si>
  <si>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</si>
  <si>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</si>
  <si>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</si>
  <si>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</si>
  <si>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</si>
  <si>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</si>
  <si>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</si>
  <si>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</si>
  <si>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</si>
  <si>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</si>
  <si>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</si>
  <si>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</si>
  <si>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</si>
  <si>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</si>
  <si>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</si>
  <si>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</si>
  <si>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</si>
  <si>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</si>
  <si>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</si>
  <si>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</si>
  <si>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</si>
  <si>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</si>
  <si>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</si>
  <si>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</si>
  <si>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</si>
  <si>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</si>
  <si>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</si>
  <si>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</si>
  <si>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</si>
  <si>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</si>
  <si>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</si>
  <si>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</si>
  <si>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</si>
  <si>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</si>
  <si>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</si>
  <si>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</si>
  <si>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</si>
  <si>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</si>
  <si>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</si>
  <si>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</si>
  <si>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</si>
  <si>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</si>
  <si>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</si>
  <si>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</si>
  <si>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</si>
  <si>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</si>
  <si>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</si>
  <si>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</si>
  <si>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</si>
  <si>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</si>
  <si>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</si>
  <si>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</si>
  <si>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</si>
  <si>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</si>
  <si>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</si>
  <si>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</si>
  <si>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</si>
  <si>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</si>
  <si>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</si>
  <si>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</si>
  <si>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</si>
  <si>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</si>
  <si>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</si>
  <si>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</si>
  <si>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</si>
  <si>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</si>
  <si>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</si>
  <si>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</si>
  <si>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</si>
  <si>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</si>
  <si>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</si>
  <si>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</si>
  <si>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</si>
  <si>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</si>
  <si>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</si>
  <si>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</si>
  <si>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</si>
  <si>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</si>
  <si>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</si>
  <si>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</si>
  <si>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</si>
  <si>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</si>
  <si>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</si>
  <si>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</si>
  <si>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</si>
  <si>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</si>
  <si>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</si>
  <si>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</si>
  <si>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</si>
  <si>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</si>
  <si>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</si>
  <si>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</si>
  <si>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</si>
  <si>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</si>
  <si>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</si>
  <si>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</si>
  <si>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</si>
  <si>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</si>
  <si>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</si>
  <si>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</si>
  <si>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</si>
  <si>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</si>
  <si>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</si>
  <si>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</si>
  <si>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</si>
  <si>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</si>
  <si>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</si>
  <si>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</si>
  <si>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</si>
  <si>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</si>
  <si>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</si>
  <si>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</si>
  <si>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</si>
  <si>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</si>
  <si>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</si>
  <si>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</si>
  <si>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</si>
  <si>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</si>
  <si>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</si>
  <si>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</si>
  <si>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</si>
  <si>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</si>
  <si>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</si>
  <si>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</si>
  <si>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</si>
  <si>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</si>
  <si>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</si>
  <si>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</si>
  <si>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</si>
  <si>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</si>
  <si>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</si>
  <si>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</si>
  <si>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</si>
  <si>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</si>
  <si>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</si>
  <si>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</si>
  <si>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</si>
  <si>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</si>
  <si>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</si>
  <si>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</si>
  <si>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</si>
  <si>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</si>
  <si>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</si>
  <si>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</si>
  <si>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</si>
  <si>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</si>
  <si>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</si>
  <si>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</si>
  <si>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</si>
  <si>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</si>
  <si>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</si>
  <si>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</si>
  <si>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</si>
  <si>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</si>
  <si>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</si>
  <si>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</si>
  <si>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</si>
  <si>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</si>
  <si>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</si>
  <si>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</si>
  <si>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</si>
  <si>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</si>
  <si>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</si>
  <si>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</si>
  <si>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</si>
  <si>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</si>
  <si>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</si>
  <si>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</si>
  <si>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</si>
  <si>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</si>
  <si>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</si>
  <si>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</si>
  <si>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</si>
  <si>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</si>
  <si>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</si>
  <si>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</si>
  <si>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</si>
  <si>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</si>
  <si>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</si>
  <si>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</si>
  <si>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</si>
  <si>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</si>
  <si>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</si>
  <si>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</si>
  <si>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</si>
  <si>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</si>
  <si>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</si>
  <si>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</si>
  <si>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</si>
  <si>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</si>
  <si>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</si>
  <si>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</si>
  <si>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</si>
  <si>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</si>
  <si>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</si>
  <si>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</si>
  <si>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</si>
  <si>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</si>
  <si>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</si>
  <si>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</si>
  <si>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</si>
  <si>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</si>
  <si>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</si>
  <si>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</si>
  <si>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</si>
  <si>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</si>
  <si>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</si>
  <si>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</si>
  <si>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</si>
  <si>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</si>
  <si>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</si>
  <si>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</si>
  <si>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</si>
  <si>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</si>
  <si>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</si>
  <si>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</si>
  <si>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</si>
  <si>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</si>
  <si>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</si>
  <si>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</si>
  <si>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</si>
  <si>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</si>
  <si>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</si>
  <si>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</si>
  <si>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</si>
  <si>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</si>
  <si>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</si>
  <si>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</si>
  <si>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</si>
  <si>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</si>
  <si>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</si>
  <si>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</si>
  <si>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</si>
  <si>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</si>
  <si>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</si>
  <si>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</si>
  <si>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</si>
  <si>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</si>
  <si>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</si>
  <si>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</si>
  <si>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</si>
  <si>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</si>
  <si>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</si>
  <si>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</si>
  <si>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</si>
  <si>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</si>
  <si>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</si>
  <si>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</si>
  <si>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</si>
  <si>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</si>
  <si>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</si>
  <si>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</si>
  <si>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</si>
  <si>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</si>
  <si>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</si>
  <si>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</si>
  <si>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</si>
  <si>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</si>
  <si>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</si>
  <si>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</si>
  <si>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</si>
  <si>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</si>
  <si>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</si>
  <si>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</si>
  <si>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</si>
  <si>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</si>
  <si>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</si>
  <si>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</si>
  <si>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</si>
  <si>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</si>
  <si>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</si>
  <si>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</si>
  <si>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</si>
  <si>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</si>
  <si>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</si>
  <si>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</si>
  <si>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</si>
  <si>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</si>
  <si>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</si>
  <si>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</si>
  <si>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</si>
  <si>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</si>
  <si>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</si>
  <si>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</si>
  <si>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</si>
  <si>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</si>
  <si>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</si>
  <si>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</si>
  <si>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</si>
  <si>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</si>
  <si>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</si>
  <si>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</si>
  <si>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</si>
  <si>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</si>
  <si>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</si>
  <si>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</si>
  <si>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</si>
  <si>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</si>
  <si>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</si>
  <si>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</si>
  <si>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</si>
  <si>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</si>
  <si>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</si>
  <si>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</si>
  <si>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</si>
  <si>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</si>
  <si>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</si>
  <si>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</si>
  <si>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</si>
  <si>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</si>
  <si>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</si>
  <si>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</si>
  <si>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</si>
  <si>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</si>
  <si>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</si>
  <si>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</si>
  <si>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</si>
  <si>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</si>
  <si>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</si>
  <si>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</si>
  <si>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</si>
  <si>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</si>
  <si>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</si>
  <si>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</si>
  <si>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</si>
  <si>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</si>
  <si>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</si>
  <si>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</si>
  <si>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</si>
  <si>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</si>
  <si>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</si>
  <si>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</si>
  <si>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</si>
  <si>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</si>
  <si>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</si>
  <si>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</si>
  <si>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</si>
  <si>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</si>
  <si>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</si>
  <si>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</si>
  <si>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</si>
  <si>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</si>
  <si>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</si>
  <si>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</si>
  <si>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</si>
  <si>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</si>
  <si>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</si>
  <si>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</si>
  <si>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</si>
  <si>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</si>
  <si>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</si>
  <si>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</si>
  <si>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</si>
  <si>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</si>
  <si>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</si>
  <si>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</si>
  <si>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</si>
  <si>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</si>
  <si>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</si>
  <si>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</si>
  <si>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</si>
  <si>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</si>
  <si>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</si>
  <si>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</si>
  <si>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</si>
  <si>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</si>
  <si>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</si>
  <si>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</si>
  <si>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</si>
  <si>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</si>
  <si>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</si>
  <si>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</si>
  <si>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</si>
  <si>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</si>
  <si>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</si>
  <si>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</si>
  <si>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</si>
  <si>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</si>
  <si>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</si>
  <si>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</si>
  <si>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</si>
  <si>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</si>
  <si>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</si>
  <si>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</si>
  <si>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</si>
  <si>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</si>
  <si>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</si>
  <si>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</si>
  <si>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</si>
  <si>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</si>
  <si>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</si>
  <si>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</si>
  <si>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</si>
  <si>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</si>
  <si>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</si>
  <si>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</si>
  <si>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</si>
  <si>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</si>
  <si>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</si>
  <si>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</si>
  <si>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</si>
  <si>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</si>
  <si>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</si>
  <si>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</si>
  <si>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</si>
  <si>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</si>
  <si>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</si>
  <si>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</si>
  <si>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</si>
  <si>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</si>
  <si>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</si>
  <si>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</si>
  <si>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</si>
  <si>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</si>
  <si>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</si>
  <si>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</si>
  <si>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</si>
  <si>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</si>
  <si>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</si>
  <si>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</si>
  <si>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</si>
  <si>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</si>
  <si>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</si>
  <si>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</si>
  <si>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</si>
  <si>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</si>
  <si>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</si>
  <si>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</si>
  <si>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</si>
  <si>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</si>
  <si>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</si>
  <si>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</si>
  <si>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</si>
  <si>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</si>
  <si>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</si>
  <si>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</si>
  <si>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</si>
  <si>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</si>
  <si>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</si>
  <si>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</si>
  <si>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</si>
  <si>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</si>
  <si>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</si>
  <si>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</si>
  <si>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</si>
  <si>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</si>
  <si>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</si>
  <si>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</si>
  <si>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</si>
  <si>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</si>
  <si>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</si>
  <si>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</si>
  <si>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</si>
  <si>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</si>
  <si>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</si>
  <si>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</si>
  <si>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</si>
  <si>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</si>
  <si>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</si>
  <si>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</si>
  <si>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</si>
  <si>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</si>
  <si>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</si>
  <si>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</si>
  <si>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</si>
  <si>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</si>
  <si>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</si>
  <si>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</si>
  <si>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</si>
  <si>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</si>
  <si>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</si>
  <si>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</si>
  <si>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</si>
  <si>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</si>
  <si>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</si>
  <si>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</si>
  <si>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</si>
  <si>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</si>
  <si>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</si>
  <si>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</si>
  <si>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</si>
  <si>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</si>
  <si>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</si>
  <si>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</si>
  <si>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</si>
  <si>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</si>
  <si>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</si>
  <si>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</si>
  <si>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</si>
  <si>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</si>
  <si>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</si>
  <si>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</si>
  <si>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</si>
  <si>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</si>
  <si>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</si>
  <si>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</si>
  <si>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</si>
  <si>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</si>
  <si>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</si>
  <si>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</si>
  <si>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</si>
  <si>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</si>
  <si>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</si>
  <si>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</si>
  <si>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</si>
  <si>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</si>
  <si>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</si>
  <si>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</si>
  <si>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</si>
  <si>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</si>
  <si>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</si>
  <si>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</si>
  <si>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</si>
  <si>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</si>
  <si>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</si>
  <si>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</si>
  <si>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</si>
  <si>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</si>
  <si>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</si>
  <si>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</si>
  <si>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</si>
  <si>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</si>
  <si>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</si>
  <si>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</si>
  <si>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</si>
  <si>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</si>
  <si>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</si>
  <si>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</si>
  <si>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</si>
  <si>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</si>
  <si>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</si>
  <si>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</si>
  <si>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</si>
  <si>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</si>
  <si>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</si>
  <si>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</si>
  <si>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</si>
  <si>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</si>
  <si>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</si>
  <si>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</si>
  <si>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</si>
  <si>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</si>
  <si>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</si>
  <si>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</si>
  <si>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</si>
  <si>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</si>
  <si>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</si>
  <si>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</si>
  <si>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</si>
  <si>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</si>
  <si>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</si>
  <si>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</si>
  <si>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</si>
  <si>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</si>
  <si>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</si>
  <si>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</si>
  <si>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</si>
  <si>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</si>
  <si>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</si>
  <si>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</si>
  <si>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</si>
  <si>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</si>
  <si>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</si>
  <si>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</si>
  <si>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</si>
  <si>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</si>
  <si>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</si>
  <si>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</si>
  <si>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</si>
  <si>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</si>
  <si>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</si>
  <si>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</si>
  <si>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</si>
  <si>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</si>
  <si>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</si>
  <si>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</si>
  <si>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</si>
  <si>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</si>
  <si>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</si>
  <si>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</si>
  <si>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</si>
  <si>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</si>
  <si>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</si>
  <si>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</si>
  <si>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</si>
  <si>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</si>
  <si>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</si>
  <si>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</si>
  <si>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</si>
  <si>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</si>
  <si>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</si>
  <si>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</si>
  <si>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</si>
  <si>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</si>
  <si>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</si>
  <si>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</si>
  <si>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</si>
  <si>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</si>
  <si>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</si>
  <si>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</si>
  <si>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</si>
  <si>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</si>
  <si>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</si>
  <si>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</si>
  <si>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</si>
  <si>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</si>
  <si>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</si>
  <si>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</si>
  <si>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</si>
  <si>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</si>
  <si>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</si>
  <si>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</si>
  <si>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</si>
  <si>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</si>
  <si>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</si>
  <si>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</si>
  <si>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</si>
  <si>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</si>
  <si>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</si>
  <si>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</si>
  <si>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</si>
  <si>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</si>
  <si>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</si>
  <si>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</si>
  <si>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</si>
  <si>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</si>
  <si>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</si>
  <si>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</si>
  <si>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</si>
  <si>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</si>
  <si>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</si>
  <si>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</si>
  <si>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</si>
  <si>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</si>
  <si>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</si>
  <si>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</si>
  <si>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</si>
  <si>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</si>
  <si>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</si>
  <si>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</si>
  <si>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</si>
  <si>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</si>
  <si>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</si>
  <si>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</si>
  <si>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</si>
  <si>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</si>
  <si>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</si>
  <si>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</si>
  <si>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</si>
  <si>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</si>
  <si>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</si>
  <si>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</si>
  <si>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</si>
  <si>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</si>
  <si>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</si>
  <si>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</si>
  <si>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</si>
  <si>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</si>
  <si>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</si>
  <si>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</si>
  <si>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</si>
  <si>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</si>
  <si>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</si>
  <si>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</si>
  <si>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</si>
  <si>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</si>
  <si>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</si>
  <si>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</si>
  <si>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</si>
  <si>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</si>
  <si>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</si>
  <si>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</si>
  <si>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</si>
  <si>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</si>
  <si>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</si>
  <si>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</si>
  <si>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</si>
  <si>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</si>
  <si>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</si>
  <si>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</si>
  <si>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</si>
  <si>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</si>
  <si>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</si>
  <si>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</si>
  <si>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</si>
  <si>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</si>
  <si>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</si>
  <si>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</si>
  <si>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</si>
  <si>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</si>
  <si>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</si>
  <si>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</si>
  <si>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</si>
  <si>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</si>
  <si>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</si>
  <si>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</si>
  <si>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</si>
  <si>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</si>
  <si>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</si>
  <si>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</si>
  <si>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</si>
  <si>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</si>
  <si>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</si>
  <si>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</si>
  <si>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</si>
  <si>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</si>
  <si>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</si>
  <si>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</si>
  <si>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</si>
  <si>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</si>
  <si>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</si>
  <si>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</si>
  <si>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</si>
  <si>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</si>
  <si>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</si>
  <si>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</si>
  <si>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</si>
  <si>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</si>
  <si>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</si>
  <si>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</si>
  <si>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</si>
  <si>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</si>
  <si>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</si>
  <si>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</si>
  <si>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</si>
  <si>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</si>
  <si>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</si>
  <si>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</si>
  <si>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</si>
  <si>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</si>
  <si>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</si>
  <si>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</si>
  <si>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</si>
  <si>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</si>
  <si>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</si>
  <si>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</si>
  <si>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</si>
  <si>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</si>
  <si>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</si>
  <si>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</si>
  <si>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</si>
  <si>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</si>
  <si>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</si>
  <si>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</si>
  <si>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</si>
  <si>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</si>
  <si>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</si>
  <si>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</si>
  <si>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</si>
  <si>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</si>
  <si>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</si>
  <si>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</si>
  <si>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</si>
  <si>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</si>
  <si>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</si>
  <si>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</si>
  <si>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</si>
  <si>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</si>
  <si>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</si>
  <si>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</si>
  <si>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</si>
  <si>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</si>
  <si>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</si>
  <si>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</si>
  <si>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</si>
  <si>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</si>
  <si>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</si>
  <si>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</si>
  <si>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</si>
  <si>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</si>
  <si>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</si>
  <si>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</si>
  <si>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</si>
  <si>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</si>
  <si>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</si>
  <si>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</si>
  <si>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</si>
  <si>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</si>
  <si>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</si>
  <si>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</si>
  <si>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</si>
  <si>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</si>
  <si>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</si>
  <si>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</si>
  <si>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</si>
  <si>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</si>
  <si>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</si>
  <si>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</si>
  <si>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</si>
  <si>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</si>
  <si>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</si>
  <si>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</si>
  <si>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</si>
  <si>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</si>
  <si>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</si>
  <si>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</si>
  <si>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</si>
  <si>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</si>
  <si>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</si>
  <si>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</si>
  <si>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</si>
  <si>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</si>
  <si>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</si>
  <si>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</si>
  <si>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</si>
  <si>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</si>
  <si>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</si>
  <si>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</si>
  <si>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</si>
  <si>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</si>
  <si>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</si>
  <si>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</si>
  <si>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</si>
  <si>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</si>
  <si>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</si>
  <si>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</si>
  <si>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</si>
  <si>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</si>
  <si>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</si>
  <si>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</si>
  <si>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</si>
  <si>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</si>
  <si>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</si>
  <si>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</si>
  <si>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</si>
  <si>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</si>
  <si>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</si>
  <si>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</si>
  <si>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</si>
  <si>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</si>
  <si>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</si>
  <si>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</si>
  <si>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</si>
  <si>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</si>
  <si>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</si>
  <si>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</si>
  <si>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</si>
  <si>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</si>
  <si>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</si>
  <si>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</si>
  <si>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</si>
  <si>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</si>
  <si>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</si>
  <si>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</si>
  <si>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</si>
  <si>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</si>
  <si>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</si>
  <si>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</si>
  <si>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</si>
  <si>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</si>
  <si>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</si>
  <si>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</si>
  <si>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</si>
  <si>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</si>
  <si>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</si>
  <si>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</si>
  <si>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</si>
  <si>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</si>
  <si>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</si>
  <si>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</si>
  <si>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</si>
  <si>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</si>
  <si>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</si>
  <si>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</si>
  <si>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</si>
  <si>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</si>
  <si>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</si>
  <si>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</si>
  <si>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</si>
  <si>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</si>
  <si>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</si>
  <si>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</si>
  <si>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</si>
  <si>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</si>
  <si>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</si>
  <si>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</si>
  <si>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</si>
  <si>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</si>
  <si>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</si>
  <si>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</si>
  <si>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</si>
  <si>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</si>
  <si>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</si>
  <si>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</si>
  <si>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</si>
  <si>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</si>
  <si>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</si>
  <si>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</si>
  <si>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</si>
  <si>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</si>
  <si>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</si>
  <si>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</si>
  <si>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</si>
  <si>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</si>
  <si>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</si>
  <si>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</si>
  <si>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</si>
  <si>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</si>
  <si>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</si>
  <si>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</si>
  <si>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</si>
  <si>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</si>
  <si>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</si>
  <si>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</si>
  <si>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</si>
  <si>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</si>
  <si>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</si>
  <si>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</si>
  <si>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</si>
  <si>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</si>
  <si>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</si>
  <si>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</si>
  <si>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</si>
  <si>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</si>
  <si>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</si>
  <si>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</si>
  <si>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</si>
  <si>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</si>
  <si>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</si>
  <si>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</si>
  <si>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</si>
  <si>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</si>
  <si>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</si>
  <si>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</si>
  <si>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</si>
  <si>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</si>
  <si>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</si>
  <si>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</si>
  <si>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</si>
  <si>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</si>
  <si>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</si>
  <si>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</si>
  <si>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</si>
  <si>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</si>
  <si>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</si>
  <si>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</si>
  <si>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</si>
  <si>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</si>
  <si>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</si>
  <si>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</si>
  <si>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</si>
  <si>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</si>
  <si>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</si>
  <si>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</si>
  <si>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</si>
  <si>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</si>
  <si>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</si>
  <si>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</si>
  <si>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</si>
  <si>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</si>
  <si>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</si>
  <si>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</si>
  <si>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</si>
  <si>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</si>
  <si>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</si>
  <si>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</si>
  <si>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</si>
  <si>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</si>
  <si>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</si>
  <si>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</si>
  <si>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</si>
  <si>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</si>
  <si>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</si>
  <si>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</si>
  <si>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</si>
  <si>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</si>
  <si>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</si>
  <si>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</si>
  <si>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</si>
  <si>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</si>
  <si>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</si>
  <si>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</si>
  <si>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</si>
  <si>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</si>
  <si>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</si>
  <si>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</si>
  <si>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</si>
  <si>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</si>
  <si>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</si>
  <si>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</si>
  <si>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</si>
  <si>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</si>
  <si>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</si>
  <si>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</si>
  <si>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</si>
  <si>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</si>
  <si>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</si>
  <si>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</si>
  <si>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</si>
  <si>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</si>
  <si>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</si>
  <si>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</si>
  <si>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</si>
  <si>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</si>
  <si>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</si>
  <si>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</si>
  <si>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</si>
  <si>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</si>
  <si>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</si>
  <si>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</si>
  <si>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</si>
  <si>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</si>
  <si>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</si>
  <si>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</si>
  <si>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</si>
  <si>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</si>
  <si>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</si>
  <si>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</si>
  <si>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</si>
  <si>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</si>
  <si>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</si>
  <si>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</si>
  <si>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</si>
  <si>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</si>
  <si>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</si>
  <si>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</si>
  <si>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</si>
  <si>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</si>
  <si>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</si>
  <si>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</si>
  <si>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</si>
  <si>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</si>
  <si>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</si>
  <si>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</si>
  <si>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</si>
  <si>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</si>
  <si>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</si>
  <si>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</si>
  <si>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</si>
  <si>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</si>
  <si>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</si>
  <si>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</si>
  <si>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</si>
  <si>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</si>
  <si>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</si>
  <si>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</si>
  <si>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</si>
  <si>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</si>
  <si>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</si>
  <si>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</si>
  <si>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</si>
  <si>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</si>
  <si>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</si>
  <si>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</si>
  <si>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</si>
  <si>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</si>
  <si>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</si>
  <si>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</si>
  <si>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</si>
  <si>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</si>
  <si>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</si>
  <si>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</si>
  <si>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</si>
  <si>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</si>
  <si>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</si>
  <si>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</si>
  <si>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</si>
  <si>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</si>
  <si>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</si>
  <si>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</si>
  <si>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</si>
  <si>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</si>
  <si>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</si>
  <si>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</si>
  <si>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</si>
  <si>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</si>
  <si>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</si>
  <si>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</si>
  <si>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</si>
  <si>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</si>
  <si>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</si>
  <si>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</si>
  <si>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</si>
  <si>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</si>
  <si>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</si>
  <si>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</si>
  <si>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</si>
  <si>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</si>
  <si>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</si>
  <si>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</si>
  <si>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</si>
  <si>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</si>
  <si>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</si>
  <si>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</si>
  <si>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</si>
  <si>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</si>
  <si>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</si>
  <si>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</si>
  <si>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</si>
  <si>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</si>
  <si>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</si>
  <si>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</si>
  <si>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</si>
  <si>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</si>
  <si>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</si>
  <si>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</si>
  <si>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</si>
  <si>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</si>
  <si>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</si>
  <si>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</si>
  <si>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</si>
  <si>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</si>
  <si>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</si>
  <si>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</si>
  <si>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</si>
  <si>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</si>
  <si>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</si>
  <si>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</si>
  <si>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</si>
  <si>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</si>
  <si>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</si>
  <si>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</si>
  <si>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</si>
  <si>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</si>
  <si>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</si>
  <si>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</si>
  <si>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</si>
  <si>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</si>
  <si>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</si>
  <si>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</si>
  <si>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</si>
  <si>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</si>
  <si>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</si>
  <si>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</si>
  <si>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</si>
  <si>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</si>
  <si>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</si>
  <si>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</si>
  <si>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</si>
  <si>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</si>
  <si>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</si>
  <si>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</si>
  <si>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</si>
  <si>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</si>
  <si>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</si>
  <si>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</si>
  <si>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</si>
  <si>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</si>
  <si>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</si>
  <si>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</si>
  <si>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</si>
  <si>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</si>
  <si>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</si>
  <si>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</si>
  <si>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</si>
  <si>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</si>
  <si>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</si>
  <si>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</si>
  <si>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</si>
  <si>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</si>
  <si>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</si>
  <si>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</si>
  <si>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</si>
  <si>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</si>
  <si>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</si>
  <si>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</si>
  <si>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</si>
  <si>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</si>
  <si>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</si>
  <si>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</si>
  <si>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</si>
  <si>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</si>
  <si>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</si>
  <si>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</si>
  <si>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</si>
  <si>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</si>
  <si>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</si>
  <si>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</si>
  <si>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</si>
  <si>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</si>
  <si>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</si>
  <si>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</si>
  <si>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</si>
  <si>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</si>
  <si>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</si>
  <si>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</si>
  <si>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</si>
  <si>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</si>
  <si>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</si>
  <si>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</si>
  <si>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</si>
  <si>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</si>
  <si>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</si>
  <si>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</si>
  <si>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</si>
  <si>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</si>
  <si>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</si>
  <si>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</si>
  <si>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</si>
  <si>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</si>
  <si>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</si>
  <si>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</si>
  <si>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</si>
  <si>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</si>
  <si>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</si>
  <si>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</si>
  <si>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</si>
  <si>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</si>
  <si>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</si>
  <si>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</si>
  <si>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</si>
  <si>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</si>
  <si>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</si>
  <si>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</si>
  <si>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</si>
  <si>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</si>
  <si>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</si>
  <si>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</si>
  <si>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</si>
  <si>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</si>
  <si>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</si>
  <si>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</si>
  <si>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</si>
  <si>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</si>
  <si>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</si>
  <si>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</si>
  <si>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</si>
  <si>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</si>
  <si>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</si>
  <si>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</si>
  <si>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</si>
  <si>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</si>
  <si>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</si>
  <si>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</si>
  <si>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</si>
  <si>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</si>
  <si>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</si>
  <si>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</si>
  <si>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</si>
  <si>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</si>
  <si>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</si>
  <si>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</si>
  <si>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</si>
  <si>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</si>
  <si>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</si>
  <si>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</si>
  <si>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</si>
  <si>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</si>
  <si>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</si>
  <si>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</si>
  <si>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</si>
  <si>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</si>
  <si>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</si>
  <si>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</si>
  <si>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</si>
  <si>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</si>
  <si>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</si>
  <si>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</si>
  <si>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</si>
  <si>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</si>
  <si>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</si>
  <si>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</si>
  <si>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</si>
  <si>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</si>
  <si>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</si>
  <si>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</si>
  <si>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</si>
  <si>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</si>
  <si>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</si>
  <si>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</si>
  <si>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</si>
  <si>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</si>
  <si>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</si>
  <si>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</si>
  <si>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</si>
  <si>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</si>
  <si>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</si>
  <si>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</si>
  <si>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</si>
  <si>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</si>
  <si>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</si>
  <si>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</si>
  <si>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</si>
  <si>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</si>
  <si>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</si>
  <si>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</si>
  <si>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</si>
  <si>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</si>
  <si>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</si>
  <si>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</si>
  <si>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</si>
  <si>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</si>
  <si>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</si>
  <si>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</si>
  <si>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</si>
  <si>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</si>
  <si>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</si>
  <si>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</si>
  <si>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</si>
  <si>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</si>
  <si>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</si>
  <si>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</si>
  <si>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</si>
  <si>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</si>
  <si>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</si>
  <si>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</si>
  <si>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</si>
  <si>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</si>
  <si>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</si>
  <si>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</si>
  <si>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</si>
  <si>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</si>
  <si>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</si>
  <si>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</si>
  <si>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</si>
  <si>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</si>
  <si>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</si>
  <si>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</si>
  <si>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</si>
  <si>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</si>
  <si>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</si>
  <si>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</si>
  <si>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</si>
  <si>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</si>
  <si>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</si>
  <si>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</si>
  <si>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</si>
  <si>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</si>
  <si>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</si>
  <si>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</si>
  <si>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</si>
  <si>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</si>
  <si>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</si>
  <si>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</si>
  <si>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</si>
  <si>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</si>
  <si>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</si>
  <si>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</si>
  <si>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</si>
  <si>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</si>
  <si>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</si>
  <si>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</si>
  <si>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</si>
  <si>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</si>
  <si>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</si>
  <si>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</si>
  <si>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</si>
  <si>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</si>
  <si>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</si>
  <si>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</si>
  <si>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</si>
  <si>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</si>
  <si>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</si>
  <si>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</si>
  <si>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</si>
  <si>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</si>
  <si>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</si>
  <si>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</si>
  <si>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</si>
  <si>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</si>
  <si>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</si>
  <si>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</si>
  <si>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</si>
  <si>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</si>
  <si>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</si>
  <si>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</si>
  <si>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</si>
  <si>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</si>
  <si>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</si>
  <si>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</si>
  <si>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</si>
  <si>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</si>
  <si>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</si>
  <si>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</si>
  <si>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</si>
  <si>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</si>
  <si>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</si>
  <si>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</si>
  <si>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</si>
  <si>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</si>
  <si>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</si>
  <si>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</si>
  <si>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</si>
  <si>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</si>
  <si>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</si>
  <si>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</si>
  <si>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</si>
  <si>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</si>
  <si>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</si>
  <si>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</si>
  <si>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</si>
  <si>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</si>
  <si>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</si>
  <si>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</si>
  <si>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</si>
  <si>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</si>
  <si>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</si>
  <si>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</si>
  <si>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</si>
  <si>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</si>
  <si>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</si>
  <si>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</si>
  <si>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</si>
  <si>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</si>
  <si>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</si>
  <si>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</si>
  <si>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</si>
  <si>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</si>
  <si>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</si>
  <si>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</si>
  <si>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</si>
  <si>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</si>
  <si>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</si>
  <si>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</si>
  <si>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</si>
  <si>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</si>
  <si>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</si>
  <si>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</si>
  <si>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</si>
  <si>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</si>
  <si>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</si>
  <si>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</si>
  <si>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</si>
  <si>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</si>
  <si>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</si>
  <si>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</si>
  <si>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</si>
  <si>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</si>
  <si>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</si>
  <si>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</si>
  <si>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</si>
  <si>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</si>
  <si>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</si>
  <si>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</si>
  <si>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</si>
  <si>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</si>
  <si>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</si>
  <si>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</si>
  <si>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</si>
  <si>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</si>
  <si>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</si>
  <si>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</si>
  <si>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</si>
  <si>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</si>
  <si>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</si>
  <si>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</si>
  <si>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</si>
  <si>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</si>
  <si>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</si>
  <si>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</si>
  <si>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</si>
  <si>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</si>
  <si>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</si>
  <si>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</si>
  <si>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</si>
  <si>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</si>
  <si>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</si>
  <si>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</si>
  <si>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</si>
  <si>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</si>
  <si>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</si>
  <si>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</si>
  <si>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</si>
  <si>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</si>
  <si>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</si>
  <si>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</si>
  <si>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</si>
  <si>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</si>
  <si>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</si>
  <si>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</si>
  <si>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</si>
  <si>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</si>
  <si>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</si>
  <si>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</si>
  <si>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</si>
  <si>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</si>
  <si>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</si>
  <si>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</si>
  <si>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</si>
  <si>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</si>
  <si>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</si>
  <si>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</si>
  <si>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</si>
  <si>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</si>
  <si>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</si>
  <si>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</si>
  <si>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</si>
  <si>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</si>
  <si>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</si>
  <si>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</si>
  <si>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</si>
  <si>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</si>
  <si>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</si>
  <si>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</si>
  <si>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</si>
  <si>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</si>
  <si>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</si>
  <si>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</si>
  <si>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</si>
  <si>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</si>
  <si>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</si>
  <si>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</si>
  <si>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</si>
  <si>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</si>
  <si>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</si>
  <si>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</si>
  <si>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</si>
  <si>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</si>
  <si>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</si>
  <si>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</si>
  <si>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</si>
  <si>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</si>
  <si>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</si>
  <si>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</si>
  <si>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</si>
  <si>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</si>
  <si>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</si>
  <si>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</si>
  <si>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</si>
  <si>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</si>
  <si>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</si>
  <si>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</si>
  <si>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</si>
  <si>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</si>
  <si>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</si>
  <si>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</si>
  <si>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</si>
  <si>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</si>
  <si>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</si>
  <si>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</si>
  <si>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</si>
  <si>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</si>
  <si>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</si>
  <si>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</si>
  <si>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</si>
  <si>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</si>
  <si>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</si>
  <si>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</si>
  <si>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</si>
  <si>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</si>
  <si>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</si>
  <si>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</si>
  <si>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</si>
  <si>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</si>
  <si>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</si>
  <si>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</si>
  <si>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</si>
  <si>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</si>
  <si>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</si>
  <si>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</si>
  <si>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</si>
  <si>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</si>
  <si>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</si>
  <si>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</si>
  <si>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</si>
  <si>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</si>
  <si>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</si>
  <si>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</si>
  <si>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</si>
  <si>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</si>
  <si>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</si>
  <si>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</si>
  <si>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</si>
  <si>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</si>
  <si>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</si>
  <si>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</si>
  <si>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</si>
  <si>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</si>
  <si>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</si>
  <si>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</si>
  <si>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</si>
  <si>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</si>
  <si>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</si>
  <si>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</si>
  <si>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</si>
  <si>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</si>
  <si>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</si>
  <si>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</si>
  <si>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</si>
  <si>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</si>
  <si>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</si>
  <si>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</si>
  <si>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</si>
  <si>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</si>
  <si>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</si>
  <si>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</si>
  <si>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</si>
  <si>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</si>
  <si>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</si>
  <si>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</si>
  <si>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</si>
  <si>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</si>
  <si>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</si>
  <si>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</si>
  <si>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</si>
  <si>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</si>
  <si>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</si>
  <si>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</si>
  <si>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</si>
  <si>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</si>
  <si>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</si>
  <si>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</si>
  <si>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</si>
  <si>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</si>
  <si>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</si>
  <si>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</si>
  <si>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</si>
  <si>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</si>
  <si>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</si>
  <si>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</si>
  <si>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</si>
  <si>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</si>
  <si>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</si>
  <si>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</si>
  <si>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</si>
  <si>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</si>
  <si>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</si>
  <si>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</si>
  <si>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</si>
  <si>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</si>
  <si>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</si>
  <si>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</si>
  <si>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</si>
  <si>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</si>
  <si>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</si>
  <si>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</si>
  <si>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</si>
  <si>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</si>
  <si>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</si>
  <si>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</si>
  <si>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</si>
  <si>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</si>
  <si>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</si>
  <si>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</si>
  <si>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</si>
  <si>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</si>
  <si>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</si>
  <si>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</si>
  <si>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</si>
  <si>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</si>
  <si>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</si>
  <si>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</si>
  <si>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</si>
  <si>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</si>
  <si>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</si>
  <si>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</si>
  <si>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</si>
  <si>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</si>
  <si>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</si>
  <si>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</si>
  <si>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</si>
  <si>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</si>
  <si>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</si>
  <si>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</si>
  <si>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</si>
  <si>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</si>
  <si>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</si>
  <si>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</si>
  <si>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</si>
  <si>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</si>
  <si>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</si>
  <si>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</si>
  <si>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</si>
  <si>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</si>
  <si>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</si>
  <si>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</si>
  <si>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</si>
  <si>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</si>
  <si>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</si>
  <si>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</si>
  <si>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</si>
  <si>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</si>
  <si>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</si>
  <si>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</si>
  <si>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</si>
  <si>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</si>
  <si>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</si>
  <si>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</si>
  <si>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</si>
  <si>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</si>
  <si>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</si>
  <si>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</si>
  <si>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</si>
  <si>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</si>
  <si>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</si>
  <si>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</si>
  <si>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</si>
  <si>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</si>
  <si>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</si>
  <si>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</si>
  <si>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</si>
  <si>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</si>
  <si>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</si>
  <si>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</si>
  <si>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</si>
  <si>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</si>
  <si>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</si>
  <si>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</si>
  <si>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</si>
  <si>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</si>
  <si>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</si>
  <si>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</si>
  <si>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</si>
  <si>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</si>
  <si>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</si>
  <si>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</si>
  <si>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</si>
  <si>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</si>
  <si>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</si>
  <si>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</si>
  <si>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</si>
  <si>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</si>
  <si>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</si>
  <si>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</si>
  <si>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</si>
  <si>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</si>
  <si>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</si>
  <si>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</si>
  <si>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</si>
  <si>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</si>
  <si>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</si>
  <si>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</si>
  <si>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</si>
  <si>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</si>
  <si>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</si>
  <si>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</si>
  <si>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</si>
  <si>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</si>
  <si>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</si>
  <si>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</si>
  <si>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</si>
  <si>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</si>
  <si>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</si>
  <si>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</si>
  <si>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</si>
  <si>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</si>
  <si>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</si>
  <si>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</si>
  <si>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</si>
  <si>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</si>
  <si>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</si>
  <si>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</si>
  <si>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</si>
  <si>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</si>
  <si>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</si>
  <si>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</si>
  <si>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</si>
  <si>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</si>
  <si>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</si>
  <si>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</si>
  <si>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</si>
  <si>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</si>
  <si>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</si>
  <si>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</si>
  <si>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</si>
  <si>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</si>
  <si>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</si>
  <si>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</si>
  <si>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</si>
  <si>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</si>
  <si>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</si>
  <si>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</si>
  <si>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</si>
  <si>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</si>
  <si>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</si>
  <si>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</si>
  <si>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</si>
  <si>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</si>
  <si>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</si>
  <si>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</si>
  <si>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</si>
  <si>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</si>
  <si>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</si>
  <si>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</si>
  <si>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</si>
  <si>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</si>
  <si>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</si>
  <si>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</si>
  <si>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</si>
  <si>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</si>
  <si>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</si>
  <si>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</si>
  <si>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</si>
  <si>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</si>
  <si>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</si>
  <si>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</si>
  <si>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</si>
  <si>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</si>
  <si>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</si>
  <si>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</si>
  <si>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</si>
  <si>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</si>
  <si>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</si>
  <si>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</si>
  <si>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</si>
  <si>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</si>
  <si>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</si>
  <si>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</si>
  <si>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</si>
  <si>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</si>
  <si>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</si>
  <si>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</si>
  <si>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</si>
  <si>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</si>
  <si>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</si>
  <si>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</si>
  <si>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</si>
  <si>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</si>
  <si>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</si>
  <si>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</si>
  <si>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</si>
  <si>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</si>
  <si>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</si>
  <si>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</si>
  <si>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</si>
  <si>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</si>
  <si>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</si>
  <si>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</si>
  <si>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</si>
  <si>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</si>
  <si>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</si>
  <si>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</si>
  <si>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</si>
  <si>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</si>
  <si>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</si>
  <si>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</si>
  <si>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</si>
  <si>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</si>
  <si>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</si>
  <si>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</si>
  <si>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</si>
  <si>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</si>
  <si>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</si>
  <si>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</si>
  <si>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</si>
  <si>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</si>
  <si>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</si>
  <si>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</si>
  <si>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</si>
  <si>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</si>
  <si>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</si>
  <si>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</si>
  <si>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</si>
  <si>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</si>
  <si>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</si>
  <si>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</si>
  <si>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</si>
  <si>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</si>
  <si>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</si>
  <si>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</si>
  <si>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</si>
  <si>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</si>
  <si>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</si>
  <si>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</si>
  <si>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</si>
  <si>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</si>
  <si>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</si>
  <si>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</si>
  <si>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</si>
  <si>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</si>
  <si>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</si>
  <si>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</si>
  <si>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</si>
  <si>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</si>
  <si>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</si>
  <si>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</si>
  <si>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</si>
  <si>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</si>
  <si>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</si>
  <si>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</si>
  <si>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</si>
  <si>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</si>
  <si>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</si>
  <si>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</si>
  <si>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</si>
  <si>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</si>
  <si>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</si>
  <si>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</si>
  <si>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</si>
  <si>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</si>
  <si>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</si>
  <si>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</si>
  <si>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</si>
  <si>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</si>
  <si>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</si>
  <si>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</si>
  <si>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</si>
  <si>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</si>
  <si>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</si>
  <si>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</si>
  <si>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</si>
  <si>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</si>
  <si>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</si>
  <si>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</si>
  <si>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</si>
  <si>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</si>
  <si>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</si>
  <si>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</si>
  <si>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</si>
  <si>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</si>
  <si>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</si>
  <si>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</si>
  <si>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</si>
  <si>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</si>
  <si>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</si>
  <si>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</si>
  <si>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</si>
  <si>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</si>
  <si>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</si>
  <si>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</si>
  <si>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</si>
  <si>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</si>
  <si>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</si>
  <si>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</si>
  <si>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</si>
  <si>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</si>
  <si>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</si>
  <si>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</si>
  <si>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</si>
  <si>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</si>
  <si>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</si>
  <si>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</si>
  <si>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</si>
  <si>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</si>
  <si>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</si>
  <si>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</si>
  <si>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</si>
  <si>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</si>
  <si>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</si>
  <si>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</si>
  <si>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</si>
  <si>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</si>
  <si>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</si>
  <si>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</si>
  <si>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</si>
  <si>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</si>
  <si>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</si>
  <si>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</si>
  <si>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</si>
  <si>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</si>
  <si>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</si>
  <si>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</si>
  <si>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</si>
  <si>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</si>
  <si>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</si>
  <si>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</si>
  <si>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</si>
  <si>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</si>
  <si>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</si>
  <si>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</si>
  <si>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</si>
  <si>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</si>
  <si>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</si>
  <si>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</si>
  <si>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</si>
  <si>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</si>
  <si>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</si>
  <si>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</si>
  <si>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</si>
  <si>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</si>
  <si>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</si>
  <si>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</si>
  <si>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</si>
  <si>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</si>
  <si>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</si>
  <si>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</si>
  <si>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</si>
  <si>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</si>
  <si>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</si>
  <si>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</si>
  <si>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</si>
  <si>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</si>
  <si>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</si>
  <si>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</si>
  <si>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</si>
  <si>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</si>
  <si>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</si>
  <si>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</si>
  <si>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</si>
  <si>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</si>
  <si>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</si>
  <si>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</si>
  <si>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</si>
  <si>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</si>
  <si>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</si>
  <si>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</si>
  <si>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</si>
  <si>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</si>
  <si>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</si>
  <si>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</si>
  <si>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</si>
  <si>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</si>
  <si>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</si>
  <si>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</si>
  <si>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</si>
  <si>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</si>
  <si>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</si>
  <si>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</si>
  <si>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</si>
  <si>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</si>
  <si>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</si>
  <si>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</si>
  <si>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</si>
  <si>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</si>
  <si>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</si>
  <si>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</si>
  <si>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</si>
  <si>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</si>
  <si>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</si>
  <si>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</si>
  <si>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</si>
  <si>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</si>
  <si>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</si>
  <si>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</si>
  <si>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</si>
  <si>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</si>
  <si>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</si>
  <si>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</si>
  <si>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</si>
  <si>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</si>
  <si>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</si>
  <si>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</si>
  <si>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</si>
  <si>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</si>
  <si>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</si>
  <si>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</si>
  <si>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</si>
  <si>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</si>
  <si>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</si>
  <si>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</si>
  <si>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</si>
  <si>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</si>
  <si>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</si>
  <si>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</si>
  <si>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</si>
  <si>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</si>
  <si>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</si>
  <si>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</si>
  <si>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</si>
  <si>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</si>
  <si>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</si>
  <si>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</si>
  <si>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</si>
  <si>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</si>
  <si>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</si>
  <si>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</si>
  <si>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</si>
  <si>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</si>
  <si>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</si>
  <si>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</si>
  <si>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</si>
  <si>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</si>
  <si>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</si>
  <si>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</si>
  <si>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</si>
  <si>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</si>
  <si>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</si>
  <si>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</si>
  <si>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</si>
  <si>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</si>
  <si>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</si>
  <si>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</si>
  <si>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</si>
  <si>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</si>
  <si>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</si>
  <si>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</si>
  <si>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</si>
  <si>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</si>
  <si>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</si>
  <si>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</si>
  <si>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</si>
  <si>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</si>
  <si>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</si>
  <si>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</si>
  <si>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</si>
  <si>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</si>
  <si>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</si>
  <si>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</si>
  <si>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</si>
  <si>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</si>
  <si>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</si>
  <si>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</si>
  <si>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</si>
  <si>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</si>
  <si>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</si>
  <si>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</si>
  <si>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</si>
  <si>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</si>
  <si>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</si>
  <si>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</si>
  <si>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</si>
  <si>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</si>
  <si>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</si>
  <si>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</si>
  <si>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</si>
  <si>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</si>
  <si>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</si>
  <si>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</si>
  <si>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</si>
  <si>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</si>
  <si>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</si>
  <si>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</si>
  <si>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</si>
  <si>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</si>
  <si>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</si>
  <si>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</si>
  <si>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</si>
  <si>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</si>
  <si>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</si>
  <si>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</si>
  <si>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</si>
  <si>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</si>
  <si>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</si>
  <si>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</si>
  <si>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</si>
  <si>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</si>
  <si>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</si>
  <si>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</si>
  <si>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</si>
  <si>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</si>
  <si>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</si>
  <si>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</si>
  <si>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</si>
  <si>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</si>
  <si>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</si>
  <si>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</si>
  <si>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</si>
  <si>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</si>
  <si>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</si>
  <si>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</si>
  <si>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</si>
  <si>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</si>
  <si>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</si>
  <si>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</si>
  <si>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</si>
  <si>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</si>
  <si>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</si>
  <si>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</si>
  <si>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</si>
  <si>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</si>
  <si>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</si>
  <si>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</si>
  <si>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</si>
  <si>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</si>
  <si>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</si>
  <si>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</si>
  <si>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</si>
  <si>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</si>
  <si>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</si>
  <si>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</si>
  <si>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</si>
  <si>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</si>
  <si>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</si>
  <si>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</si>
  <si>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</si>
  <si>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</si>
  <si>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</si>
  <si>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</si>
  <si>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</si>
  <si>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</si>
  <si>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</si>
  <si>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</si>
  <si>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</si>
  <si>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</si>
  <si>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</si>
  <si>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</si>
  <si>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</si>
  <si>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</si>
  <si>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</si>
  <si>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</si>
  <si>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</si>
  <si>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</si>
  <si>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</si>
  <si>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</si>
  <si>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</si>
  <si>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</si>
  <si>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</si>
  <si>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</si>
  <si>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</si>
  <si>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</si>
  <si>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</si>
  <si>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</si>
  <si>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</si>
  <si>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</si>
  <si>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</si>
  <si>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</si>
  <si>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</si>
  <si>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</si>
  <si>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</si>
  <si>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</si>
  <si>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</si>
  <si>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</si>
  <si>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</si>
  <si>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</si>
  <si>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</si>
  <si>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</si>
  <si>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</si>
  <si>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</si>
  <si>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</si>
  <si>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</si>
  <si>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</si>
  <si>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</si>
  <si>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</si>
  <si>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</si>
  <si>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</si>
  <si>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</si>
  <si>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</si>
  <si>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</si>
  <si>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</si>
  <si>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</si>
  <si>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</si>
  <si>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</si>
  <si>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</si>
  <si>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</si>
  <si>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</si>
  <si>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</si>
  <si>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</si>
  <si>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</si>
  <si>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</si>
  <si>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</si>
  <si>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</si>
  <si>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</si>
  <si>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</si>
  <si>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</si>
  <si>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</si>
  <si>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</si>
  <si>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</si>
  <si>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</si>
  <si>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</si>
  <si>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</si>
  <si>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</si>
  <si>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</si>
  <si>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</si>
  <si>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</si>
  <si>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</si>
  <si>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</si>
  <si>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</si>
  <si>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</si>
  <si>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</si>
  <si>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</si>
  <si>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</si>
  <si>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</si>
  <si>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</si>
  <si>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</si>
  <si>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</si>
  <si>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</si>
  <si>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</si>
  <si>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</si>
  <si>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</si>
  <si>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</si>
  <si>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</si>
  <si>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</si>
  <si>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</si>
  <si>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</si>
  <si>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</si>
  <si>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</si>
  <si>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</si>
  <si>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</si>
  <si>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</si>
  <si>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</si>
  <si>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</si>
  <si>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</si>
  <si>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</si>
  <si>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</si>
  <si>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</si>
  <si>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</si>
  <si>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</si>
  <si>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</si>
  <si>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</si>
  <si>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</si>
  <si>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</si>
  <si>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</si>
  <si>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</si>
  <si>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</si>
  <si>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</si>
  <si>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</si>
  <si>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</si>
  <si>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</si>
  <si>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</si>
  <si>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</si>
  <si>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</si>
  <si>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</si>
  <si>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</si>
  <si>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</si>
  <si>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</si>
  <si>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</si>
  <si>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</si>
  <si>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</si>
  <si>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</si>
  <si>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</si>
  <si>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</si>
  <si>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</si>
  <si>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</si>
  <si>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</si>
  <si>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</si>
  <si>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</si>
  <si>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</si>
  <si>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</si>
  <si>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</si>
  <si>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</si>
  <si>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</si>
  <si>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</si>
  <si>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</si>
  <si>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</si>
  <si>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</si>
  <si>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</si>
  <si>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</si>
  <si>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</si>
  <si>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</si>
  <si>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</si>
  <si>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</si>
  <si>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</si>
  <si>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</si>
  <si>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</si>
  <si>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</si>
  <si>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</si>
  <si>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</si>
  <si>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</si>
  <si>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</si>
  <si>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</si>
  <si>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</si>
  <si>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</si>
  <si>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</si>
  <si>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</si>
  <si>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</si>
  <si>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</si>
  <si>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</si>
  <si>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</si>
  <si>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</si>
  <si>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</si>
  <si>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</si>
  <si>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</si>
  <si>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</si>
  <si>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</si>
  <si>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</si>
  <si>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</si>
  <si>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</si>
  <si>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</si>
  <si>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</si>
  <si>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</si>
  <si>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</si>
  <si>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</si>
  <si>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</si>
  <si>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</si>
  <si>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</si>
  <si>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</si>
  <si>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</si>
  <si>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</si>
  <si>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</si>
  <si>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</si>
  <si>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</si>
  <si>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</si>
  <si>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</si>
  <si>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</si>
  <si>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</si>
  <si>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</si>
  <si>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</si>
  <si>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</si>
  <si>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</si>
  <si>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</si>
  <si>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</si>
  <si>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</si>
  <si>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</si>
  <si>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</si>
  <si>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</si>
  <si>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</si>
  <si>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</si>
  <si>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</si>
  <si>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</si>
  <si>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</si>
  <si>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</si>
  <si>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</si>
  <si>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</si>
  <si>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</si>
  <si>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</si>
  <si>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</si>
  <si>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</si>
  <si>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</si>
  <si>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</si>
  <si>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</si>
  <si>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</si>
  <si>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</si>
  <si>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</si>
  <si>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</si>
  <si>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</si>
  <si>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</si>
  <si>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</si>
  <si>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</si>
  <si>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</si>
  <si>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</si>
  <si>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</si>
  <si>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</si>
  <si>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</si>
  <si>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</si>
  <si>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</si>
  <si>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</si>
  <si>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</si>
  <si>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</si>
  <si>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</si>
  <si>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</si>
  <si>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</si>
  <si>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</si>
  <si>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</si>
  <si>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</si>
  <si>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</si>
  <si>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</si>
  <si>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</si>
  <si>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</si>
  <si>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</si>
  <si>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</si>
  <si>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</si>
  <si>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</si>
  <si>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</si>
  <si>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</si>
  <si>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</si>
  <si>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</si>
  <si>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</si>
  <si>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</si>
  <si>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</si>
  <si>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</si>
  <si>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</si>
  <si>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</si>
  <si>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</si>
  <si>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</si>
  <si>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</si>
  <si>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</si>
  <si>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</si>
  <si>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</si>
  <si>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</si>
  <si>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</si>
  <si>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</si>
  <si>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</si>
  <si>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</si>
  <si>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</si>
  <si>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</si>
  <si>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</si>
  <si>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</si>
  <si>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</si>
  <si>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</si>
  <si>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</si>
  <si>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</si>
  <si>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</si>
  <si>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</si>
  <si>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</si>
  <si>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</si>
  <si>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</si>
  <si>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</si>
  <si>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</si>
  <si>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</si>
  <si>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</si>
  <si>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</si>
  <si>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</si>
  <si>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</si>
  <si>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</si>
  <si>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</si>
  <si>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</si>
  <si>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</si>
  <si>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</si>
  <si>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</si>
  <si>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</si>
  <si>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</si>
  <si>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</si>
  <si>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</si>
  <si>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</si>
  <si>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</si>
  <si>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</si>
  <si>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</si>
  <si>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</si>
  <si>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</si>
  <si>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</si>
  <si>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</si>
  <si>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</si>
  <si>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</si>
  <si>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</si>
  <si>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</si>
  <si>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</si>
  <si>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</si>
  <si>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</si>
  <si>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</si>
  <si>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</si>
  <si>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</si>
  <si>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</si>
  <si>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</si>
  <si>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</si>
  <si>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</si>
  <si>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</si>
  <si>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</si>
  <si>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</si>
  <si>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</si>
  <si>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</si>
  <si>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</si>
  <si>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</si>
  <si>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</si>
  <si>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</si>
  <si>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</si>
  <si>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</si>
  <si>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</si>
  <si>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</si>
  <si>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</si>
  <si>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</si>
  <si>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</si>
  <si>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</si>
  <si>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</si>
  <si>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</si>
  <si>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</si>
  <si>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</si>
  <si>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</si>
  <si>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</si>
  <si>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</si>
  <si>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</si>
  <si>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</si>
  <si>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</si>
  <si>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</si>
  <si>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</si>
  <si>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</si>
  <si>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</si>
  <si>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</si>
  <si>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</si>
  <si>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</si>
  <si>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</si>
  <si>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</si>
  <si>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</si>
  <si>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</si>
  <si>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</si>
  <si>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</si>
  <si>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</si>
  <si>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</si>
  <si>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</si>
  <si>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</si>
  <si>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</si>
  <si>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</si>
  <si>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</si>
  <si>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</si>
  <si>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</si>
  <si>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</si>
  <si>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</si>
  <si>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</si>
  <si>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</si>
  <si>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</si>
  <si>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</si>
  <si>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</si>
  <si>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</si>
  <si>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</si>
  <si>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</si>
  <si>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</si>
  <si>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</si>
  <si>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</si>
  <si>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</si>
  <si>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</si>
  <si>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</si>
  <si>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</si>
  <si>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</si>
  <si>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</si>
  <si>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</si>
  <si>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</si>
  <si>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</si>
  <si>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</si>
  <si>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</si>
  <si>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</si>
  <si>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</si>
  <si>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</si>
  <si>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</si>
  <si>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</si>
  <si>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</si>
  <si>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</si>
  <si>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</si>
  <si>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</si>
  <si>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</si>
  <si>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</si>
  <si>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</si>
  <si>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</si>
  <si>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</si>
  <si>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</si>
  <si>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</si>
  <si>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</si>
  <si>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</si>
  <si>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</si>
  <si>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</si>
  <si>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</si>
  <si>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</si>
  <si>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</si>
  <si>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</si>
  <si>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</si>
  <si>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</si>
  <si>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</si>
  <si>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</si>
  <si>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</si>
  <si>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</si>
  <si>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</si>
  <si>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</si>
  <si>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</si>
  <si>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</si>
  <si>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</si>
  <si>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</si>
  <si>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</si>
  <si>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</si>
  <si>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</si>
  <si>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</si>
  <si>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</si>
  <si>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</si>
  <si>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</si>
  <si>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</si>
  <si>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</si>
  <si>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</si>
  <si>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</si>
  <si>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</si>
  <si>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</si>
  <si>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</si>
  <si>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</si>
  <si>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</si>
  <si>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</si>
  <si>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</si>
  <si>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</si>
  <si>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</si>
  <si>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</si>
  <si>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</si>
  <si>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</si>
  <si>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</si>
  <si>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</si>
  <si>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</si>
  <si>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</si>
  <si>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</si>
  <si>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</si>
  <si>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</si>
  <si>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</si>
  <si>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</si>
  <si>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</si>
  <si>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</si>
  <si>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</si>
  <si>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</si>
  <si>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</si>
  <si>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</si>
  <si>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</si>
  <si>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</si>
  <si>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</si>
  <si>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</si>
  <si>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</si>
  <si>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</si>
  <si>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</si>
  <si>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</si>
  <si>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</si>
  <si>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</si>
  <si>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</si>
  <si>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</si>
  <si>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</si>
  <si>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</si>
  <si>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</si>
  <si>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</si>
  <si>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</si>
  <si>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</si>
  <si>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</si>
  <si>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</si>
  <si>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</si>
  <si>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</si>
  <si>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</si>
  <si>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</si>
  <si>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</si>
  <si>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</si>
  <si>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</si>
  <si>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</si>
  <si>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</si>
  <si>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</si>
  <si>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</si>
  <si>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</si>
  <si>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</si>
  <si>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</si>
  <si>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</si>
  <si>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</si>
  <si>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</si>
  <si>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</si>
  <si>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</si>
  <si>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</si>
  <si>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</si>
  <si>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</si>
  <si>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</si>
  <si>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</si>
  <si>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</si>
  <si>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</si>
  <si>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</si>
  <si>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</si>
  <si>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</si>
  <si>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</si>
  <si>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</si>
  <si>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</si>
  <si>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</si>
  <si>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</si>
  <si>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</si>
  <si>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</si>
  <si>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</si>
  <si>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</si>
  <si>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</si>
  <si>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</si>
  <si>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</si>
  <si>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</si>
  <si>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</si>
  <si>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</si>
  <si>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</si>
  <si>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</si>
  <si>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</si>
  <si>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</si>
  <si>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</si>
  <si>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</si>
  <si>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</si>
  <si>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</si>
  <si>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</si>
  <si>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</si>
  <si>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</si>
  <si>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</si>
  <si>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</si>
  <si>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</si>
  <si>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</si>
  <si>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</si>
  <si>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</si>
  <si>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</si>
  <si>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</si>
  <si>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</si>
  <si>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</si>
  <si>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</si>
  <si>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</si>
  <si>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</si>
  <si>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</si>
  <si>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</si>
  <si>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</si>
  <si>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</si>
  <si>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</si>
  <si>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</si>
  <si>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</si>
  <si>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</si>
  <si>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</si>
  <si>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</si>
  <si>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</si>
  <si>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</si>
  <si>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</si>
  <si>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</si>
  <si>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</si>
  <si>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</si>
  <si>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</si>
  <si>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</si>
  <si>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</si>
  <si>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</si>
  <si>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</si>
  <si>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</si>
  <si>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</si>
  <si>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</si>
  <si>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</si>
  <si>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</si>
  <si>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</si>
  <si>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</si>
  <si>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</si>
  <si>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</si>
  <si>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</si>
  <si>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</si>
  <si>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</si>
  <si>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</si>
  <si>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</si>
  <si>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</si>
  <si>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</si>
  <si>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</si>
  <si>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</si>
  <si>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</si>
  <si>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</si>
  <si>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</si>
  <si>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</si>
  <si>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</si>
  <si>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</si>
  <si>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</si>
  <si>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</si>
  <si>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</si>
  <si>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</si>
  <si>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</si>
  <si>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</si>
  <si>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</si>
  <si>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</si>
  <si>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</si>
  <si>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</si>
  <si>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</si>
  <si>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</si>
  <si>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</si>
  <si>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</si>
  <si>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</si>
  <si>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</si>
  <si>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</si>
  <si>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</si>
  <si>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</si>
  <si>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</si>
  <si>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</si>
  <si>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</si>
  <si>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</si>
  <si>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</si>
  <si>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</si>
  <si>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</si>
  <si>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</si>
  <si>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</si>
  <si>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</si>
  <si>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</si>
  <si>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</si>
  <si>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</si>
  <si>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</si>
  <si>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</si>
  <si>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</si>
  <si>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</si>
  <si>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</si>
  <si>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</si>
  <si>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</si>
  <si>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</si>
  <si>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</si>
  <si>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</si>
  <si>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</si>
  <si>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</si>
  <si>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</si>
  <si>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</si>
  <si>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</si>
  <si>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</si>
  <si>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</si>
  <si>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</si>
  <si>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</si>
  <si>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</si>
  <si>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</si>
  <si>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</si>
  <si>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</si>
  <si>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</si>
  <si>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</si>
  <si>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</si>
  <si>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</si>
  <si>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</si>
  <si>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</si>
  <si>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</si>
  <si>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</si>
  <si>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</si>
  <si>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</si>
  <si>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</si>
  <si>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</si>
  <si>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</si>
  <si>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</si>
  <si>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</si>
  <si>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</si>
  <si>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</si>
  <si>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</si>
  <si>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</si>
  <si>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</si>
  <si>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</si>
  <si>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</si>
  <si>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</si>
  <si>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</si>
  <si>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</si>
  <si>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</si>
  <si>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</si>
  <si>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</si>
  <si>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</si>
  <si>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</si>
  <si>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</si>
  <si>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</si>
  <si>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</si>
  <si>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</si>
  <si>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</si>
  <si>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</si>
  <si>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</si>
  <si>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</si>
  <si>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</si>
  <si>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</si>
  <si>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</si>
  <si>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</si>
  <si>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</si>
  <si>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</si>
  <si>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</si>
  <si>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</si>
  <si>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</si>
  <si>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</si>
  <si>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</si>
  <si>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</si>
  <si>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</si>
  <si>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</si>
  <si>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</si>
  <si>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</si>
  <si>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</si>
  <si>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</si>
  <si>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</si>
  <si>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</si>
  <si>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</si>
  <si>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</si>
  <si>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</si>
  <si>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</si>
  <si>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</si>
  <si>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</si>
  <si>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</si>
  <si>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</si>
  <si>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</si>
  <si>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</si>
  <si>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</si>
  <si>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</si>
  <si>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</si>
  <si>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</si>
  <si>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</si>
  <si>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</si>
  <si>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</si>
  <si>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</si>
  <si>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</si>
  <si>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</si>
  <si>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</si>
  <si>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</si>
  <si>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</si>
  <si>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</si>
  <si>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</si>
  <si>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</si>
  <si>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</si>
  <si>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</si>
  <si>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</si>
  <si>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</si>
  <si>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</si>
  <si>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</si>
  <si>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</si>
  <si>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</si>
  <si>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</si>
  <si>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</si>
  <si>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</si>
  <si>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</si>
  <si>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</si>
  <si>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</si>
  <si>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</si>
  <si>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</si>
  <si>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</si>
  <si>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</si>
  <si>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</si>
  <si>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</si>
  <si>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</si>
  <si>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</si>
  <si>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</si>
  <si>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</si>
  <si>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</si>
  <si>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</si>
  <si>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</si>
  <si>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</si>
  <si>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</si>
  <si>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</si>
  <si>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</si>
  <si>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</si>
  <si>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</si>
  <si>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</si>
  <si>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</si>
  <si>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</si>
  <si>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</si>
  <si>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</si>
  <si>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</si>
  <si>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</si>
  <si>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</si>
  <si>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</si>
  <si>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</si>
  <si>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</si>
  <si>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</si>
  <si>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</si>
  <si>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</si>
  <si>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</si>
  <si>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</si>
  <si>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</si>
  <si>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</si>
  <si>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</si>
  <si>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</si>
  <si>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</si>
  <si>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</si>
  <si>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</si>
  <si>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</si>
  <si>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</si>
  <si>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</si>
  <si>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</si>
  <si>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</si>
  <si>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</si>
  <si>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</si>
  <si>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</si>
  <si>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</si>
  <si>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</si>
  <si>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</si>
  <si>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</si>
  <si>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</si>
  <si>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</si>
  <si>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</si>
  <si>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</si>
  <si>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</si>
  <si>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</si>
  <si>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</si>
  <si>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</si>
  <si>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</si>
  <si>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</si>
  <si>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</si>
  <si>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</si>
  <si>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</si>
  <si>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</si>
  <si>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</si>
  <si>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</si>
  <si>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</si>
  <si>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</si>
  <si>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</si>
  <si>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</si>
  <si>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</si>
  <si>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</si>
  <si>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</si>
  <si>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</si>
  <si>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</si>
  <si>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</si>
  <si>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</si>
  <si>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</si>
  <si>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</si>
  <si>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</si>
  <si>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</si>
  <si>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</si>
  <si>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</si>
  <si>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</si>
  <si>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</si>
  <si>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</si>
  <si>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</si>
  <si>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</si>
  <si>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</si>
  <si>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</si>
  <si>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</si>
  <si>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</si>
  <si>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</si>
  <si>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</si>
  <si>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</si>
  <si>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</si>
  <si>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</si>
  <si>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</si>
  <si>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</si>
  <si>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</si>
  <si>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</si>
  <si>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</si>
  <si>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</si>
  <si>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</si>
  <si>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</si>
  <si>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</si>
  <si>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</si>
  <si>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</si>
  <si>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</si>
  <si>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</si>
  <si>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</si>
  <si>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</si>
  <si>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</si>
  <si>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</si>
  <si>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</si>
  <si>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</si>
  <si>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</si>
  <si>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</si>
  <si>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</si>
  <si>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</si>
  <si>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</si>
  <si>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</si>
  <si>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</si>
  <si>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</si>
  <si>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</si>
  <si>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</si>
  <si>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</si>
  <si>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</si>
  <si>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</si>
  <si>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</si>
  <si>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</si>
  <si>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</si>
  <si>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</si>
  <si>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</si>
  <si>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</si>
  <si>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</si>
  <si>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</si>
  <si>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</si>
  <si>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</si>
  <si>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</si>
  <si>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</si>
  <si>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</si>
  <si>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</si>
  <si>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</si>
  <si>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</si>
  <si>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</si>
  <si>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</si>
  <si>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</si>
  <si>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</si>
  <si>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</si>
  <si>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</si>
  <si>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</si>
  <si>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</si>
  <si>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</si>
  <si>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</si>
  <si>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</si>
  <si>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</si>
  <si>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</si>
  <si>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</si>
  <si>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</si>
  <si>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</si>
  <si>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</si>
  <si>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</si>
  <si>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</si>
  <si>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</si>
  <si>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</si>
  <si>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</si>
  <si>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</si>
  <si>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</si>
  <si>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</si>
  <si>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</si>
  <si>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</si>
  <si>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</si>
  <si>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</si>
  <si>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</si>
  <si>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</si>
  <si>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</si>
  <si>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</si>
  <si>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</si>
  <si>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</si>
  <si>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</si>
  <si>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</si>
  <si>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</si>
  <si>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</si>
  <si>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</si>
  <si>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</si>
  <si>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</si>
  <si>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</si>
  <si>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</si>
  <si>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</si>
  <si>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</si>
  <si>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</si>
  <si>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</si>
  <si>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</si>
  <si>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</si>
  <si>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</si>
  <si>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</si>
  <si>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</si>
  <si>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</si>
  <si>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</si>
  <si>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</si>
  <si>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</si>
  <si>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</si>
  <si>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</si>
  <si>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</si>
  <si>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</si>
  <si>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</si>
  <si>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</si>
  <si>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</si>
  <si>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</si>
  <si>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</si>
  <si>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</si>
  <si>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</si>
  <si>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</si>
  <si>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</si>
  <si>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</si>
  <si>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</si>
  <si>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</si>
  <si>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</si>
  <si>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</si>
  <si>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</si>
  <si>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</si>
  <si>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</si>
  <si>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</si>
  <si>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</si>
  <si>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</si>
  <si>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</si>
  <si>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</si>
  <si>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</si>
  <si>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</si>
  <si>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</si>
  <si>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</si>
  <si>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</si>
  <si>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</si>
  <si>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</si>
  <si>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</si>
  <si>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</si>
  <si>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</si>
  <si>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</si>
  <si>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</si>
  <si>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</si>
  <si>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</si>
  <si>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</si>
  <si>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</si>
  <si>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</si>
  <si>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</si>
  <si>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</si>
  <si>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</si>
  <si>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</si>
  <si>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</si>
  <si>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</si>
  <si>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</si>
  <si>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</si>
  <si>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</si>
  <si>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</si>
  <si>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</si>
  <si>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</si>
  <si>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</si>
  <si>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</si>
  <si>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</si>
  <si>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</si>
  <si>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</si>
  <si>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</si>
  <si>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</si>
  <si>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</si>
  <si>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</si>
  <si>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</si>
  <si>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</si>
  <si>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</si>
  <si>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</si>
  <si>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</si>
  <si>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</si>
  <si>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</si>
  <si>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</si>
  <si>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</si>
  <si>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</si>
  <si>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</si>
  <si>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</si>
  <si>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</si>
  <si>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</si>
  <si>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</si>
  <si>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</si>
  <si>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</si>
  <si>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</si>
  <si>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</si>
  <si>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</si>
  <si>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</si>
  <si>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</si>
  <si>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</si>
  <si>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</si>
  <si>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</si>
  <si>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</si>
  <si>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</si>
  <si>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</si>
  <si>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</si>
  <si>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</si>
  <si>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</si>
  <si>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</si>
  <si>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</si>
  <si>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</si>
  <si>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</si>
  <si>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</si>
  <si>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</si>
  <si>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</si>
  <si>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</si>
  <si>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</si>
  <si>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</si>
  <si>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</si>
  <si>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</si>
  <si>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</si>
  <si>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</si>
  <si>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</si>
  <si>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</si>
  <si>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</si>
  <si>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</si>
  <si>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</si>
  <si>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</si>
  <si>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</si>
  <si>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</si>
  <si>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</si>
  <si>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</si>
  <si>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</si>
  <si>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</si>
  <si>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</si>
  <si>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</si>
  <si>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</si>
  <si>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</si>
  <si>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</si>
  <si>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</si>
  <si>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</si>
  <si>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</si>
  <si>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</si>
  <si>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</si>
  <si>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</si>
  <si>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</si>
  <si>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</si>
  <si>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</si>
  <si>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</si>
  <si>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</si>
  <si>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</si>
  <si>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</si>
  <si>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</si>
  <si>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</si>
  <si>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</si>
  <si>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</si>
  <si>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</si>
  <si>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</si>
  <si>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</si>
  <si>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</si>
  <si>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</si>
  <si>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</si>
  <si>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</si>
  <si>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</si>
  <si>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</si>
  <si>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</si>
  <si>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</si>
  <si>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</si>
  <si>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</si>
  <si>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</si>
  <si>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</si>
  <si>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</si>
  <si>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</si>
  <si>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</si>
  <si>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</si>
  <si>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</si>
  <si>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</si>
  <si>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</si>
  <si>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</si>
  <si>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</si>
  <si>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</si>
  <si>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</si>
  <si>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</si>
  <si>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</si>
  <si>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</si>
  <si>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</si>
  <si>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</si>
  <si>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</si>
  <si>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</si>
  <si>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</si>
  <si>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</si>
  <si>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</si>
  <si>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</si>
  <si>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</si>
  <si>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</si>
  <si>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</si>
  <si>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</si>
  <si>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</si>
  <si>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</si>
  <si>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</si>
  <si>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</si>
  <si>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</si>
  <si>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</si>
  <si>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</si>
  <si>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</si>
  <si>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</si>
  <si>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</si>
  <si>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</si>
  <si>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</si>
  <si>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</si>
  <si>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</si>
  <si>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</si>
  <si>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</si>
  <si>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</si>
  <si>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</si>
  <si>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</si>
  <si>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</si>
  <si>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</si>
  <si>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</si>
  <si>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</si>
  <si>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</si>
  <si>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</si>
  <si>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</si>
  <si>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</si>
  <si>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</si>
  <si>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</si>
  <si>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</si>
  <si>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</si>
  <si>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</si>
  <si>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</si>
  <si>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</si>
  <si>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</si>
  <si>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</si>
  <si>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</si>
  <si>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</si>
  <si>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</si>
  <si>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</si>
  <si>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</si>
  <si>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</si>
  <si>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</si>
  <si>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</si>
  <si>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</si>
  <si>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</si>
  <si>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</si>
  <si>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</si>
  <si>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</si>
  <si>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</si>
  <si>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</si>
  <si>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</si>
  <si>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</si>
  <si>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</si>
  <si>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</si>
  <si>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</si>
  <si>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</si>
  <si>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</si>
  <si>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</si>
  <si>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</si>
  <si>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</si>
  <si>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</si>
  <si>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</si>
  <si>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</si>
  <si>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</si>
  <si>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</si>
  <si>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</si>
  <si>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</si>
  <si>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</si>
  <si>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</si>
  <si>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</si>
  <si>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</si>
  <si>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</si>
  <si>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</si>
  <si>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</si>
  <si>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</si>
  <si>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</si>
  <si>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</si>
  <si>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</si>
  <si>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</si>
  <si>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</si>
  <si>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</si>
  <si>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</si>
  <si>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</si>
  <si>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</si>
  <si>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</si>
  <si>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</si>
  <si>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</si>
  <si>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</si>
  <si>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</si>
  <si>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</si>
  <si>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</si>
  <si>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</si>
  <si>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</si>
  <si>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</si>
  <si>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</si>
  <si>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</si>
  <si>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</si>
  <si>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</si>
  <si>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</si>
  <si>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</si>
  <si>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</si>
  <si>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</si>
  <si>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</si>
  <si>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</si>
  <si>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</si>
  <si>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</si>
  <si>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</si>
  <si>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</si>
  <si>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</si>
  <si>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</si>
  <si>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</si>
  <si>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</si>
  <si>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</si>
  <si>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</si>
  <si>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</si>
  <si>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</si>
  <si>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</si>
  <si>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</si>
  <si>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</si>
  <si>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</si>
  <si>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</si>
  <si>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</si>
  <si>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</si>
  <si>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</si>
  <si>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</si>
  <si>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</si>
  <si>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</si>
  <si>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</si>
  <si>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</si>
  <si>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</si>
  <si>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</si>
  <si>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</si>
  <si>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</si>
  <si>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</si>
  <si>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</si>
  <si>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</si>
  <si>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</si>
  <si>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</si>
  <si>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</si>
  <si>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</si>
  <si>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</si>
  <si>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</si>
  <si>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</si>
  <si>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</si>
  <si>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</si>
  <si>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</si>
  <si>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</si>
  <si>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</si>
  <si>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</si>
  <si>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</si>
  <si>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</si>
  <si>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</si>
  <si>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</si>
  <si>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</si>
  <si>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</si>
  <si>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</si>
  <si>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</si>
  <si>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</si>
  <si>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</si>
  <si>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</si>
  <si>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</si>
  <si>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</si>
  <si>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</si>
  <si>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</si>
  <si>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</si>
  <si>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</si>
  <si>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</si>
  <si>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</si>
  <si>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</si>
  <si>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</si>
  <si>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</si>
  <si>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</si>
  <si>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</si>
  <si>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</si>
  <si>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</si>
  <si>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</si>
  <si>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</si>
  <si>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</si>
  <si>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</si>
  <si>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</si>
  <si>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</si>
  <si>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</si>
  <si>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</si>
  <si>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</si>
  <si>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</si>
  <si>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</si>
  <si>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</si>
  <si>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</si>
  <si>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</si>
  <si>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</si>
  <si>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</si>
  <si>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</si>
  <si>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</si>
  <si>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</si>
  <si>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</si>
  <si>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</si>
  <si>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</si>
  <si>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</si>
  <si>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</si>
  <si>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</si>
  <si>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</si>
  <si>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</si>
  <si>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</si>
  <si>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</si>
  <si>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</si>
  <si>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</si>
  <si>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</si>
  <si>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</si>
  <si>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</si>
  <si>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</si>
  <si>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</si>
  <si>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</si>
  <si>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</si>
  <si>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</si>
  <si>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</si>
  <si>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</si>
  <si>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</si>
  <si>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</si>
  <si>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</si>
  <si>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</si>
  <si>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</si>
  <si>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</si>
  <si>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</si>
  <si>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</si>
  <si>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</si>
  <si>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</si>
  <si>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</si>
  <si>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</si>
  <si>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</si>
  <si>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</si>
  <si>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</si>
  <si>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</si>
  <si>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</si>
  <si>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</si>
  <si>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</si>
  <si>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</si>
  <si>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</si>
  <si>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</si>
  <si>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</si>
  <si>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</si>
  <si>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</si>
  <si>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</si>
  <si>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</si>
  <si>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</si>
  <si>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</si>
  <si>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</si>
  <si>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</si>
  <si>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</si>
  <si>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</si>
  <si>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</si>
  <si>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</si>
  <si>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</si>
  <si>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</si>
  <si>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</si>
  <si>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</si>
  <si>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</si>
  <si>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</si>
  <si>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</si>
  <si>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</si>
  <si>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</si>
  <si>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</si>
  <si>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</si>
  <si>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</si>
  <si>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</si>
  <si>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</si>
  <si>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</si>
  <si>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</si>
  <si>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</si>
  <si>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</si>
  <si>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</si>
  <si>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</si>
  <si>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</si>
  <si>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</si>
  <si>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</si>
  <si>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</si>
  <si>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</si>
  <si>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</si>
  <si>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</si>
  <si>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</si>
  <si>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</si>
  <si>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</si>
  <si>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</si>
  <si>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</si>
  <si>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</si>
  <si>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</si>
  <si>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</si>
  <si>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</si>
  <si>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</si>
  <si>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</si>
  <si>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</si>
  <si>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</si>
  <si>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</si>
  <si>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</si>
  <si>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</si>
  <si>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</si>
  <si>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</si>
  <si>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</si>
  <si>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</si>
  <si>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</si>
  <si>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</si>
  <si>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</si>
  <si>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</si>
  <si>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</si>
  <si>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</si>
  <si>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</si>
  <si>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</si>
  <si>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</si>
  <si>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</si>
  <si>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</si>
  <si>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</si>
  <si>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</si>
  <si>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</si>
  <si>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</si>
  <si>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</si>
  <si>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</si>
  <si>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</si>
  <si>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</si>
  <si>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</si>
  <si>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</si>
  <si>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</si>
  <si>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</si>
  <si>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</si>
  <si>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</si>
  <si>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</si>
  <si>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</si>
  <si>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</si>
  <si>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</si>
  <si>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</si>
  <si>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</si>
  <si>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</si>
  <si>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</si>
  <si>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</si>
  <si>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</si>
  <si>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</si>
  <si>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</si>
  <si>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</si>
  <si>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</si>
  <si>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</si>
  <si>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</si>
  <si>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</si>
  <si>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</si>
  <si>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</si>
  <si>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</si>
  <si>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</si>
  <si>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</si>
  <si>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</si>
  <si>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</si>
  <si>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</si>
  <si>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</si>
  <si>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</si>
  <si>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</si>
  <si>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</si>
  <si>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</si>
  <si>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</si>
  <si>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</si>
  <si>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</si>
  <si>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</si>
  <si>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</si>
  <si>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</si>
  <si>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</si>
  <si>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</si>
  <si>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</si>
  <si>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</si>
  <si>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</si>
  <si>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</si>
  <si>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</si>
  <si>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</si>
  <si>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</si>
  <si>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</si>
  <si>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</si>
  <si>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</si>
  <si>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</si>
  <si>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</si>
  <si>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</si>
  <si>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</si>
  <si>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</si>
  <si>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</si>
  <si>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</si>
  <si>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</si>
  <si>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</si>
  <si>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</si>
  <si>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</si>
  <si>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</si>
  <si>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</si>
  <si>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</si>
  <si>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</si>
  <si>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</si>
  <si>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</si>
  <si>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</si>
  <si>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</si>
  <si>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</si>
  <si>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</si>
  <si>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</si>
  <si>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</si>
  <si>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</si>
  <si>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</si>
  <si>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</si>
  <si>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</si>
  <si>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</si>
  <si>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</si>
  <si>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</si>
  <si>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</si>
  <si>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</si>
  <si>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</si>
  <si>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</si>
  <si>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</si>
  <si>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</si>
  <si>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</si>
  <si>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</si>
  <si>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</si>
  <si>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</si>
  <si>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</si>
  <si>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</si>
  <si>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</si>
  <si>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</si>
  <si>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</si>
  <si>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</si>
  <si>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</si>
  <si>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</si>
  <si>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</si>
  <si>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</si>
  <si>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</si>
  <si>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</si>
  <si>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</si>
  <si>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</si>
  <si>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</si>
  <si>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</si>
  <si>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</si>
  <si>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</si>
  <si>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</si>
  <si>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</si>
  <si>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</si>
  <si>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</si>
  <si>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</si>
  <si>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</si>
  <si>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</si>
  <si>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</si>
  <si>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</si>
  <si>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</si>
  <si>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</si>
  <si>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</si>
  <si>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</si>
  <si>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</si>
  <si>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</si>
  <si>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</si>
  <si>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</si>
  <si>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</si>
  <si>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</si>
  <si>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</si>
  <si>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</si>
  <si>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</si>
  <si>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</si>
  <si>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</si>
  <si>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</si>
  <si>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</si>
  <si>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</si>
  <si>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</si>
  <si>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</si>
  <si>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</si>
  <si>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</si>
  <si>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</si>
  <si>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</si>
  <si>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</si>
  <si>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</si>
  <si>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</si>
  <si>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</si>
  <si>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</si>
  <si>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</si>
  <si>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</si>
  <si>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</si>
  <si>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</si>
  <si>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</si>
  <si>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</si>
  <si>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</si>
  <si>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</si>
  <si>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</si>
  <si>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</si>
  <si>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</si>
  <si>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</si>
  <si>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</si>
  <si>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</si>
  <si>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</si>
  <si>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</si>
  <si>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</si>
  <si>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</si>
  <si>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</si>
  <si>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</si>
  <si>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</si>
  <si>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</si>
  <si>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</si>
  <si>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</si>
  <si>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</si>
  <si>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</si>
  <si>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</si>
  <si>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</si>
  <si>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</si>
  <si>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</si>
  <si>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</si>
  <si>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</si>
  <si>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</si>
  <si>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</si>
  <si>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</si>
  <si>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</si>
  <si>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</si>
  <si>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</si>
  <si>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</si>
  <si>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</si>
  <si>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</si>
  <si>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</si>
  <si>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</si>
  <si>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</si>
  <si>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</si>
  <si>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</si>
  <si>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</si>
  <si>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</si>
  <si>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</si>
  <si>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</si>
  <si>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</si>
  <si>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</si>
  <si>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</si>
  <si>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</si>
  <si>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</si>
  <si>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</si>
  <si>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</si>
  <si>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</si>
  <si>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</si>
  <si>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</si>
  <si>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</si>
  <si>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</si>
  <si>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</si>
  <si>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</si>
  <si>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</si>
  <si>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</si>
  <si>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</si>
  <si>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</si>
  <si>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</si>
  <si>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</si>
  <si>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</si>
  <si>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</si>
  <si>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</si>
  <si>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</si>
  <si>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</si>
  <si>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</si>
  <si>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</si>
  <si>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</si>
  <si>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</si>
  <si>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</si>
  <si>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</si>
  <si>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</si>
  <si>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</si>
  <si>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</si>
  <si>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</si>
  <si>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</si>
  <si>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</si>
  <si>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</si>
  <si>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</si>
  <si>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</si>
  <si>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</si>
  <si>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</si>
  <si>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</si>
  <si>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</si>
  <si>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</si>
  <si>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</si>
  <si>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</si>
  <si>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</si>
  <si>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</si>
  <si>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</si>
  <si>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</si>
  <si>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</si>
  <si>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</si>
  <si>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</si>
  <si>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</si>
  <si>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</si>
  <si>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</si>
  <si>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</si>
  <si>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</si>
  <si>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</si>
  <si>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</si>
  <si>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</si>
  <si>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</si>
  <si>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</si>
  <si>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</si>
  <si>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</si>
  <si>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</si>
  <si>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</si>
  <si>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</si>
  <si>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</si>
  <si>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</si>
  <si>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</si>
  <si>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</si>
  <si>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</si>
  <si>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</si>
  <si>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</si>
  <si>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</si>
  <si>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</si>
  <si>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</si>
  <si>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</si>
  <si>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</si>
  <si>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</si>
  <si>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</si>
  <si>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</si>
  <si>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</si>
  <si>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</si>
  <si>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</si>
  <si>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</si>
  <si>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</si>
  <si>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</si>
  <si>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</si>
  <si>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</si>
  <si>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</si>
  <si>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</si>
  <si>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</si>
  <si>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</si>
  <si>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</si>
  <si>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</si>
  <si>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</si>
  <si>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</si>
  <si>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</si>
  <si>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</si>
  <si>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</si>
  <si>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</si>
  <si>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</si>
  <si>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</si>
  <si>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</si>
  <si>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</si>
  <si>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</si>
  <si>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</si>
  <si>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</si>
  <si>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</si>
  <si>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</si>
  <si>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</si>
  <si>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</si>
  <si>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</si>
  <si>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</si>
  <si>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</si>
  <si>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</si>
  <si>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</si>
  <si>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</si>
  <si>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</si>
  <si>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</si>
  <si>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</si>
  <si>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</si>
  <si>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</si>
  <si>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</si>
  <si>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</si>
  <si>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</si>
  <si>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</si>
  <si>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</si>
  <si>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</si>
  <si>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</si>
  <si>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</si>
  <si>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</si>
  <si>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</si>
  <si>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</si>
  <si>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</si>
  <si>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</si>
  <si>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</si>
  <si>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</si>
  <si>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</si>
  <si>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</si>
  <si>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</si>
  <si>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</si>
  <si>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</si>
  <si>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</si>
  <si>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</si>
  <si>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</si>
  <si>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</si>
  <si>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</si>
  <si>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</si>
  <si>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</si>
  <si>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</si>
  <si>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</si>
  <si>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</si>
  <si>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</si>
  <si>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</si>
  <si>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</si>
  <si>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</si>
  <si>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</si>
  <si>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</si>
  <si>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</si>
  <si>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</si>
  <si>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</si>
  <si>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</si>
  <si>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</si>
  <si>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</si>
  <si>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</si>
  <si>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</si>
  <si>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</si>
  <si>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</si>
  <si>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</si>
  <si>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</si>
  <si>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</si>
  <si>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</si>
  <si>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</si>
  <si>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</si>
  <si>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</si>
  <si>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</si>
  <si>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</si>
  <si>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</si>
  <si>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</si>
  <si>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</si>
  <si>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</si>
  <si>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</si>
  <si>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</si>
  <si>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</si>
  <si>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</si>
  <si>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</si>
  <si>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</si>
  <si>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</si>
  <si>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</si>
  <si>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</si>
  <si>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</si>
  <si>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</si>
  <si>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</si>
  <si>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</si>
  <si>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</si>
  <si>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</si>
  <si>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</si>
  <si>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</si>
  <si>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</si>
  <si>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</si>
  <si>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</si>
  <si>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</si>
  <si>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</si>
  <si>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</si>
  <si>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</si>
  <si>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</si>
  <si>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</si>
  <si>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</si>
  <si>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</si>
  <si>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</si>
  <si>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</si>
  <si>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</si>
  <si>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</si>
  <si>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</si>
  <si>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</si>
  <si>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</si>
  <si>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</si>
  <si>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</si>
  <si>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</si>
  <si>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</si>
  <si>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</si>
  <si>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</si>
  <si>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</si>
  <si>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</si>
  <si>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</si>
  <si>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</si>
  <si>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</si>
  <si>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</si>
  <si>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</si>
  <si>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</si>
  <si>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</si>
  <si>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</si>
  <si>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</si>
  <si>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</si>
  <si>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</si>
  <si>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</si>
  <si>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</si>
  <si>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</si>
  <si>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</si>
  <si>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</si>
  <si>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</si>
  <si>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</si>
  <si>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</si>
  <si>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</si>
  <si>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</si>
  <si>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</si>
  <si>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</si>
  <si>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</si>
  <si>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</si>
  <si>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</si>
  <si>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</si>
  <si>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</si>
  <si>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</si>
  <si>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</si>
  <si>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</si>
  <si>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</si>
  <si>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</si>
  <si>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</si>
  <si>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</si>
  <si>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</si>
  <si>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</si>
  <si>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</si>
  <si>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</si>
  <si>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</si>
  <si>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</si>
  <si>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</si>
  <si>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</si>
  <si>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</si>
  <si>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</si>
  <si>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</si>
  <si>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</si>
  <si>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</si>
  <si>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</si>
  <si>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</si>
  <si>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</si>
  <si>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</si>
  <si>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</si>
  <si>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</si>
  <si>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</si>
  <si>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</si>
  <si>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</si>
  <si>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</si>
  <si>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</si>
  <si>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</si>
  <si>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</si>
  <si>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</si>
  <si>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</si>
  <si>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</si>
  <si>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</si>
  <si>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</si>
  <si>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</si>
  <si>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</si>
  <si>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</si>
  <si>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</si>
  <si>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</si>
  <si>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</si>
  <si>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</si>
  <si>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</si>
  <si>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</si>
  <si>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</si>
  <si>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</si>
  <si>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</si>
  <si>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</si>
  <si>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</si>
  <si>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</si>
  <si>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</si>
  <si>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</si>
  <si>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</si>
  <si>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</si>
  <si>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</si>
  <si>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</si>
  <si>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</si>
  <si>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</si>
  <si>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</si>
  <si>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</si>
  <si>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</si>
  <si>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</si>
  <si>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</si>
  <si>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</si>
  <si>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</si>
  <si>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</si>
  <si>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</si>
  <si>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</si>
  <si>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</si>
  <si>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</si>
  <si>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</si>
  <si>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</si>
  <si>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</si>
  <si>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</si>
  <si>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</si>
  <si>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</si>
  <si>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</si>
  <si>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</si>
  <si>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</si>
  <si>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</si>
  <si>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</si>
  <si>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</si>
  <si>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</si>
  <si>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</si>
  <si>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</si>
  <si>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</si>
  <si>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</si>
  <si>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</si>
  <si>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</si>
  <si>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</si>
  <si>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</si>
  <si>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</si>
  <si>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</si>
  <si>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</si>
  <si>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</si>
  <si>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</si>
  <si>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</si>
  <si>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</si>
  <si>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</si>
  <si>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</si>
  <si>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</si>
  <si>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</si>
  <si>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</si>
  <si>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</si>
  <si>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</si>
  <si>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</si>
  <si>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</si>
  <si>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</si>
  <si>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</si>
  <si>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</si>
  <si>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</si>
  <si>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</si>
  <si>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</si>
  <si>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</si>
  <si>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</si>
  <si>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</si>
  <si>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</si>
  <si>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</si>
  <si>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</si>
  <si>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</si>
  <si>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</si>
  <si>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</si>
  <si>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</si>
  <si>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</si>
  <si>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</si>
  <si>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</si>
  <si>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</si>
  <si>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</si>
  <si>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</si>
  <si>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</si>
  <si>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</si>
  <si>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</si>
  <si>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</si>
  <si>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</si>
  <si>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</si>
  <si>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</si>
  <si>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</si>
  <si>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</si>
  <si>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</si>
  <si>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</si>
  <si>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</si>
  <si>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</si>
  <si>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</si>
  <si>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</si>
  <si>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</si>
  <si>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</si>
  <si>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</si>
  <si>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</si>
  <si>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</si>
  <si>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</si>
  <si>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</si>
  <si>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</si>
  <si>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</si>
  <si>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</si>
  <si>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</si>
  <si>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</si>
  <si>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</si>
  <si>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</si>
  <si>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</si>
  <si>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</si>
  <si>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</si>
  <si>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</si>
  <si>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</si>
  <si>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</si>
  <si>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</si>
  <si>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</si>
  <si>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</si>
  <si>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</si>
  <si>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</si>
  <si>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</si>
  <si>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</si>
  <si>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</si>
  <si>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</si>
  <si>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</si>
  <si>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</si>
  <si>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</si>
  <si>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</si>
  <si>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</si>
  <si>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</si>
  <si>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</si>
  <si>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</si>
  <si>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</si>
  <si>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</si>
  <si>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</si>
  <si>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</si>
  <si>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</si>
  <si>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</si>
  <si>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</si>
  <si>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</si>
  <si>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</si>
  <si>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</si>
  <si>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</si>
  <si>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</si>
  <si>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</si>
  <si>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</si>
  <si>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</si>
  <si>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</si>
  <si>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</si>
  <si>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</si>
  <si>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</si>
  <si>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</si>
  <si>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</si>
  <si>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</si>
  <si>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</si>
  <si>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</si>
  <si>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</si>
  <si>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</si>
  <si>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</si>
  <si>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</si>
  <si>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</si>
  <si>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</si>
  <si>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</si>
  <si>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</si>
  <si>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</si>
  <si>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</si>
  <si>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</si>
  <si>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</si>
  <si>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</si>
  <si>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</si>
  <si>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</si>
  <si>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</si>
  <si>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</si>
  <si>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</si>
  <si>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</si>
  <si>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</si>
  <si>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</si>
  <si>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</si>
  <si>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</si>
  <si>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</si>
  <si>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</si>
  <si>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</si>
  <si>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</si>
  <si>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</si>
  <si>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</si>
  <si>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</si>
  <si>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</si>
  <si>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</si>
  <si>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</si>
  <si>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</si>
  <si>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</si>
  <si>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</si>
  <si>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</si>
  <si>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</si>
  <si>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</si>
  <si>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</si>
  <si>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</si>
  <si>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</si>
  <si>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</si>
  <si>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</si>
  <si>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</si>
  <si>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</si>
  <si>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</si>
  <si>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</si>
  <si>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</si>
  <si>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</si>
  <si>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</si>
  <si>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</si>
  <si>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</si>
  <si>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</si>
  <si>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</si>
  <si>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</si>
  <si>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</si>
  <si>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</si>
  <si>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</si>
  <si>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</si>
  <si>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</si>
  <si>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</si>
  <si>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</si>
  <si>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</si>
  <si>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</si>
  <si>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</si>
  <si>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</si>
  <si>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</si>
  <si>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</si>
  <si>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</si>
  <si>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</si>
  <si>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</si>
  <si>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</si>
  <si>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</si>
  <si>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</si>
  <si>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</si>
  <si>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</si>
  <si>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</si>
  <si>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</si>
  <si>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</si>
  <si>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</si>
  <si>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</si>
  <si>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</si>
  <si>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</si>
  <si>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</si>
  <si>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</si>
  <si>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</si>
  <si>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</si>
  <si>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</si>
  <si>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</si>
  <si>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</si>
  <si>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</si>
  <si>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</si>
  <si>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</si>
  <si>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</si>
  <si>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</si>
  <si>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</si>
  <si>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</si>
  <si>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</si>
  <si>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</si>
  <si>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</si>
  <si>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</si>
  <si>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</si>
  <si>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</si>
  <si>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</si>
  <si>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</si>
  <si>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</si>
  <si>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</si>
  <si>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</si>
  <si>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</si>
  <si>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</si>
  <si>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</si>
  <si>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</si>
  <si>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</si>
  <si>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</si>
  <si>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</si>
  <si>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</si>
  <si>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</si>
  <si>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</si>
  <si>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</si>
  <si>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</si>
  <si>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</si>
  <si>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</si>
  <si>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</si>
  <si>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</si>
  <si>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</si>
  <si>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</si>
  <si>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</si>
  <si>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</si>
  <si>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</si>
  <si>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</si>
  <si>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</si>
  <si>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</si>
  <si>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</si>
  <si>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</si>
  <si>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</si>
  <si>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</si>
  <si>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</si>
  <si>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</si>
  <si>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</si>
  <si>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</si>
  <si>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</si>
  <si>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</si>
  <si>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</si>
  <si>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</si>
  <si>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</si>
  <si>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</si>
  <si>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</si>
  <si>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</si>
  <si>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</si>
  <si>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</si>
  <si>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</si>
  <si>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</si>
  <si>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</si>
  <si>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</si>
  <si>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</si>
  <si>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</si>
  <si>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</si>
  <si>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</si>
  <si>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</si>
  <si>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</si>
  <si>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</si>
  <si>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</si>
  <si>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</si>
  <si>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</si>
  <si>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</si>
  <si>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</si>
  <si>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</si>
  <si>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</si>
  <si>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</si>
  <si>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</si>
  <si>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</si>
  <si>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</si>
  <si>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</si>
  <si>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</si>
  <si>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</si>
  <si>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</si>
  <si>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</si>
  <si>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</si>
  <si>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</si>
  <si>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</si>
  <si>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</si>
  <si>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</si>
  <si>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</si>
  <si>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</si>
  <si>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</si>
  <si>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</si>
  <si>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</si>
  <si>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</si>
  <si>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</si>
  <si>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</si>
  <si>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</si>
  <si>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</si>
  <si>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</si>
  <si>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</si>
  <si>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</si>
  <si>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</si>
  <si>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</si>
  <si>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</si>
  <si>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</si>
  <si>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</si>
  <si>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</si>
  <si>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</si>
  <si>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</si>
  <si>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</si>
  <si>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</si>
  <si>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</si>
  <si>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</si>
  <si>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</si>
  <si>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</si>
  <si>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</si>
  <si>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</si>
  <si>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</si>
  <si>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</si>
  <si>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</si>
  <si>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</si>
  <si>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</si>
  <si>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</si>
  <si>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</si>
  <si>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</si>
  <si>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</si>
  <si>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</si>
  <si>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</si>
  <si>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</si>
  <si>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</si>
  <si>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</si>
  <si>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</si>
  <si>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</si>
  <si>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</si>
  <si>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</si>
  <si>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</si>
  <si>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</si>
  <si>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</si>
  <si>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</si>
  <si>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</si>
  <si>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</si>
  <si>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</si>
  <si>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</si>
  <si>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</si>
  <si>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</si>
  <si>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</si>
  <si>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</si>
  <si>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</si>
  <si>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</si>
  <si>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</si>
  <si>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</si>
  <si>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</si>
  <si>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</si>
  <si>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</si>
  <si>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</si>
  <si>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</si>
  <si>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</si>
  <si>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</si>
  <si>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</si>
  <si>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</si>
  <si>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</si>
  <si>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</si>
  <si>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</si>
  <si>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</si>
  <si>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</si>
  <si>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</si>
  <si>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</si>
  <si>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</si>
  <si>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</si>
  <si>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</si>
  <si>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</si>
  <si>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</si>
  <si>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</si>
  <si>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</si>
  <si>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</si>
  <si>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</si>
  <si>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</si>
  <si>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</si>
  <si>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</si>
  <si>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</si>
  <si>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</si>
  <si>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</si>
  <si>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</si>
  <si>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</si>
  <si>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</si>
  <si>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</si>
  <si>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</si>
  <si>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</si>
  <si>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</si>
  <si>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</si>
  <si>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</si>
  <si>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</si>
  <si>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</si>
  <si>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</si>
  <si>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</si>
  <si>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</si>
  <si>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</si>
  <si>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</si>
  <si>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</si>
  <si>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</si>
  <si>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</si>
  <si>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</si>
  <si>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</si>
  <si>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</si>
  <si>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</si>
  <si>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</si>
  <si>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</si>
  <si>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</si>
  <si>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</si>
  <si>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</si>
  <si>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</si>
  <si>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</si>
  <si>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</si>
  <si>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</si>
  <si>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</si>
  <si>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</si>
  <si>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</si>
  <si>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</si>
  <si>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</si>
  <si>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</si>
  <si>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</si>
  <si>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</si>
  <si>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</si>
  <si>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</si>
  <si>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</si>
  <si>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</si>
  <si>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</si>
  <si>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</si>
  <si>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</si>
  <si>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</si>
  <si>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</si>
  <si>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</si>
  <si>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</si>
  <si>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</si>
  <si>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</si>
  <si>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</si>
  <si>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</si>
  <si>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</si>
  <si>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</si>
  <si>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</si>
  <si>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</si>
  <si>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</si>
  <si>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</si>
  <si>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</si>
  <si>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</si>
  <si>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</si>
  <si>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</si>
  <si>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</si>
  <si>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</si>
  <si>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</si>
  <si>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</si>
  <si>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</si>
  <si>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</si>
  <si>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</si>
  <si>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</si>
  <si>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</si>
  <si>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</si>
  <si>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</si>
  <si>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</si>
  <si>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</si>
  <si>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</si>
  <si>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</si>
  <si>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</si>
  <si>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</si>
  <si>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</si>
  <si>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</si>
  <si>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</si>
  <si>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</si>
  <si>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</si>
  <si>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</si>
  <si>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</si>
  <si>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</si>
  <si>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</si>
  <si>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</si>
  <si>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</si>
  <si>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</si>
  <si>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</si>
  <si>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</si>
  <si>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</si>
  <si>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</si>
  <si>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</si>
  <si>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</si>
  <si>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</si>
  <si>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</si>
  <si>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</si>
  <si>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</si>
  <si>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</si>
  <si>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</si>
  <si>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</si>
  <si>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</si>
  <si>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</si>
  <si>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</si>
  <si>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</si>
  <si>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</si>
  <si>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</si>
  <si>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</si>
  <si>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</si>
  <si>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</si>
  <si>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</si>
  <si>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</si>
  <si>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</si>
  <si>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</si>
  <si>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</si>
  <si>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</si>
  <si>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</si>
  <si>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</si>
  <si>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</si>
  <si>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</si>
  <si>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</si>
  <si>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</si>
  <si>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</si>
  <si>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</si>
  <si>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</si>
  <si>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</si>
  <si>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</si>
  <si>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</si>
  <si>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</si>
  <si>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</si>
  <si>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</si>
  <si>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</si>
  <si>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</si>
  <si>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</si>
  <si>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</si>
  <si>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</si>
  <si>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</si>
  <si>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</si>
  <si>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</si>
  <si>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</si>
  <si>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</si>
  <si>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</si>
  <si>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</si>
  <si>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</si>
  <si>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</si>
  <si>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</si>
  <si>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</si>
  <si>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</si>
  <si>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</si>
  <si>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</si>
  <si>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</si>
  <si>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</si>
  <si>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</si>
  <si>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</si>
  <si>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</si>
  <si>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</si>
  <si>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</si>
  <si>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</si>
  <si>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</si>
  <si>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</si>
  <si>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</si>
  <si>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</si>
  <si>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</si>
  <si>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</si>
  <si>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</si>
  <si>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</si>
  <si>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</si>
  <si>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</si>
  <si>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</si>
  <si>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</si>
  <si>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</si>
  <si>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</si>
  <si>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</si>
  <si>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</si>
  <si>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</si>
  <si>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</si>
  <si>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</si>
  <si>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</si>
  <si>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</si>
  <si>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</si>
  <si>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</si>
  <si>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</si>
  <si>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</si>
  <si>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</si>
  <si>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</si>
  <si>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</si>
  <si>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</si>
  <si>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</si>
  <si>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</si>
  <si>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</si>
  <si>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</si>
  <si>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</si>
  <si>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</si>
  <si>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</si>
  <si>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</si>
  <si>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</si>
  <si>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</si>
  <si>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</si>
  <si>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</si>
  <si>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</si>
  <si>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</si>
  <si>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</si>
  <si>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</si>
  <si>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</si>
  <si>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</si>
  <si>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</si>
  <si>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</si>
  <si>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</si>
  <si>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</si>
  <si>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</si>
  <si>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</si>
  <si>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</si>
  <si>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</si>
  <si>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</si>
  <si>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</si>
  <si>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</si>
  <si>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</si>
  <si>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</si>
  <si>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</si>
  <si>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</si>
  <si>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</si>
  <si>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</si>
  <si>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</si>
  <si>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</si>
  <si>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</si>
  <si>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</si>
  <si>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</si>
  <si>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</si>
  <si>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</si>
  <si>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</si>
  <si>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</si>
  <si>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</si>
  <si>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</si>
  <si>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</si>
  <si>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</si>
  <si>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</si>
  <si>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</si>
  <si>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</si>
  <si>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</si>
  <si>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</si>
  <si>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</si>
  <si>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</si>
  <si>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</si>
  <si>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</si>
  <si>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</si>
  <si>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</si>
  <si>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</si>
  <si>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</si>
  <si>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</si>
  <si>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</si>
  <si>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</si>
  <si>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</si>
  <si>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</si>
  <si>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</si>
  <si>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</si>
  <si>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</si>
  <si>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</si>
  <si>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</si>
  <si>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</si>
  <si>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</si>
  <si>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</si>
  <si>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</si>
  <si>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</si>
  <si>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</si>
  <si>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</si>
  <si>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</si>
  <si>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</si>
  <si>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</si>
  <si>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</si>
  <si>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</si>
  <si>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</si>
  <si>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</si>
  <si>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</si>
  <si>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</si>
  <si>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</si>
  <si>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</si>
  <si>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</si>
  <si>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</si>
  <si>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</si>
  <si>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</si>
  <si>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</si>
  <si>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</si>
  <si>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</si>
  <si>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</si>
  <si>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</si>
  <si>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</si>
  <si>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</si>
  <si>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</si>
  <si>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</si>
  <si>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</si>
  <si>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</si>
  <si>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</si>
  <si>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</si>
  <si>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</si>
  <si>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</si>
  <si>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</si>
  <si>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</si>
  <si>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</si>
  <si>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</si>
  <si>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</si>
  <si>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</si>
  <si>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</si>
  <si>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</si>
  <si>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</si>
  <si>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</si>
  <si>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</si>
  <si>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</si>
  <si>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</si>
  <si>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</si>
  <si>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</si>
  <si>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</si>
  <si>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</si>
  <si>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</si>
  <si>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</si>
  <si>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</si>
  <si>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</si>
  <si>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</si>
  <si>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</si>
  <si>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</si>
  <si>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</si>
  <si>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</si>
  <si>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</si>
  <si>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</si>
  <si>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</si>
  <si>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</si>
  <si>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</si>
  <si>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</si>
  <si>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</si>
  <si>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</si>
  <si>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</si>
  <si>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</si>
  <si>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</si>
  <si>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</si>
  <si>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</si>
  <si>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</si>
  <si>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</si>
  <si>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</si>
  <si>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</si>
  <si>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</si>
  <si>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</si>
  <si>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</si>
  <si>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</si>
  <si>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</si>
  <si>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</si>
  <si>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</si>
  <si>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</si>
  <si>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</si>
  <si>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</si>
  <si>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</si>
  <si>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</si>
  <si>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</si>
  <si>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</si>
  <si>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</si>
  <si>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</si>
  <si>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</si>
  <si>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</si>
  <si>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</si>
  <si>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</si>
  <si>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</si>
  <si>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</si>
  <si>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</si>
  <si>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</si>
  <si>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</si>
  <si>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</si>
  <si>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</si>
  <si>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</si>
  <si>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</si>
  <si>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</si>
  <si>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</si>
  <si>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</si>
  <si>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</si>
  <si>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</si>
  <si>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</si>
  <si>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</si>
  <si>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</si>
  <si>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</si>
  <si>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</si>
  <si>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</si>
  <si>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</si>
  <si>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</si>
  <si>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</si>
  <si>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</si>
  <si>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</si>
  <si>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</si>
  <si>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</si>
  <si>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</si>
  <si>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</si>
  <si>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</si>
  <si>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</si>
  <si>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</si>
  <si>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</si>
  <si>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</si>
  <si>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</si>
  <si>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</si>
  <si>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</si>
  <si>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</si>
  <si>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</si>
  <si>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</si>
  <si>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</si>
  <si>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</si>
  <si>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</si>
  <si>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</si>
  <si>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</si>
  <si>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</si>
  <si>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</si>
  <si>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</si>
  <si>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</si>
  <si>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</si>
  <si>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</si>
  <si>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</si>
  <si>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</si>
  <si>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</si>
  <si>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</si>
  <si>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</si>
  <si>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</si>
  <si>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</si>
  <si>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</si>
  <si>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</si>
  <si>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</si>
  <si>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</si>
  <si>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</si>
  <si>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</si>
  <si>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</si>
  <si>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</si>
  <si>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</si>
  <si>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</si>
  <si>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</si>
  <si>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</si>
  <si>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</si>
  <si>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</si>
  <si>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</si>
  <si>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</si>
  <si>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</si>
  <si>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</si>
  <si>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</si>
  <si>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</si>
  <si>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</si>
  <si>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</si>
  <si>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</si>
  <si>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</si>
  <si>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</si>
  <si>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</si>
  <si>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</si>
  <si>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</si>
  <si>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</si>
  <si>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</si>
  <si>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</si>
  <si>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</si>
  <si>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</si>
  <si>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</si>
  <si>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</si>
  <si>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</si>
  <si>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</si>
  <si>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</si>
  <si>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</si>
  <si>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</si>
  <si>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</si>
  <si>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</si>
  <si>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</si>
  <si>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</si>
  <si>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</si>
  <si>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</si>
  <si>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</si>
  <si>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</si>
  <si>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</si>
  <si>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</si>
  <si>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</si>
  <si>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</si>
  <si>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</si>
  <si>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</si>
  <si>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</si>
  <si>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</si>
  <si>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</si>
  <si>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</si>
  <si>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</si>
  <si>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</si>
  <si>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</si>
  <si>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</si>
  <si>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</si>
  <si>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</si>
  <si>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</si>
  <si>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</si>
  <si>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</si>
  <si>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</si>
  <si>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</si>
  <si>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</si>
  <si>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</si>
  <si>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</si>
  <si>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</si>
  <si>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</si>
  <si>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</si>
  <si>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</si>
  <si>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</si>
  <si>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</si>
  <si>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</si>
  <si>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</si>
  <si>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</si>
  <si>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</si>
  <si>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</si>
  <si>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</si>
  <si>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</si>
  <si>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</si>
  <si>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</si>
  <si>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</si>
  <si>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</si>
  <si>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</si>
  <si>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</si>
  <si>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</si>
  <si>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</si>
  <si>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</si>
  <si>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</si>
  <si>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</si>
  <si>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</si>
  <si>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</si>
  <si>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</si>
  <si>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</si>
  <si>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</si>
  <si>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</si>
  <si>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</si>
  <si>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</si>
  <si>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</si>
  <si>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</si>
  <si>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</si>
  <si>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</si>
  <si>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</si>
  <si>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</si>
  <si>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</si>
  <si>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</si>
  <si>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</si>
  <si>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</si>
  <si>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</si>
  <si>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</si>
  <si>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</si>
  <si>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</si>
  <si>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</si>
  <si>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</si>
  <si>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</si>
  <si>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</si>
  <si>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</si>
  <si>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</si>
  <si>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</si>
  <si>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</si>
  <si>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</si>
  <si>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</si>
  <si>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</si>
  <si>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</si>
  <si>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</si>
  <si>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</si>
  <si>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</si>
  <si>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</si>
  <si>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</si>
  <si>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</si>
  <si>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</si>
  <si>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</si>
  <si>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</si>
  <si>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</si>
  <si>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</si>
  <si>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</si>
  <si>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</si>
  <si>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</si>
  <si>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</si>
  <si>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</si>
  <si>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</si>
  <si>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</si>
  <si>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</si>
  <si>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</si>
  <si>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</si>
  <si>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</si>
  <si>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</si>
  <si>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</si>
  <si>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</si>
  <si>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</si>
  <si>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</si>
  <si>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</si>
  <si>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</si>
  <si>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</si>
  <si>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</si>
  <si>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</si>
  <si>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</si>
  <si>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</si>
  <si>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</si>
  <si>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</si>
  <si>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</si>
  <si>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</si>
  <si>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</si>
  <si>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</si>
  <si>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</si>
  <si>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</si>
  <si>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</si>
  <si>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</si>
  <si>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</si>
  <si>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</si>
  <si>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</si>
  <si>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</si>
  <si>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</si>
  <si>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</si>
  <si>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</si>
  <si>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</si>
  <si>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</si>
  <si>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</si>
  <si>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</si>
  <si>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</si>
  <si>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</si>
  <si>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</si>
  <si>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</si>
  <si>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</si>
  <si>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</si>
  <si>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</si>
  <si>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</si>
  <si>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</si>
  <si>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</si>
  <si>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</si>
  <si>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</si>
  <si>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</si>
  <si>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</si>
  <si>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</si>
  <si>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</si>
  <si>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</si>
  <si>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</si>
  <si>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</si>
  <si>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</si>
  <si>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</si>
  <si>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</si>
  <si>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</si>
  <si>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</si>
  <si>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</si>
  <si>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</si>
  <si>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</si>
  <si>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</si>
  <si>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</si>
  <si>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</si>
  <si>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</si>
  <si>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</si>
  <si>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</si>
  <si>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</si>
  <si>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</si>
  <si>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</si>
  <si>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</si>
  <si>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</si>
  <si>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</si>
  <si>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</si>
  <si>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</si>
  <si>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</si>
  <si>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</si>
  <si>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</si>
  <si>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</si>
  <si>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</si>
  <si>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</si>
  <si>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</si>
  <si>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</si>
  <si>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</si>
  <si>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</si>
  <si>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</si>
  <si>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</si>
  <si>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</si>
  <si>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</si>
  <si>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</si>
  <si>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</si>
  <si>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</si>
  <si>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</si>
  <si>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</si>
  <si>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</si>
  <si>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</si>
  <si>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</si>
  <si>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</si>
  <si>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</si>
  <si>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</si>
  <si>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</si>
  <si>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</si>
  <si>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</si>
  <si>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</si>
  <si>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</si>
  <si>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</si>
  <si>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</si>
  <si>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</si>
  <si>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</si>
  <si>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</si>
  <si>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</si>
  <si>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</si>
  <si>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</si>
  <si>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</si>
  <si>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</si>
  <si>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</si>
  <si>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</si>
  <si>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</si>
  <si>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</si>
  <si>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</si>
  <si>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</si>
  <si>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</si>
  <si>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</si>
  <si>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</si>
  <si>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</si>
  <si>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</si>
  <si>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</si>
  <si>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</si>
  <si>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</si>
  <si>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</si>
  <si>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</si>
  <si>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</si>
  <si>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</si>
  <si>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</si>
  <si>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</si>
  <si>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</si>
  <si>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</si>
  <si>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</si>
  <si>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</si>
  <si>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</si>
  <si>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</si>
  <si>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</si>
  <si>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</si>
  <si>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</si>
  <si>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</si>
  <si>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</si>
  <si>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</si>
  <si>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</si>
  <si>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</si>
  <si>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</si>
  <si>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</si>
  <si>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</si>
  <si>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</si>
  <si>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</si>
  <si>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</si>
  <si>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</si>
  <si>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</si>
  <si>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</si>
  <si>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</si>
  <si>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</si>
  <si>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</si>
  <si>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</si>
  <si>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</si>
  <si>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</si>
  <si>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</si>
  <si>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</si>
  <si>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</si>
  <si>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</si>
  <si>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</si>
  <si>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</si>
  <si>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</si>
  <si>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</si>
  <si>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</si>
  <si>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</si>
  <si>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</si>
  <si>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</si>
  <si>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</si>
  <si>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</si>
  <si>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</si>
  <si>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</si>
  <si>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</si>
  <si>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</si>
  <si>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</si>
  <si>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</si>
  <si>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</si>
  <si>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</si>
  <si>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</si>
  <si>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</si>
  <si>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</si>
  <si>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</si>
  <si>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</si>
  <si>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</si>
  <si>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</si>
  <si>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</si>
  <si>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</si>
  <si>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</si>
  <si>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</si>
  <si>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</si>
  <si>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</si>
  <si>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</si>
  <si>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</si>
  <si>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</si>
  <si>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</si>
  <si>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</si>
  <si>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</si>
  <si>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</si>
  <si>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</si>
  <si>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</si>
  <si>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</si>
  <si>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</si>
  <si>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</si>
  <si>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</si>
  <si>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</si>
  <si>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</si>
  <si>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</si>
  <si>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</si>
  <si>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</si>
  <si>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</si>
  <si>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</si>
  <si>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</si>
  <si>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</si>
  <si>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</si>
  <si>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</si>
  <si>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</si>
  <si>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</si>
  <si>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</si>
  <si>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</si>
  <si>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</si>
  <si>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</si>
  <si>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</si>
  <si>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</si>
  <si>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</si>
  <si>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</si>
  <si>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</si>
  <si>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</si>
  <si>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</si>
  <si>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</si>
  <si>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</si>
  <si>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</si>
  <si>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</si>
  <si>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</si>
  <si>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</si>
  <si>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</si>
  <si>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</si>
  <si>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</si>
  <si>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</si>
  <si>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</si>
  <si>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</si>
  <si>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</si>
  <si>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</si>
  <si>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</si>
  <si>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</si>
  <si>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</si>
  <si>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</si>
  <si>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</si>
  <si>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</si>
  <si>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</si>
  <si>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</si>
  <si>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</si>
  <si>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</si>
  <si>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</si>
  <si>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</si>
  <si>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</si>
  <si>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</si>
  <si>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</si>
  <si>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</si>
  <si>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</si>
  <si>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</si>
  <si>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</si>
  <si>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</si>
  <si>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</si>
  <si>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</si>
  <si>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</si>
  <si>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</si>
  <si>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</si>
  <si>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</si>
  <si>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</si>
  <si>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</si>
  <si>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</si>
  <si>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</si>
  <si>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</si>
  <si>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</si>
  <si>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</si>
  <si>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</si>
  <si>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</si>
  <si>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</si>
  <si>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</si>
  <si>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</si>
  <si>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</si>
  <si>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</si>
  <si>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</si>
  <si>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</si>
  <si>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</si>
  <si>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</si>
  <si>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</si>
  <si>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</si>
  <si>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</si>
  <si>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</si>
  <si>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</si>
  <si>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</si>
  <si>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</si>
  <si>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</si>
  <si>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</si>
  <si>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</si>
  <si>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</si>
  <si>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</si>
  <si>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</si>
  <si>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</si>
  <si>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</si>
  <si>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</si>
  <si>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</si>
  <si>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</si>
  <si>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</si>
  <si>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</si>
  <si>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</si>
  <si>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</si>
  <si>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</si>
  <si>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</si>
  <si>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</si>
  <si>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</si>
  <si>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</si>
  <si>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</si>
  <si>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</si>
  <si>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</si>
  <si>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</si>
  <si>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</si>
  <si>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</si>
  <si>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</si>
  <si>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</si>
  <si>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</si>
  <si>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</si>
  <si>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</si>
  <si>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</si>
  <si>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</si>
  <si>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</si>
  <si>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</si>
  <si>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</si>
  <si>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</si>
  <si>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</si>
  <si>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</si>
  <si>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</si>
  <si>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</si>
  <si>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</si>
  <si>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</si>
  <si>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</si>
  <si>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</si>
  <si>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</si>
  <si>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</si>
  <si>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</si>
  <si>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</si>
  <si>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</si>
  <si>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</si>
  <si>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</si>
  <si>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</si>
  <si>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</si>
  <si>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</si>
  <si>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</si>
  <si>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</si>
  <si>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</si>
  <si>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</si>
  <si>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</si>
  <si>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</si>
  <si>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</si>
  <si>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</si>
  <si>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</si>
  <si>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</si>
  <si>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</si>
  <si>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</si>
  <si>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</si>
  <si>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</si>
  <si>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</si>
  <si>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</si>
  <si>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</si>
  <si>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</si>
  <si>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</si>
  <si>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</si>
  <si>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</si>
  <si>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</si>
  <si>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</si>
  <si>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</si>
  <si>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</si>
  <si>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</si>
  <si>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</si>
  <si>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</si>
  <si>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</si>
  <si>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</si>
  <si>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</si>
  <si>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</si>
  <si>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</si>
  <si>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</si>
  <si>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</si>
  <si>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</si>
  <si>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</si>
  <si>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</si>
  <si>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</si>
  <si>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</si>
  <si>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</si>
  <si>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</si>
  <si>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</si>
  <si>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</si>
  <si>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</si>
  <si>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</si>
  <si>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</si>
  <si>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</si>
  <si>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</si>
  <si>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</si>
  <si>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</si>
  <si>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</si>
  <si>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</si>
  <si>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</si>
  <si>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</si>
  <si>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</si>
  <si>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</si>
  <si>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</si>
  <si>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</si>
  <si>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</si>
  <si>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</si>
  <si>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</si>
  <si>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</si>
  <si>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</si>
  <si>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</si>
  <si>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</si>
  <si>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</si>
  <si>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</si>
  <si>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</si>
  <si>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</si>
  <si>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</si>
  <si>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</si>
  <si>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</si>
  <si>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</si>
  <si>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</si>
  <si>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</si>
  <si>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</si>
  <si>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</si>
  <si>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</si>
  <si>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</si>
  <si>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</si>
  <si>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</si>
  <si>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</si>
  <si>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</si>
  <si>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</si>
  <si>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</si>
  <si>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</si>
  <si>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</si>
  <si>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</si>
  <si>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</si>
  <si>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</si>
  <si>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</si>
  <si>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</si>
  <si>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</si>
  <si>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</si>
  <si>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</si>
  <si>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</si>
  <si>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</si>
  <si>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</si>
  <si>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</si>
  <si>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</si>
  <si>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</si>
  <si>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</si>
  <si>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</si>
  <si>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</si>
  <si>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</si>
  <si>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</si>
  <si>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</si>
  <si>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</si>
  <si>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</si>
  <si>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</si>
  <si>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</si>
  <si>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</si>
  <si>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</si>
  <si>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</si>
  <si>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</si>
  <si>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</si>
  <si>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</si>
  <si>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</si>
  <si>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</si>
  <si>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</si>
  <si>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</si>
  <si>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</si>
  <si>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</si>
  <si>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</si>
  <si>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</si>
  <si>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</si>
  <si>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</si>
  <si>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</si>
  <si>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</si>
  <si>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</si>
  <si>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</si>
  <si>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</si>
  <si>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</si>
  <si>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</si>
  <si>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</si>
  <si>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</si>
  <si>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</si>
  <si>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</si>
  <si>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</si>
  <si>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</si>
  <si>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</si>
  <si>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</si>
  <si>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</si>
  <si>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</si>
  <si>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</si>
  <si>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</si>
  <si>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</si>
  <si>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</si>
  <si>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</si>
  <si>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</si>
  <si>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</si>
  <si>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</si>
  <si>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</si>
  <si>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</si>
  <si>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</si>
  <si>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</si>
  <si>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</si>
  <si>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</si>
  <si>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</si>
  <si>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</si>
  <si>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</si>
  <si>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</si>
  <si>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</si>
  <si>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</si>
  <si>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</si>
  <si>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</si>
  <si>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</si>
  <si>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</si>
  <si>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</si>
  <si>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</si>
  <si>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</si>
  <si>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</si>
  <si>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</si>
  <si>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</si>
  <si>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</si>
  <si>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</si>
  <si>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</si>
  <si>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</si>
  <si>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</si>
  <si>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</si>
  <si>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</si>
  <si>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</si>
  <si>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</si>
  <si>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</si>
  <si>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</si>
  <si>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</si>
  <si>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</si>
  <si>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</si>
  <si>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</si>
  <si>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</si>
  <si>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</si>
  <si>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</si>
  <si>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</si>
  <si>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</si>
  <si>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</si>
  <si>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</si>
  <si>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</si>
  <si>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</si>
  <si>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</si>
  <si>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</si>
  <si>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</si>
  <si>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</si>
  <si>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</si>
  <si>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</si>
  <si>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</si>
  <si>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</si>
  <si>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</si>
  <si>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</si>
  <si>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</si>
  <si>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</si>
  <si>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</si>
  <si>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</si>
  <si>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</si>
  <si>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</si>
  <si>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</si>
  <si>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</si>
  <si>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</si>
  <si>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</si>
  <si>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</si>
  <si>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</si>
  <si>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</si>
  <si>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</si>
  <si>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</si>
  <si>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</si>
  <si>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</si>
  <si>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</si>
  <si>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</si>
  <si>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</si>
  <si>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</si>
  <si>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</si>
  <si>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</si>
  <si>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</si>
  <si>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</si>
  <si>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</si>
  <si>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</si>
  <si>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</si>
  <si>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</si>
  <si>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</si>
  <si>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</si>
  <si>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</si>
  <si>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</si>
  <si>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</si>
  <si>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</si>
  <si>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</si>
  <si>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</si>
  <si>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</si>
  <si>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</si>
  <si>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</si>
  <si>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</si>
  <si>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</si>
  <si>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</si>
  <si>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</si>
  <si>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</si>
  <si>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</si>
  <si>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</si>
  <si>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</si>
  <si>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</si>
  <si>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</si>
  <si>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</si>
  <si>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</si>
  <si>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</si>
  <si>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</si>
  <si>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</si>
  <si>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</si>
  <si>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</si>
  <si>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</si>
  <si>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</si>
  <si>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</si>
  <si>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</si>
  <si>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</si>
  <si>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</si>
  <si>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</si>
  <si>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</si>
  <si>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</si>
  <si>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</si>
  <si>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</si>
  <si>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</si>
  <si>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</si>
  <si>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</si>
  <si>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</si>
  <si>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</si>
  <si>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</si>
  <si>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</si>
  <si>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</si>
  <si>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</si>
  <si>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</si>
  <si>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</si>
  <si>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</si>
  <si>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</si>
  <si>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</si>
  <si>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</si>
  <si>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</si>
  <si>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</si>
  <si>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</si>
  <si>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</si>
  <si>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</si>
  <si>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</si>
  <si>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</si>
  <si>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</si>
  <si>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</si>
  <si>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</si>
  <si>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</si>
  <si>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</si>
  <si>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</si>
  <si>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</si>
  <si>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</si>
  <si>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</si>
  <si>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</si>
  <si>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</si>
  <si>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</si>
  <si>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</si>
  <si>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</si>
  <si>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</si>
  <si>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</si>
  <si>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</si>
  <si>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</si>
  <si>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</si>
  <si>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</si>
  <si>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</si>
  <si>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</si>
  <si>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</si>
  <si>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</si>
  <si>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</si>
  <si>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</si>
  <si>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</si>
  <si>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</si>
  <si>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</si>
  <si>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</si>
  <si>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</si>
  <si>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</si>
  <si>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</si>
  <si>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</si>
  <si>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</si>
  <si>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</si>
  <si>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</si>
  <si>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</si>
  <si>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</si>
  <si>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</si>
  <si>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</si>
  <si>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</si>
  <si>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</si>
  <si>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</si>
  <si>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</si>
  <si>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</si>
  <si>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</si>
  <si>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</si>
  <si>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</si>
  <si>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</si>
  <si>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</si>
  <si>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</si>
  <si>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</si>
  <si>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</si>
  <si>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</si>
  <si>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</si>
  <si>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</si>
  <si>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</si>
  <si>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</si>
  <si>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</si>
  <si>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</si>
  <si>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</si>
  <si>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</si>
  <si>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</si>
  <si>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</si>
  <si>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</si>
  <si>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</si>
  <si>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</si>
  <si>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</si>
  <si>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</si>
  <si>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</si>
  <si>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</si>
  <si>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</si>
  <si>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</si>
  <si>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</si>
  <si>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</si>
  <si>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</si>
  <si>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</si>
  <si>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</si>
  <si>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</si>
  <si>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</si>
  <si>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</si>
  <si>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</si>
  <si>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</si>
  <si>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</si>
  <si>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</si>
  <si>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</si>
  <si>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</si>
  <si>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</si>
  <si>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</si>
  <si>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</si>
  <si>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</si>
  <si>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</si>
  <si>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</si>
  <si>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</si>
  <si>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</si>
  <si>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</si>
  <si>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</si>
  <si>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</si>
  <si>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</si>
  <si>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</si>
  <si>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</si>
  <si>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</si>
  <si>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</si>
  <si>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</si>
  <si>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</si>
  <si>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</si>
  <si>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</si>
  <si>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</si>
  <si>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</si>
  <si>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</si>
  <si>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</si>
  <si>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</si>
  <si>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</si>
  <si>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</si>
  <si>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</si>
  <si>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</si>
  <si>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</si>
  <si>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</si>
  <si>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</si>
  <si>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</si>
  <si>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</si>
  <si>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</si>
  <si>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</si>
  <si>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</si>
  <si>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</si>
  <si>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</si>
  <si>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</si>
  <si>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</si>
  <si>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</si>
  <si>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</si>
  <si>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</si>
  <si>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</si>
  <si>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</si>
  <si>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</si>
  <si>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</si>
  <si>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</si>
  <si>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</si>
  <si>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</si>
  <si>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</si>
  <si>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</si>
  <si>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</si>
  <si>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</si>
  <si>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</si>
  <si>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</si>
  <si>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</si>
  <si>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</si>
  <si>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</si>
  <si>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</si>
  <si>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</si>
  <si>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</si>
  <si>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</si>
  <si>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</si>
  <si>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</si>
  <si>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</si>
  <si>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</si>
  <si>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</si>
  <si>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</si>
  <si>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</si>
  <si>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</si>
  <si>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</si>
  <si>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</si>
  <si>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</si>
  <si>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</si>
  <si>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</si>
  <si>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</si>
  <si>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</si>
  <si>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</si>
  <si>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</si>
  <si>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</si>
  <si>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</si>
  <si>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</si>
  <si>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</si>
  <si>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</si>
  <si>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</si>
  <si>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</si>
  <si>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</si>
  <si>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</si>
  <si>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</si>
  <si>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</si>
  <si>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</si>
  <si>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</si>
  <si>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</si>
  <si>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</si>
  <si>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</si>
  <si>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</si>
  <si>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</si>
  <si>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</si>
  <si>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</si>
  <si>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</si>
  <si>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</si>
  <si>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</si>
  <si>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</si>
  <si>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</si>
  <si>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</si>
  <si>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</si>
  <si>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</si>
  <si>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</si>
  <si>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</si>
  <si>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</si>
  <si>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</si>
  <si>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</si>
  <si>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</si>
  <si>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</si>
  <si>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</si>
  <si>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</si>
  <si>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</si>
  <si>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</si>
  <si>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</si>
  <si>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</si>
  <si>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</si>
  <si>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</si>
  <si>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</si>
  <si>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</si>
  <si>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</si>
  <si>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</si>
  <si>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</si>
  <si>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</si>
  <si>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</si>
  <si>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</si>
  <si>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</si>
  <si>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</si>
  <si>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</si>
  <si>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</si>
  <si>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</si>
  <si>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</si>
  <si>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</si>
  <si>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</si>
  <si>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</si>
  <si>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</si>
  <si>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</si>
  <si>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</si>
  <si>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</si>
  <si>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</si>
  <si>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</si>
  <si>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</si>
  <si>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</si>
  <si>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</si>
  <si>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</si>
  <si>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</si>
  <si>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</si>
  <si>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</si>
  <si>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</si>
  <si>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</si>
  <si>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</si>
  <si>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</si>
  <si>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</si>
  <si>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</si>
  <si>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</si>
  <si>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</si>
  <si>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</si>
  <si>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</si>
  <si>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</si>
  <si>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</si>
  <si>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</si>
  <si>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</si>
  <si>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</si>
  <si>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</si>
  <si>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</si>
  <si>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</si>
  <si>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</si>
  <si>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</si>
  <si>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</si>
  <si>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</si>
  <si>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</si>
  <si>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</si>
  <si>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</si>
  <si>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</si>
  <si>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</si>
  <si>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</si>
  <si>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</si>
  <si>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</si>
  <si>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</si>
  <si>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</si>
  <si>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</si>
  <si>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</si>
  <si>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</si>
  <si>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</si>
  <si>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</si>
  <si>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</si>
  <si>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</si>
  <si>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</si>
  <si>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</si>
  <si>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</si>
  <si>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</si>
  <si>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</si>
  <si>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</si>
  <si>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</si>
  <si>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</si>
  <si>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</si>
  <si>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</si>
  <si>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</si>
  <si>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</si>
  <si>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</si>
  <si>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</si>
  <si>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</si>
  <si>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</si>
  <si>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</si>
  <si>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</si>
  <si>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</si>
  <si>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</si>
  <si>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</si>
  <si>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</si>
  <si>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</si>
  <si>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</si>
  <si>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</si>
  <si>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</si>
  <si>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</si>
  <si>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</si>
  <si>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</si>
  <si>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</si>
  <si>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</si>
  <si>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</si>
  <si>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</si>
  <si>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</si>
  <si>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</si>
  <si>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</si>
  <si>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</si>
  <si>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</si>
  <si>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</si>
  <si>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</si>
  <si>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</si>
  <si>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</si>
  <si>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</si>
  <si>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</si>
  <si>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</si>
  <si>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</si>
  <si>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</si>
  <si>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</si>
  <si>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</si>
  <si>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</si>
  <si>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</si>
  <si>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</si>
  <si>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</si>
  <si>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</si>
  <si>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</si>
  <si>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</si>
  <si>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</si>
  <si>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</si>
  <si>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</si>
  <si>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</si>
  <si>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</si>
  <si>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</si>
  <si>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</si>
  <si>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</si>
  <si>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</si>
  <si>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</si>
  <si>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</si>
  <si>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</si>
  <si>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</si>
  <si>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</si>
  <si>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</si>
  <si>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</si>
  <si>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</si>
  <si>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</si>
  <si>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</si>
  <si>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</si>
  <si>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</si>
  <si>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</si>
  <si>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</si>
  <si>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</si>
  <si>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</si>
  <si>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</si>
  <si>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</si>
  <si>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</si>
  <si>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</si>
  <si>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</si>
  <si>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</si>
  <si>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</si>
  <si>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</si>
  <si>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</si>
  <si>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</si>
  <si>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</si>
  <si>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</si>
  <si>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</si>
  <si>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</si>
  <si>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</si>
  <si>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</si>
  <si>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</si>
  <si>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</si>
  <si>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</si>
  <si>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</si>
  <si>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</si>
  <si>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</si>
  <si>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</si>
  <si>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</si>
  <si>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</si>
  <si>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</si>
  <si>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</si>
  <si>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</si>
  <si>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</si>
  <si>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</si>
  <si>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</si>
  <si>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</si>
  <si>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</si>
  <si>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</si>
  <si>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</si>
  <si>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</si>
  <si>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</si>
  <si>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</si>
  <si>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</si>
  <si>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</si>
  <si>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</si>
  <si>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</si>
  <si>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</si>
  <si>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</si>
  <si>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</si>
  <si>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</si>
  <si>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</si>
  <si>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</si>
  <si>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</si>
  <si>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</si>
  <si>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</si>
  <si>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</si>
  <si>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</si>
  <si>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</si>
  <si>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</si>
  <si>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</si>
  <si>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</si>
  <si>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</si>
  <si>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</si>
  <si>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</si>
  <si>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</si>
  <si>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</si>
  <si>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</si>
  <si>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</si>
  <si>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</si>
  <si>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</si>
  <si>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</si>
  <si>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</si>
  <si>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</si>
  <si>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</si>
  <si>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</si>
  <si>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</si>
  <si>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</si>
  <si>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</si>
  <si>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</si>
  <si>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</si>
  <si>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</si>
  <si>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</si>
  <si>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</si>
  <si>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</si>
  <si>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</si>
  <si>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</si>
  <si>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</si>
  <si>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</si>
  <si>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</si>
  <si>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</si>
  <si>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</si>
  <si>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</si>
  <si>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</si>
  <si>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</si>
  <si>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</si>
  <si>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</si>
  <si>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</si>
  <si>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</si>
  <si>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</si>
  <si>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</si>
  <si>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</si>
  <si>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</si>
  <si>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</si>
  <si>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</si>
  <si>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</si>
  <si>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</si>
  <si>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</si>
  <si>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</si>
  <si>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</si>
  <si>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</si>
  <si>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</si>
  <si>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</si>
  <si>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</si>
  <si>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</si>
  <si>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</si>
  <si>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</si>
  <si>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</si>
  <si>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</si>
  <si>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</si>
  <si>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</si>
  <si>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</si>
  <si>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</si>
  <si>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</si>
  <si>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</si>
  <si>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</si>
  <si>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</si>
  <si>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</si>
  <si>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</si>
  <si>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</si>
  <si>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</si>
  <si>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</si>
  <si>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</si>
  <si>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</si>
  <si>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</si>
  <si>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</si>
  <si>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</si>
  <si>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</si>
  <si>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</si>
  <si>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</si>
  <si>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</si>
  <si>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</si>
  <si>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</si>
  <si>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</si>
  <si>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</si>
  <si>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</si>
  <si>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</si>
  <si>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</si>
  <si>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</si>
  <si>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</si>
  <si>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</si>
  <si>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</si>
  <si>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</si>
  <si>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</si>
  <si>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</si>
  <si>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</si>
  <si>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</si>
  <si>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</si>
  <si>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</si>
  <si>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</si>
  <si>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</si>
  <si>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</si>
  <si>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</si>
  <si>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</si>
  <si>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</si>
  <si>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</si>
  <si>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</si>
  <si>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</si>
  <si>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</si>
  <si>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</si>
  <si>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</si>
  <si>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</si>
  <si>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</si>
  <si>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</si>
  <si>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</si>
  <si>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</si>
  <si>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</si>
  <si>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</si>
  <si>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</si>
  <si>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</si>
  <si>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</si>
  <si>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</si>
  <si>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</si>
  <si>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</si>
  <si>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</si>
  <si>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</si>
  <si>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</si>
  <si>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</si>
  <si>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</si>
  <si>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</si>
  <si>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</si>
  <si>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</si>
  <si>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</si>
  <si>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</si>
  <si>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</si>
  <si>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</si>
  <si>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</si>
  <si>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</si>
  <si>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</si>
  <si>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</si>
  <si>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</si>
  <si>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</si>
  <si>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</si>
  <si>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</si>
  <si>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</si>
  <si>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</si>
  <si>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</si>
  <si>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</si>
  <si>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</si>
  <si>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</si>
  <si>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</si>
  <si>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</si>
  <si>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</si>
  <si>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</si>
  <si>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</si>
  <si>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</si>
  <si>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</si>
  <si>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</si>
  <si>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</si>
  <si>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</si>
  <si>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</si>
  <si>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</si>
  <si>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</si>
  <si>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</si>
  <si>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</si>
  <si>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</si>
  <si>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</si>
  <si>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</si>
  <si>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</si>
  <si>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</si>
  <si>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</si>
  <si>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</si>
  <si>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</si>
  <si>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</si>
  <si>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</si>
  <si>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</si>
  <si>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</si>
  <si>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</si>
  <si>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</si>
  <si>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</si>
  <si>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</si>
  <si>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</si>
  <si>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</si>
  <si>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</si>
  <si>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</si>
  <si>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</si>
  <si>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</si>
  <si>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</si>
  <si>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</si>
  <si>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</si>
  <si>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</si>
  <si>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</si>
  <si>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</si>
  <si>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</si>
  <si>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</si>
  <si>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</si>
  <si>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</si>
  <si>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</si>
  <si>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</si>
  <si>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</si>
  <si>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</si>
  <si>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</si>
  <si>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</si>
  <si>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</si>
  <si>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</si>
  <si>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</si>
  <si>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</si>
  <si>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</si>
  <si>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</si>
  <si>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</si>
  <si>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</si>
  <si>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</si>
  <si>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</si>
  <si>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</si>
  <si>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</si>
  <si>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</si>
  <si>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</si>
  <si>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</si>
  <si>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</si>
  <si>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</si>
  <si>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</si>
  <si>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</si>
  <si>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</si>
  <si>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</si>
  <si>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</si>
  <si>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</si>
  <si>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</si>
  <si>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</si>
  <si>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</si>
  <si>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</si>
  <si>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</si>
  <si>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</si>
  <si>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</si>
  <si>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</si>
  <si>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</si>
  <si>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</si>
  <si>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</si>
  <si>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</si>
  <si>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</si>
  <si>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</si>
  <si>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</si>
  <si>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</si>
  <si>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</si>
  <si>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</si>
  <si>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</si>
  <si>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</si>
  <si>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</si>
  <si>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</si>
  <si>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</si>
  <si>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</si>
  <si>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</si>
  <si>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</si>
  <si>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</si>
  <si>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</si>
  <si>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</si>
  <si>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</si>
  <si>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</si>
  <si>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</si>
  <si>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</si>
  <si>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</si>
  <si>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</si>
  <si>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</si>
  <si>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</si>
  <si>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</si>
  <si>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</si>
  <si>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</si>
  <si>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</si>
  <si>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</si>
  <si>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</si>
  <si>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</si>
  <si>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</si>
  <si>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</si>
  <si>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</si>
  <si>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</si>
  <si>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</si>
  <si>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</si>
  <si>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</si>
  <si>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</si>
  <si>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</si>
  <si>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</si>
  <si>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</si>
  <si>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</si>
  <si>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</si>
  <si>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</si>
  <si>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</si>
  <si>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</si>
  <si>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</si>
  <si>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</si>
  <si>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</si>
  <si>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</si>
  <si>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</si>
  <si>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</si>
  <si>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</si>
  <si>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</si>
  <si>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</si>
  <si>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</si>
  <si>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</si>
  <si>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</si>
  <si>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</si>
  <si>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</si>
  <si>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</si>
  <si>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</si>
  <si>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</si>
  <si>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</si>
  <si>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</si>
  <si>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</si>
  <si>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</si>
  <si>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</si>
  <si>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</si>
  <si>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</si>
  <si>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</si>
  <si>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</si>
  <si>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</si>
  <si>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</si>
  <si>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</si>
  <si>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</si>
  <si>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</si>
  <si>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</si>
  <si>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</si>
  <si>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</si>
  <si>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</si>
  <si>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</si>
  <si>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</si>
  <si>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</si>
  <si>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</si>
  <si>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</si>
  <si>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</si>
  <si>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</si>
  <si>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</si>
  <si>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</si>
  <si>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</si>
  <si>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</si>
  <si>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</si>
  <si>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</si>
  <si>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</si>
  <si>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</si>
  <si>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</si>
  <si>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</si>
  <si>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</si>
  <si>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</si>
  <si>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</si>
  <si>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</si>
  <si>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</si>
  <si>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</si>
  <si>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</si>
  <si>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</si>
  <si>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</si>
  <si>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</si>
  <si>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</si>
  <si>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</si>
  <si>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</si>
  <si>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</si>
  <si>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</si>
  <si>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</si>
  <si>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</si>
  <si>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</si>
  <si>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</si>
  <si>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</si>
  <si>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</si>
  <si>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</si>
  <si>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</si>
  <si>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</si>
  <si>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</si>
  <si>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</si>
  <si>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</si>
  <si>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</si>
  <si>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</si>
  <si>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</si>
  <si>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</si>
  <si>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</si>
  <si>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</si>
  <si>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</si>
  <si>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</si>
  <si>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</si>
  <si>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</si>
  <si>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</si>
  <si>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</si>
  <si>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</si>
  <si>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</si>
  <si>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</si>
  <si>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</si>
  <si>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</si>
  <si>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</si>
  <si>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</si>
  <si>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</si>
  <si>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</si>
  <si>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</si>
  <si>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</si>
  <si>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</si>
  <si>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</si>
  <si>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</si>
  <si>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</si>
  <si>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</si>
  <si>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</si>
  <si>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</si>
  <si>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</si>
  <si>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</si>
  <si>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</si>
  <si>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</si>
  <si>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</si>
  <si>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</si>
  <si>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</si>
  <si>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</si>
  <si>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</si>
  <si>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</si>
  <si>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</si>
  <si>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</si>
  <si>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</si>
  <si>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</si>
  <si>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</si>
  <si>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</si>
  <si>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</si>
  <si>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</si>
  <si>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</si>
  <si>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</si>
  <si>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</si>
  <si>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</si>
  <si>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</si>
  <si>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</si>
  <si>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</si>
  <si>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</si>
  <si>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</si>
  <si>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</si>
  <si>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</si>
  <si>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</si>
  <si>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</si>
  <si>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</si>
  <si>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</si>
  <si>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</si>
  <si>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</si>
  <si>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</si>
  <si>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</si>
  <si>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</si>
  <si>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</si>
  <si>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</si>
  <si>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</si>
  <si>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</si>
  <si>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</si>
  <si>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</si>
  <si>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</si>
  <si>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</si>
  <si>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</si>
  <si>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</si>
  <si>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</si>
  <si>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</si>
  <si>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</si>
  <si>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</si>
  <si>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</si>
  <si>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</si>
  <si>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</si>
  <si>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</si>
  <si>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</si>
  <si>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</si>
  <si>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</si>
  <si>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</si>
  <si>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</si>
  <si>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</si>
  <si>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</si>
  <si>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</si>
  <si>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</si>
  <si>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</si>
  <si>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</si>
  <si>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</si>
  <si>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</si>
  <si>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</si>
  <si>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</si>
  <si>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</si>
  <si>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</si>
  <si>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</si>
  <si>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</si>
  <si>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</si>
  <si>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</si>
  <si>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</si>
  <si>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</si>
  <si>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</si>
  <si>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</si>
  <si>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</si>
  <si>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</si>
  <si>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</si>
  <si>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</si>
  <si>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</si>
  <si>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</si>
  <si>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</si>
  <si>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</si>
  <si>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</si>
  <si>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</si>
  <si>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</si>
  <si>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</si>
  <si>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</si>
  <si>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</si>
  <si>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</si>
  <si>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</si>
  <si>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</si>
  <si>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</si>
  <si>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</si>
  <si>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</si>
  <si>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</si>
  <si>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</si>
  <si>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</si>
  <si>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</si>
  <si>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</si>
  <si>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</si>
  <si>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</si>
  <si>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</si>
  <si>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</si>
  <si>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</si>
  <si>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</si>
  <si>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</si>
  <si>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</si>
  <si>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</si>
  <si>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</si>
  <si>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</si>
  <si>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</si>
  <si>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</si>
  <si>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</si>
  <si>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</si>
  <si>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</si>
  <si>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</si>
  <si>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</si>
  <si>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</si>
  <si>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</si>
  <si>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</si>
  <si>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</si>
  <si>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</si>
  <si>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</si>
  <si>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</si>
  <si>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</si>
  <si>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</si>
  <si>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</si>
  <si>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</si>
  <si>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</si>
  <si>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</si>
  <si>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</si>
  <si>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</si>
  <si>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</si>
  <si>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</si>
  <si>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</si>
  <si>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</si>
  <si>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</si>
  <si>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</si>
  <si>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</si>
  <si>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</si>
  <si>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</si>
  <si>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</si>
  <si>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</si>
  <si>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</si>
  <si>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</si>
  <si>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</si>
  <si>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</si>
  <si>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</si>
  <si>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</si>
  <si>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</si>
  <si>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</si>
  <si>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</si>
  <si>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</si>
  <si>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</si>
  <si>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</si>
  <si>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</si>
  <si>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</si>
  <si>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</si>
  <si>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</si>
  <si>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</si>
  <si>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</si>
  <si>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</si>
  <si>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</si>
  <si>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</si>
  <si>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</si>
  <si>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</si>
  <si>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</si>
  <si>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</si>
  <si>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</si>
  <si>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</si>
  <si>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</si>
  <si>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</si>
  <si>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</si>
  <si>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</si>
  <si>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</si>
  <si>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</si>
  <si>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</si>
  <si>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</si>
  <si>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</si>
  <si>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</si>
  <si>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</si>
  <si>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</si>
  <si>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</si>
  <si>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</si>
  <si>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</si>
  <si>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</si>
  <si>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</si>
  <si>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</si>
  <si>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</si>
  <si>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</si>
  <si>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</si>
  <si>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</si>
  <si>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</si>
  <si>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</si>
  <si>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</si>
  <si>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</si>
  <si>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</si>
  <si>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</si>
  <si>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</si>
  <si>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</si>
  <si>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</si>
  <si>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</si>
  <si>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</si>
  <si>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</si>
  <si>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</si>
  <si>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</si>
  <si>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</si>
  <si>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</si>
  <si>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</si>
  <si>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</si>
  <si>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</si>
  <si>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</si>
  <si>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</si>
  <si>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</si>
  <si>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</si>
  <si>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</si>
  <si>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</si>
  <si>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</si>
  <si>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</si>
  <si>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</si>
  <si>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</si>
  <si>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</si>
  <si>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</si>
  <si>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</si>
  <si>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</si>
  <si>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</si>
  <si>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</si>
  <si>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</si>
  <si>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</si>
  <si>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</si>
  <si>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</si>
  <si>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</si>
  <si>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</si>
  <si>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</si>
  <si>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</si>
  <si>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</si>
  <si>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</si>
  <si>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</si>
  <si>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</si>
  <si>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</si>
  <si>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</si>
  <si>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</si>
  <si>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</si>
  <si>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</si>
  <si>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</si>
  <si>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</si>
  <si>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</si>
  <si>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</si>
  <si>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</si>
  <si>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</si>
  <si>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</si>
  <si>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</si>
  <si>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</si>
  <si>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</si>
  <si>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</si>
  <si>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</si>
  <si>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</si>
  <si>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</si>
  <si>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</si>
  <si>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</si>
  <si>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</si>
  <si>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</si>
  <si>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</si>
  <si>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</si>
  <si>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</si>
  <si>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</si>
  <si>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</si>
  <si>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</si>
  <si>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</si>
  <si>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</si>
  <si>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</si>
  <si>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</si>
  <si>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</si>
  <si>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</si>
  <si>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</si>
  <si>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</si>
  <si>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</si>
  <si>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</si>
  <si>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</si>
  <si>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</si>
  <si>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</si>
  <si>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</si>
  <si>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</si>
  <si>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</si>
  <si>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</si>
  <si>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</si>
  <si>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</si>
  <si>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</si>
  <si>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</si>
  <si>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</si>
  <si>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</si>
  <si>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</si>
  <si>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</si>
  <si>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</si>
  <si>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</si>
  <si>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</si>
  <si>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</si>
  <si>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</si>
  <si>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</si>
  <si>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</si>
  <si>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</si>
  <si>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</si>
  <si>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</si>
  <si>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</si>
  <si>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</si>
  <si>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</si>
  <si>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</si>
  <si>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</si>
  <si>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</si>
  <si>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</si>
  <si>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</si>
  <si>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</si>
  <si>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</si>
  <si>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</si>
  <si>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</si>
  <si>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</si>
  <si>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</si>
  <si>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</si>
  <si>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</si>
  <si>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</si>
  <si>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</si>
  <si>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</si>
  <si>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</si>
  <si>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</si>
  <si>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</si>
  <si>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</si>
  <si>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</si>
  <si>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</si>
  <si>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</si>
  <si>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</si>
  <si>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</si>
  <si>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</si>
  <si>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</si>
  <si>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</si>
  <si>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</si>
  <si>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</si>
  <si>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</si>
  <si>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</si>
  <si>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</si>
  <si>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</si>
  <si>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</si>
  <si>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</si>
  <si>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</si>
  <si>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</si>
  <si>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</si>
  <si>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</si>
  <si>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</si>
  <si>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</si>
  <si>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</si>
  <si>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</si>
  <si>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</si>
  <si>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</si>
  <si>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</si>
  <si>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</si>
  <si>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</si>
  <si>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</si>
  <si>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</si>
  <si>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</si>
  <si>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</si>
  <si>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</si>
  <si>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</si>
  <si>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</si>
  <si>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</si>
  <si>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</si>
  <si>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</si>
  <si>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</si>
  <si>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</si>
  <si>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</si>
  <si>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</si>
  <si>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</si>
  <si>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</si>
  <si>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</si>
  <si>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</si>
  <si>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</si>
  <si>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</si>
  <si>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</si>
  <si>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</si>
  <si>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</si>
  <si>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</si>
  <si>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</si>
  <si>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</si>
  <si>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</si>
  <si>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</si>
  <si>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</si>
  <si>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</si>
  <si>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</si>
  <si>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</si>
  <si>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</si>
  <si>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</si>
  <si>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</si>
  <si>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</si>
  <si>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</si>
  <si>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</si>
  <si>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</si>
  <si>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</si>
  <si>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</si>
  <si>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</si>
  <si>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</si>
  <si>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</si>
  <si>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</si>
  <si>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</si>
  <si>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</si>
  <si>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</si>
  <si>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</si>
  <si>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</si>
  <si>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</si>
  <si>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</si>
  <si>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</si>
  <si>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</si>
  <si>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</si>
  <si>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</si>
  <si>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</si>
  <si>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</si>
  <si>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</si>
  <si>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</si>
  <si>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</si>
  <si>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</si>
  <si>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</si>
  <si>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</si>
  <si>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</si>
  <si>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</si>
  <si>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</si>
  <si>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</si>
  <si>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</si>
  <si>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</si>
  <si>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</si>
  <si>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</si>
  <si>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</si>
  <si>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</si>
  <si>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</si>
  <si>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</si>
  <si>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</si>
  <si>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</si>
  <si>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</si>
  <si>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</si>
  <si>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</si>
  <si>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</si>
  <si>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</si>
  <si>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</si>
  <si>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</si>
  <si>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</si>
  <si>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</si>
  <si>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</si>
  <si>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</si>
  <si>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</si>
  <si>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</si>
  <si>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</si>
  <si>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</si>
  <si>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</si>
  <si>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</si>
  <si>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</si>
  <si>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</si>
  <si>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</si>
  <si>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</si>
  <si>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</si>
  <si>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</si>
  <si>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</si>
  <si>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</si>
  <si>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</si>
  <si>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</si>
  <si>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</si>
  <si>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</si>
  <si>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</si>
  <si>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</si>
  <si>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</si>
  <si>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</si>
  <si>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</si>
  <si>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</si>
  <si>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</si>
  <si>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</si>
  <si>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</si>
  <si>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</si>
  <si>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</si>
  <si>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</si>
  <si>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</si>
  <si>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</si>
  <si>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</si>
  <si>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</si>
  <si>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</si>
  <si>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</si>
  <si>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</si>
  <si>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</si>
  <si>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</si>
  <si>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</si>
  <si>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</si>
  <si>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</si>
  <si>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</si>
  <si>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</si>
  <si>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</si>
  <si>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</si>
  <si>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</si>
  <si>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</si>
  <si>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</si>
  <si>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</si>
  <si>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</si>
  <si>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</si>
  <si>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</si>
  <si>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</si>
  <si>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</si>
  <si>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</si>
  <si>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</si>
  <si>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</si>
  <si>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</si>
  <si>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</si>
  <si>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</si>
  <si>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</si>
  <si>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</si>
  <si>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</si>
  <si>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</si>
  <si>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</si>
  <si>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</si>
  <si>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</si>
  <si>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</si>
  <si>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</si>
  <si>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</si>
  <si>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</si>
  <si>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</si>
  <si>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</si>
  <si>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</si>
  <si>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</si>
  <si>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</si>
  <si>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</si>
  <si>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</si>
  <si>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</si>
  <si>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</si>
  <si>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</si>
  <si>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</si>
  <si>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</si>
  <si>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</si>
  <si>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</si>
  <si>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</si>
  <si>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</si>
  <si>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</si>
  <si>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</si>
  <si>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</si>
  <si>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</si>
  <si>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</si>
  <si>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</si>
  <si>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</si>
  <si>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</si>
  <si>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</si>
  <si>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</si>
  <si>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</si>
  <si>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</si>
  <si>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</si>
  <si>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</si>
  <si>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</si>
  <si>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</si>
  <si>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</si>
  <si>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</si>
  <si>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</si>
  <si>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</si>
  <si>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</si>
  <si>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</si>
  <si>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</si>
  <si>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</si>
  <si>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</si>
  <si>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</si>
  <si>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</si>
  <si>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</si>
  <si>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</si>
  <si>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</si>
  <si>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</si>
  <si>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</si>
  <si>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</si>
  <si>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</si>
  <si>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</si>
  <si>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</si>
  <si>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</si>
  <si>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</si>
  <si>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</si>
  <si>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</si>
  <si>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</si>
  <si>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</si>
  <si>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</si>
  <si>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</si>
  <si>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</si>
  <si>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</si>
  <si>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</si>
  <si>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</si>
  <si>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</si>
  <si>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</si>
  <si>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</si>
  <si>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</si>
  <si>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</si>
  <si>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</si>
  <si>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</si>
  <si>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</si>
  <si>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</si>
  <si>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</si>
  <si>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</si>
  <si>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</si>
  <si>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</si>
  <si>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</si>
  <si>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</si>
  <si>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</si>
  <si>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</si>
  <si>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</si>
  <si>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</si>
  <si>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</si>
  <si>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</si>
  <si>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</si>
  <si>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</si>
  <si>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</si>
  <si>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</si>
  <si>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</si>
  <si>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</si>
  <si>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</si>
  <si>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</si>
  <si>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</si>
  <si>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</si>
  <si>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</si>
  <si>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</si>
  <si>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</si>
  <si>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</si>
  <si>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</si>
  <si>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</si>
  <si>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</si>
  <si>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</si>
  <si>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</si>
  <si>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</si>
  <si>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</si>
  <si>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</si>
  <si>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</si>
  <si>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</si>
  <si>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</si>
  <si>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</si>
  <si>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</si>
  <si>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</si>
  <si>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</si>
  <si>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</si>
  <si>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</si>
  <si>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</si>
  <si>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</si>
  <si>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</si>
  <si>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</si>
  <si>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</si>
  <si>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</si>
  <si>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</si>
  <si>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</si>
  <si>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</si>
  <si>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</si>
  <si>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</si>
  <si>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</si>
  <si>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</si>
  <si>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</si>
  <si>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</si>
  <si>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</si>
  <si>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</si>
  <si>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</si>
  <si>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</si>
  <si>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</si>
  <si>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</si>
  <si>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</si>
  <si>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</si>
  <si>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</si>
  <si>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</si>
  <si>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</si>
  <si>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</si>
  <si>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</si>
  <si>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</si>
  <si>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</si>
  <si>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</si>
  <si>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</si>
  <si>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</si>
  <si>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</si>
  <si>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</si>
  <si>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</si>
  <si>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</si>
  <si>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</si>
  <si>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</si>
  <si>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</si>
  <si>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</si>
  <si>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</si>
  <si>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</si>
  <si>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</si>
  <si>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</si>
  <si>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</si>
  <si>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</si>
  <si>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</si>
  <si>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</si>
  <si>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</si>
  <si>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</si>
  <si>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</si>
  <si>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</si>
  <si>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</si>
  <si>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</si>
  <si>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</si>
  <si>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</si>
  <si>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</si>
  <si>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</si>
  <si>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</si>
  <si>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</si>
  <si>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</si>
  <si>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</si>
  <si>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</si>
  <si>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</si>
  <si>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</si>
  <si>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</si>
  <si>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</si>
  <si>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</si>
  <si>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</si>
  <si>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</si>
  <si>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</si>
  <si>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</si>
  <si>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</si>
  <si>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</si>
  <si>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</si>
  <si>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</si>
  <si>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</si>
  <si>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</si>
  <si>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</si>
  <si>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</si>
  <si>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</si>
  <si>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</si>
  <si>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</si>
  <si>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</si>
  <si>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</si>
  <si>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</si>
  <si>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</si>
  <si>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</si>
  <si>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</si>
  <si>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</si>
  <si>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</si>
  <si>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</si>
  <si>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</si>
  <si>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</si>
  <si>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</si>
  <si>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</si>
  <si>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</si>
  <si>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</si>
  <si>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</si>
  <si>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</si>
  <si>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</si>
  <si>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</si>
  <si>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</si>
  <si>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</si>
  <si>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</si>
  <si>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</si>
  <si>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</si>
  <si>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</si>
  <si>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</si>
  <si>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</si>
  <si>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</si>
  <si>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</si>
  <si>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</si>
  <si>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</si>
  <si>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</si>
  <si>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</si>
  <si>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</si>
  <si>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</si>
  <si>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</si>
  <si>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</si>
  <si>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</si>
  <si>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</si>
  <si>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</si>
  <si>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</si>
  <si>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</si>
  <si>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</si>
  <si>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</si>
  <si>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</si>
  <si>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</si>
  <si>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</si>
  <si>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</si>
  <si>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</si>
  <si>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</si>
  <si>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</si>
  <si>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</si>
  <si>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</si>
  <si>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</si>
  <si>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</si>
  <si>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</si>
  <si>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</si>
  <si>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</si>
  <si>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</si>
  <si>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</si>
  <si>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</si>
  <si>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</si>
  <si>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</si>
  <si>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</si>
  <si>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</si>
  <si>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</si>
  <si>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</si>
  <si>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</si>
  <si>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</si>
  <si>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</si>
  <si>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</si>
  <si>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</si>
  <si>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</si>
  <si>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</si>
  <si>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</si>
  <si>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</si>
  <si>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</si>
  <si>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</si>
  <si>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</si>
  <si>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</si>
  <si>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</si>
  <si>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</si>
  <si>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</si>
  <si>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</si>
  <si>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</si>
  <si>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</si>
  <si>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</si>
  <si>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</si>
  <si>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</si>
  <si>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</si>
  <si>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</si>
  <si>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</si>
  <si>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</si>
  <si>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</si>
  <si>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</si>
  <si>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</si>
  <si>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</si>
  <si>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</si>
  <si>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</si>
  <si>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</si>
  <si>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</si>
  <si>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</si>
  <si>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</si>
  <si>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</si>
  <si>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</si>
  <si>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</si>
  <si>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</si>
  <si>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</si>
  <si>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</si>
  <si>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</si>
  <si>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</si>
  <si>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</si>
  <si>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</si>
  <si>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</si>
  <si>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</si>
  <si>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</si>
  <si>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</si>
  <si>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</si>
  <si>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</si>
  <si>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</si>
  <si>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</si>
  <si>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</si>
  <si>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</si>
  <si>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</si>
  <si>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</si>
  <si>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</si>
  <si>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</si>
  <si>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</si>
  <si>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</si>
  <si>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</si>
  <si>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</si>
  <si>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</si>
  <si>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</si>
  <si>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</si>
  <si>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</si>
  <si>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</si>
  <si>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</si>
  <si>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</si>
  <si>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</si>
  <si>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</si>
  <si>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</si>
  <si>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</si>
  <si>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</si>
  <si>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</si>
  <si>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</si>
  <si>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</si>
  <si>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</si>
  <si>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</si>
  <si>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</si>
  <si>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</si>
  <si>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</si>
  <si>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</si>
  <si>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</si>
  <si>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</si>
  <si>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</si>
  <si>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</si>
  <si>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</si>
  <si>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</si>
  <si>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</si>
  <si>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</si>
  <si>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</si>
  <si>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</si>
  <si>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</si>
  <si>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</si>
  <si>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</si>
  <si>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</si>
  <si>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</si>
  <si>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</si>
  <si>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</si>
  <si>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</si>
  <si>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</si>
  <si>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</si>
  <si>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</si>
  <si>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</si>
  <si>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</si>
  <si>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</si>
  <si>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</si>
  <si>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</si>
  <si>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</si>
  <si>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</si>
  <si>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</si>
  <si>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</si>
  <si>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</si>
  <si>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</si>
  <si>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</si>
  <si>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</si>
  <si>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</si>
  <si>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</si>
  <si>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</si>
  <si>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</si>
  <si>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</si>
  <si>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</si>
  <si>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</si>
  <si>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</si>
  <si>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</si>
  <si>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</si>
  <si>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</si>
  <si>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</si>
  <si>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</si>
  <si>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</si>
  <si>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</si>
  <si>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</si>
  <si>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</si>
  <si>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</si>
  <si>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</si>
  <si>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</si>
  <si>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</si>
  <si>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</si>
  <si>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</si>
  <si>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</si>
  <si>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</si>
  <si>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</si>
  <si>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</si>
  <si>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</si>
  <si>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</si>
  <si>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</si>
  <si>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</si>
  <si>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</si>
  <si>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</si>
  <si>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</si>
  <si>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</si>
  <si>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</si>
  <si>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</si>
  <si>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</si>
  <si>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</si>
  <si>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</si>
  <si>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</si>
  <si>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</si>
  <si>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</si>
  <si>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</si>
  <si>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</si>
  <si>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</si>
  <si>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</si>
  <si>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</si>
  <si>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</si>
  <si>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</si>
  <si>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</si>
  <si>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</si>
  <si>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</si>
  <si>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</si>
  <si>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</si>
  <si>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</si>
  <si>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</si>
  <si>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</si>
  <si>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</si>
  <si>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</si>
  <si>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</si>
  <si>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</si>
  <si>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</si>
  <si>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</si>
  <si>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</si>
  <si>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</si>
  <si>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</si>
  <si>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</si>
  <si>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</si>
  <si>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</si>
  <si>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</si>
  <si>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</si>
  <si>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</si>
  <si>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</si>
  <si>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</si>
  <si>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</si>
  <si>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</si>
  <si>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</si>
  <si>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</si>
  <si>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</si>
  <si>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</si>
  <si>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</si>
  <si>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</si>
  <si>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</si>
  <si>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</si>
  <si>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</si>
  <si>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</si>
  <si>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</si>
  <si>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</si>
  <si>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</si>
  <si>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</si>
  <si>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</si>
  <si>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</si>
  <si>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</si>
  <si>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</si>
  <si>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</si>
  <si>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</si>
  <si>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</si>
  <si>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</si>
  <si>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</si>
  <si>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</si>
  <si>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</si>
  <si>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</si>
  <si>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</si>
  <si>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</si>
  <si>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</si>
  <si>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</si>
  <si>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</si>
  <si>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</si>
  <si>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</si>
  <si>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</si>
  <si>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</si>
  <si>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</si>
  <si>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</si>
  <si>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</si>
  <si>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</si>
  <si>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</si>
  <si>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</si>
  <si>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</si>
  <si>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</si>
  <si>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</si>
  <si>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</si>
  <si>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</si>
  <si>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</si>
  <si>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</si>
  <si>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</si>
  <si>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</si>
  <si>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</si>
  <si>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</si>
  <si>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</si>
  <si>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</si>
  <si>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</si>
  <si>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</si>
  <si>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</si>
  <si>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</si>
  <si>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</si>
  <si>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</si>
  <si>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</si>
  <si>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</si>
  <si>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</si>
  <si>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</si>
  <si>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</si>
  <si>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</si>
  <si>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</si>
  <si>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</si>
  <si>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</si>
  <si>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</si>
  <si>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</si>
  <si>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</si>
  <si>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</si>
  <si>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</si>
  <si>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</si>
  <si>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</si>
  <si>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</si>
  <si>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</si>
  <si>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</si>
  <si>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</si>
  <si>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</si>
  <si>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</si>
  <si>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</si>
  <si>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</si>
  <si>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</si>
  <si>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</si>
  <si>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</si>
  <si>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</si>
  <si>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</si>
  <si>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</si>
  <si>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</si>
  <si>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</si>
  <si>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</si>
  <si>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</si>
  <si>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</si>
  <si>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</si>
  <si>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</si>
  <si>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</si>
  <si>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</si>
  <si>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</si>
  <si>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</si>
  <si>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</si>
  <si>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</si>
  <si>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</si>
  <si>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</si>
  <si>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</si>
  <si>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</si>
  <si>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</si>
  <si>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</si>
  <si>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</si>
  <si>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</si>
  <si>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</si>
  <si>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</si>
  <si>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</si>
  <si>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</si>
  <si>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</si>
  <si>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</si>
  <si>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</si>
  <si>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</si>
  <si>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</si>
  <si>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</si>
  <si>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</si>
  <si>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</si>
  <si>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</si>
  <si>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</si>
  <si>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</si>
  <si>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</si>
  <si>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</si>
  <si>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</si>
  <si>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</si>
  <si>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</si>
  <si>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</si>
  <si>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</si>
  <si>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</si>
  <si>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</si>
  <si>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</si>
  <si>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</si>
  <si>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</si>
  <si>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</si>
  <si>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</si>
  <si>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</si>
  <si>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</si>
  <si>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</si>
  <si>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</si>
  <si>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</si>
  <si>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</si>
  <si>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</si>
  <si>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</si>
  <si>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</si>
  <si>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</si>
  <si>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</si>
  <si>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</si>
  <si>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</si>
  <si>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</si>
  <si>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</si>
  <si>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</si>
  <si>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</si>
  <si>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</si>
  <si>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</si>
  <si>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</si>
  <si>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</si>
  <si>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</si>
  <si>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</si>
  <si>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</si>
  <si>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</si>
  <si>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</si>
  <si>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</si>
  <si>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</si>
  <si>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</si>
  <si>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</si>
  <si>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</si>
  <si>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</si>
  <si>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</si>
  <si>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</si>
  <si>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</si>
  <si>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</si>
  <si>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</si>
  <si>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</si>
  <si>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</si>
  <si>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</si>
  <si>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</si>
  <si>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</si>
  <si>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</si>
  <si>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</si>
  <si>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</si>
  <si>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</si>
  <si>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</si>
  <si>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</si>
  <si>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</si>
  <si>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</si>
  <si>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</si>
  <si>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</si>
  <si>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</si>
  <si>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</si>
  <si>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</si>
  <si>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</si>
  <si>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</si>
  <si>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</si>
  <si>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</si>
  <si>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</si>
  <si>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</si>
  <si>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</si>
  <si>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</si>
  <si>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</si>
  <si>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</si>
  <si>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</si>
  <si>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</si>
  <si>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</si>
  <si>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</si>
  <si>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</si>
  <si>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</si>
  <si>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</si>
  <si>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</si>
  <si>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</si>
  <si>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</si>
  <si>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</si>
  <si>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</si>
  <si>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</si>
  <si>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</si>
  <si>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</si>
  <si>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</si>
  <si>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</si>
  <si>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</si>
  <si>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</si>
  <si>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</si>
  <si>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</si>
  <si>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</si>
  <si>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</si>
  <si>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</si>
  <si>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</si>
  <si>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</si>
  <si>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</si>
  <si>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</si>
  <si>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</si>
  <si>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</si>
  <si>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</si>
  <si>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</si>
  <si>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</si>
  <si>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</si>
  <si>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</si>
  <si>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</si>
  <si>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</si>
  <si>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</si>
  <si>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</si>
  <si>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</si>
  <si>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</si>
  <si>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</si>
  <si>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</si>
  <si>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</si>
  <si>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</si>
  <si>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</si>
  <si>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</si>
  <si>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</si>
  <si>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</si>
  <si>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</si>
  <si>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</si>
  <si>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</si>
  <si>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</si>
  <si>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</si>
  <si>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</si>
  <si>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</si>
  <si>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</si>
  <si>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</si>
  <si>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</si>
  <si>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</si>
  <si>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</si>
  <si>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</si>
  <si>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</si>
  <si>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</si>
  <si>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</si>
  <si>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</si>
  <si>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</si>
  <si>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</si>
  <si>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</si>
  <si>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</si>
  <si>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</si>
  <si>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</si>
  <si>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</si>
  <si>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</si>
  <si>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</si>
  <si>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</si>
  <si>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</si>
  <si>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</si>
  <si>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</si>
  <si>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</si>
  <si>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</si>
  <si>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</si>
  <si>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</si>
  <si>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</si>
  <si>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</si>
  <si>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</si>
  <si>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</si>
  <si>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</si>
  <si>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</si>
  <si>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</si>
  <si>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</si>
  <si>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</si>
  <si>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</si>
  <si>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</si>
  <si>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</si>
  <si>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</si>
  <si>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</si>
  <si>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</si>
  <si>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</si>
  <si>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</si>
  <si>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</si>
  <si>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</si>
  <si>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</si>
  <si>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</si>
  <si>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</si>
  <si>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</si>
  <si>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</si>
  <si>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</si>
  <si>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</si>
  <si>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</si>
  <si>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</si>
  <si>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</si>
  <si>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</si>
  <si>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</si>
  <si>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</si>
  <si>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</si>
  <si>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</si>
  <si>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</si>
  <si>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</si>
  <si>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</si>
  <si>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</si>
  <si>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</si>
  <si>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</si>
  <si>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</si>
  <si>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</si>
  <si>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</si>
  <si>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</si>
  <si>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</si>
  <si>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</si>
  <si>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</si>
  <si>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</si>
  <si>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</si>
  <si>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</si>
  <si>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</si>
  <si>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</si>
  <si>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</si>
  <si>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</si>
  <si>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</si>
  <si>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</si>
  <si>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</si>
  <si>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</si>
  <si>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</si>
  <si>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</si>
  <si>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</si>
  <si>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</si>
  <si>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</si>
  <si>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</si>
  <si>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</si>
  <si>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</si>
  <si>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</si>
  <si>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</si>
  <si>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</si>
  <si>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</si>
  <si>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</si>
  <si>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</si>
  <si>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</si>
  <si>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</si>
  <si>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</si>
  <si>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</si>
  <si>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</si>
  <si>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</si>
  <si>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</si>
  <si>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</si>
  <si>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</si>
  <si>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</si>
  <si>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</si>
  <si>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</si>
  <si>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</si>
  <si>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</si>
  <si>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</si>
  <si>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</si>
  <si>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</si>
  <si>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</si>
  <si>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</si>
  <si>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</si>
  <si>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</si>
  <si>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</si>
  <si>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</si>
  <si>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</si>
  <si>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</si>
  <si>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</si>
  <si>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</si>
  <si>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</si>
  <si>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</si>
  <si>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</si>
  <si>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</si>
  <si>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</si>
  <si>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</si>
  <si>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</si>
  <si>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</si>
  <si>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</si>
  <si>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</si>
  <si>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</si>
  <si>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</si>
  <si>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</si>
  <si>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</si>
  <si>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</si>
  <si>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</si>
  <si>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</si>
  <si>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</si>
  <si>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</si>
  <si>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</si>
  <si>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</si>
  <si>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</si>
  <si>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</si>
  <si>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</si>
  <si>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</si>
  <si>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</si>
  <si>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</si>
  <si>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</si>
  <si>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</si>
  <si>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</si>
  <si>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</si>
  <si>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</si>
  <si>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</si>
  <si>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</si>
  <si>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</si>
  <si>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</si>
  <si>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</si>
  <si>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</si>
  <si>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</si>
  <si>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</si>
  <si>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</si>
  <si>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</si>
  <si>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</si>
  <si>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</si>
  <si>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</si>
  <si>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</si>
  <si>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</si>
  <si>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</si>
  <si>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</si>
  <si>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</si>
  <si>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</si>
  <si>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</si>
  <si>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</si>
  <si>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</si>
  <si>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</si>
  <si>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</si>
  <si>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</si>
  <si>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</si>
  <si>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</si>
  <si>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</si>
  <si>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</si>
  <si>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</si>
  <si>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</si>
  <si>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</si>
  <si>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</si>
  <si>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</si>
  <si>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</si>
  <si>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</si>
  <si>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</si>
  <si>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</si>
  <si>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</si>
  <si>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</si>
  <si>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</si>
  <si>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</si>
  <si>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</si>
  <si>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</si>
  <si>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</si>
  <si>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</si>
  <si>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</si>
  <si>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</si>
  <si>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</si>
  <si>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</si>
  <si>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</si>
  <si>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</si>
  <si>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</si>
  <si>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</si>
  <si>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</si>
  <si>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</si>
  <si>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</si>
  <si>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</si>
  <si>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</si>
  <si>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</si>
  <si>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</si>
  <si>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</si>
  <si>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</si>
  <si>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</si>
  <si>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</si>
  <si>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</si>
  <si>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</si>
  <si>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</si>
  <si>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</si>
  <si>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</si>
  <si>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</si>
  <si>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</si>
  <si>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</si>
  <si>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</si>
  <si>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</si>
  <si>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</si>
  <si>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</si>
  <si>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</si>
  <si>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</si>
  <si>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</si>
  <si>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</si>
  <si>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</si>
  <si>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</si>
  <si>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</si>
  <si>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</si>
  <si>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</si>
  <si>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</si>
  <si>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</si>
  <si>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</si>
  <si>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</si>
  <si>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</si>
  <si>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</si>
  <si>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</si>
  <si>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</si>
  <si>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</si>
  <si>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</si>
  <si>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</si>
  <si>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</si>
  <si>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</si>
  <si>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</si>
  <si>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</si>
  <si>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</si>
  <si>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</si>
  <si>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</si>
  <si>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</si>
  <si>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</si>
  <si>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</si>
  <si>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</si>
  <si>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</si>
  <si>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</si>
  <si>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</si>
  <si>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</si>
  <si>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</si>
  <si>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</si>
  <si>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</si>
  <si>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</si>
  <si>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</si>
  <si>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</si>
  <si>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</si>
  <si>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</si>
  <si>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</si>
  <si>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</si>
  <si>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</si>
  <si>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</si>
  <si>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</si>
  <si>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</si>
  <si>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</si>
  <si>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</si>
  <si>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</si>
  <si>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</si>
  <si>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</si>
  <si>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</si>
  <si>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</si>
  <si>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</si>
  <si>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</si>
  <si>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</si>
  <si>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</si>
  <si>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</si>
  <si>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</si>
  <si>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</si>
  <si>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</si>
  <si>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</si>
  <si>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</si>
  <si>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</si>
  <si>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</si>
  <si>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</si>
  <si>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</si>
  <si>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</si>
  <si>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</si>
  <si>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</si>
  <si>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</si>
  <si>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</si>
  <si>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</si>
  <si>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</si>
  <si>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</si>
  <si>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</si>
  <si>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</si>
  <si>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</si>
  <si>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</si>
  <si>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</si>
  <si>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</si>
  <si>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</si>
  <si>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</si>
  <si>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</si>
  <si>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</si>
  <si>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</si>
  <si>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</si>
  <si>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</si>
  <si>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</si>
  <si>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</si>
  <si>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</si>
  <si>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</si>
  <si>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</si>
  <si>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</si>
  <si>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</si>
  <si>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</si>
  <si>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</si>
  <si>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</si>
  <si>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</si>
  <si>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</si>
  <si>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</si>
  <si>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</si>
  <si>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</si>
  <si>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</si>
  <si>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</si>
  <si>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</si>
  <si>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</si>
  <si>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</si>
  <si>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</si>
  <si>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</si>
  <si>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</si>
  <si>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</si>
  <si>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</si>
  <si>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</si>
  <si>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</si>
  <si>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</si>
  <si>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</si>
  <si>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</si>
  <si>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</si>
  <si>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</si>
  <si>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</si>
  <si>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</si>
  <si>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</si>
  <si>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</si>
  <si>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</si>
  <si>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</si>
  <si>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</si>
  <si>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</si>
  <si>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</si>
  <si>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</si>
  <si>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</si>
  <si>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</si>
  <si>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</si>
  <si>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</si>
  <si>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</si>
  <si>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</si>
  <si>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</si>
  <si>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</si>
  <si>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</si>
  <si>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</si>
  <si>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</si>
  <si>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</si>
  <si>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</si>
  <si>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</si>
  <si>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</si>
  <si>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</si>
  <si>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</si>
  <si>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</si>
  <si>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</si>
  <si>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</si>
  <si>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</si>
  <si>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</si>
  <si>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</si>
  <si>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</si>
  <si>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</si>
  <si>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</si>
  <si>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</si>
  <si>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</si>
  <si>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</si>
  <si>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</si>
  <si>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</si>
  <si>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</si>
  <si>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</si>
  <si>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</si>
  <si>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</si>
  <si>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</si>
  <si>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</si>
  <si>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</si>
  <si>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</si>
  <si>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</si>
  <si>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</si>
  <si>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</si>
  <si>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</si>
  <si>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</si>
  <si>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</si>
  <si>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</si>
  <si>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</si>
  <si>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</si>
  <si>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</si>
  <si>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</si>
  <si>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</si>
  <si>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</si>
  <si>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</si>
  <si>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</si>
  <si>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</si>
  <si>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</si>
  <si>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</si>
  <si>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</si>
  <si>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</si>
  <si>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</si>
  <si>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</si>
  <si>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</si>
  <si>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</si>
  <si>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</si>
  <si>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</si>
  <si>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</si>
  <si>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</si>
  <si>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</si>
  <si>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</si>
  <si>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</si>
  <si>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</si>
  <si>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</si>
  <si>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</si>
  <si>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</si>
  <si>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</si>
  <si>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</si>
  <si>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</si>
  <si>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</si>
  <si>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</si>
  <si>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</si>
  <si>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</si>
  <si>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</si>
  <si>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</si>
  <si>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</si>
  <si>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</si>
  <si>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</si>
  <si>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</si>
  <si>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</si>
  <si>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</si>
  <si>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</si>
  <si>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</si>
  <si>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</si>
  <si>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</si>
  <si>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</si>
  <si>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</si>
  <si>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</si>
  <si>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</si>
  <si>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</si>
  <si>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</si>
  <si>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</si>
  <si>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</si>
  <si>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</si>
  <si>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</si>
  <si>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</si>
  <si>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</si>
  <si>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</si>
  <si>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</si>
  <si>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</si>
  <si>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</si>
  <si>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</si>
  <si>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</si>
  <si>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</si>
  <si>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</si>
  <si>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</si>
  <si>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</si>
  <si>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</si>
  <si>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</si>
  <si>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</si>
  <si>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</si>
  <si>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</si>
  <si>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</si>
  <si>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</si>
  <si>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</si>
  <si>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</si>
  <si>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</si>
  <si>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</si>
  <si>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</si>
  <si>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</si>
  <si>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</si>
  <si>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</si>
  <si>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</si>
  <si>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</si>
  <si>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</si>
  <si>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</si>
  <si>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</si>
  <si>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</si>
  <si>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</si>
  <si>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</si>
  <si>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</si>
  <si>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</si>
  <si>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</si>
  <si>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</si>
  <si>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</si>
  <si>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</si>
  <si>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</si>
  <si>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</si>
  <si>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</si>
  <si>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</si>
  <si>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</si>
  <si>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</si>
  <si>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</si>
  <si>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</si>
  <si>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</si>
  <si>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</si>
  <si>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</si>
  <si>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</si>
  <si>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</si>
  <si>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</si>
  <si>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</si>
  <si>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</si>
  <si>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</si>
  <si>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</si>
  <si>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</si>
  <si>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</si>
  <si>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</si>
  <si>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</si>
  <si>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</si>
  <si>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</si>
  <si>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</si>
  <si>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</si>
  <si>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</si>
  <si>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</si>
  <si>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</si>
  <si>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</si>
  <si>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</si>
  <si>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</si>
  <si>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</si>
  <si>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</si>
  <si>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</si>
  <si>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</si>
  <si>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</si>
  <si>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</si>
  <si>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</si>
  <si>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</si>
  <si>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</si>
  <si>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</si>
  <si>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</si>
  <si>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</si>
  <si>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</si>
  <si>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</si>
  <si>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</si>
  <si>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</si>
  <si>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</si>
  <si>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</si>
  <si>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</si>
  <si>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</si>
  <si>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</si>
  <si>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</si>
  <si>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</si>
  <si>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</si>
  <si>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</si>
  <si>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</si>
  <si>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</si>
  <si>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</si>
  <si>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</si>
  <si>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</si>
  <si>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</si>
  <si>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</si>
  <si>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</si>
  <si>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</si>
  <si>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</si>
  <si>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</si>
  <si>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</si>
  <si>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</si>
  <si>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</si>
  <si>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</si>
  <si>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</si>
  <si>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</si>
  <si>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</si>
  <si>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</si>
  <si>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</si>
  <si>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</si>
  <si>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</si>
  <si>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</si>
  <si>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</si>
  <si>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</si>
  <si>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</si>
  <si>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</si>
  <si>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</si>
  <si>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</si>
  <si>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</si>
  <si>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</si>
  <si>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</si>
  <si>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</si>
  <si>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</si>
  <si>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</si>
  <si>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</si>
  <si>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</si>
  <si>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</si>
  <si>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</si>
  <si>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</si>
  <si>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</si>
  <si>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</si>
  <si>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</si>
  <si>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</si>
  <si>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</si>
  <si>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</si>
  <si>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</si>
  <si>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</si>
  <si>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</si>
  <si>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</si>
  <si>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</si>
  <si>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</si>
  <si>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</si>
  <si>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</si>
  <si>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</si>
  <si>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</si>
  <si>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</si>
  <si>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</si>
  <si>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</si>
  <si>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</si>
  <si>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</si>
  <si>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</si>
  <si>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</si>
  <si>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</si>
  <si>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</si>
  <si>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</si>
  <si>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</si>
  <si>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</si>
  <si>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</si>
  <si>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</si>
  <si>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</si>
  <si>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</si>
  <si>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</si>
  <si>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</si>
  <si>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</si>
  <si>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</si>
  <si>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</si>
  <si>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</si>
  <si>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</si>
  <si>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</si>
  <si>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</si>
  <si>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</si>
  <si>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</si>
  <si>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</si>
  <si>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</si>
  <si>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</si>
  <si>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</si>
  <si>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</si>
  <si>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</si>
  <si>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</si>
  <si>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</si>
  <si>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</si>
  <si>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</si>
  <si>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</si>
  <si>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</si>
  <si>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</si>
  <si>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</si>
  <si>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</si>
  <si>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</si>
  <si>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</si>
  <si>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</si>
  <si>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</si>
  <si>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</si>
  <si>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</si>
  <si>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</si>
  <si>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</si>
  <si>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</si>
  <si>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</si>
  <si>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</si>
  <si>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</si>
  <si>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</si>
  <si>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</si>
  <si>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</si>
  <si>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</si>
  <si>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</si>
  <si>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</si>
  <si>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</si>
  <si>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</si>
  <si>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</si>
  <si>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</si>
  <si>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</si>
  <si>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</si>
  <si>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</si>
  <si>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</si>
  <si>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</si>
  <si>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</si>
  <si>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</si>
  <si>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</si>
  <si>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</si>
  <si>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</si>
  <si>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</si>
  <si>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</si>
  <si>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</si>
  <si>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</si>
  <si>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</si>
  <si>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</si>
  <si>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</si>
  <si>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</si>
  <si>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</si>
  <si>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</si>
  <si>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</si>
  <si>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</si>
  <si>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</si>
  <si>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</si>
  <si>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</si>
  <si>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</si>
  <si>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</si>
  <si>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</si>
  <si>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</si>
  <si>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</si>
  <si>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</si>
  <si>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</si>
  <si>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</si>
  <si>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</si>
  <si>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</si>
  <si>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</si>
  <si>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</si>
  <si>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</si>
  <si>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</si>
  <si>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</si>
  <si>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</si>
  <si>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</si>
  <si>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</si>
  <si>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</si>
  <si>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</si>
  <si>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</si>
  <si>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</si>
  <si>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</si>
  <si>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</si>
  <si>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</si>
  <si>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</si>
  <si>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</si>
  <si>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</si>
  <si>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</si>
  <si>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</si>
  <si>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</si>
  <si>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</si>
  <si>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</si>
  <si>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</si>
  <si>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</si>
  <si>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</si>
  <si>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</si>
  <si>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</si>
  <si>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</si>
  <si>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</si>
  <si>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</si>
  <si>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</si>
  <si>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</si>
  <si>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</si>
  <si>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</si>
  <si>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</si>
  <si>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</si>
  <si>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</si>
  <si>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</si>
  <si>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</si>
  <si>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</si>
  <si>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</si>
  <si>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</si>
  <si>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</si>
  <si>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</si>
  <si>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</si>
  <si>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</si>
  <si>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</si>
  <si>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</si>
  <si>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</si>
  <si>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</si>
  <si>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</si>
  <si>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</si>
  <si>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</si>
  <si>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</si>
  <si>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</si>
  <si>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</si>
  <si>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</si>
  <si>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</si>
  <si>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</si>
  <si>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</si>
  <si>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</si>
  <si>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</si>
  <si>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</si>
  <si>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</si>
  <si>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</si>
  <si>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</si>
  <si>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</si>
  <si>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</si>
  <si>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</si>
  <si>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</si>
  <si>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</si>
  <si>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</si>
  <si>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</si>
  <si>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</si>
  <si>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</si>
  <si>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</si>
  <si>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</si>
  <si>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</si>
  <si>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</si>
  <si>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</si>
  <si>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</si>
  <si>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</si>
  <si>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</si>
  <si>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</si>
  <si>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</si>
  <si>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</si>
  <si>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</si>
  <si>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</si>
  <si>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</si>
  <si>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</si>
  <si>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</si>
  <si>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</si>
  <si>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</si>
  <si>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</si>
  <si>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</si>
  <si>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</si>
  <si>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</si>
  <si>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</si>
  <si>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</si>
  <si>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</si>
  <si>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</si>
  <si>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</si>
  <si>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</si>
  <si>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</si>
  <si>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</si>
  <si>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</si>
  <si>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</si>
  <si>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</si>
  <si>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</si>
  <si>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</si>
  <si>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</si>
  <si>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</si>
  <si>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</si>
  <si>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</si>
  <si>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</si>
  <si>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</si>
  <si>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</si>
  <si>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</si>
  <si>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</si>
  <si>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</si>
  <si>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</si>
  <si>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</si>
  <si>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</si>
  <si>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</si>
  <si>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</si>
  <si>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</si>
  <si>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</si>
  <si>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</si>
  <si>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</si>
  <si>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</si>
  <si>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</si>
  <si>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</si>
  <si>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</si>
  <si>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</si>
  <si>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</si>
  <si>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</si>
  <si>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</si>
  <si>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</si>
  <si>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</si>
  <si>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</si>
  <si>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</si>
  <si>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</si>
  <si>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</si>
  <si>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</si>
  <si>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</si>
  <si>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</si>
  <si>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</si>
  <si>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</si>
  <si>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</si>
  <si>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</si>
  <si>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</si>
  <si>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</si>
  <si>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</si>
  <si>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</si>
  <si>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</si>
  <si>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</si>
  <si>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</si>
  <si>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</si>
  <si>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</si>
  <si>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</si>
  <si>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</si>
  <si>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</si>
  <si>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</si>
  <si>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</si>
  <si>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</si>
  <si>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</si>
  <si>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</si>
  <si>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</si>
  <si>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</si>
  <si>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</si>
  <si>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</si>
  <si>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</si>
  <si>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</si>
  <si>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</si>
  <si>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</si>
  <si>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</si>
  <si>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</si>
  <si>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</si>
  <si>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</si>
  <si>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</si>
  <si>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</si>
  <si>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</si>
  <si>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</si>
  <si>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</si>
  <si>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</si>
  <si>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</si>
  <si>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</si>
  <si>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</si>
  <si>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</si>
  <si>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</si>
  <si>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</si>
  <si>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</si>
  <si>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</si>
  <si>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</si>
  <si>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</si>
  <si>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</si>
  <si>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</si>
  <si>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</si>
  <si>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</si>
  <si>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</si>
  <si>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</si>
  <si>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</si>
  <si>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</si>
  <si>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</si>
  <si>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</si>
  <si>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</si>
  <si>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</si>
  <si>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</si>
  <si>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</si>
  <si>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</si>
  <si>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</si>
  <si>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</si>
  <si>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</si>
  <si>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</si>
  <si>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</si>
  <si>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</si>
  <si>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</si>
  <si>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</si>
  <si>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</si>
  <si>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</si>
  <si>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</si>
  <si>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</si>
  <si>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</si>
  <si>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</si>
  <si>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</si>
  <si>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</si>
  <si>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</si>
  <si>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</si>
  <si>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</si>
  <si>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</si>
  <si>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</si>
  <si>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</si>
  <si>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</si>
  <si>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</si>
  <si>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</si>
  <si>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</si>
  <si>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</si>
  <si>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</si>
  <si>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</si>
  <si>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</si>
  <si>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</si>
  <si>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</si>
  <si>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</si>
  <si>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</si>
  <si>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</si>
  <si>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</si>
  <si>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</si>
  <si>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</si>
  <si>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</si>
  <si>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</si>
  <si>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</si>
  <si>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</si>
  <si>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</si>
  <si>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</si>
  <si>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</si>
  <si>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</si>
  <si>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</si>
  <si>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</si>
  <si>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</si>
  <si>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</si>
  <si>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</si>
  <si>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</si>
  <si>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</si>
  <si>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</si>
  <si>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</si>
  <si>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</si>
  <si>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</si>
  <si>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</si>
  <si>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</si>
  <si>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</si>
  <si>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</si>
  <si>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</si>
  <si>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</si>
  <si>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</si>
  <si>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</si>
  <si>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</si>
  <si>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</si>
  <si>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</si>
  <si>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</si>
  <si>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</si>
  <si>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</si>
  <si>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</si>
  <si>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</si>
  <si>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</si>
  <si>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</si>
  <si>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</si>
  <si>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</si>
  <si>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</si>
  <si>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</si>
  <si>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</si>
  <si>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</si>
  <si>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</si>
  <si>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</si>
  <si>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</si>
  <si>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</si>
  <si>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</si>
  <si>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</si>
  <si>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</si>
  <si>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</si>
  <si>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</si>
  <si>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</si>
  <si>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</si>
  <si>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</si>
  <si>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</si>
  <si>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</si>
  <si>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</si>
  <si>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</si>
  <si>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</si>
  <si>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</si>
  <si>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</si>
  <si>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</si>
  <si>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</si>
  <si>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</si>
  <si>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</si>
  <si>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</si>
  <si>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</si>
  <si>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</si>
  <si>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</si>
  <si>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</si>
  <si>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</si>
  <si>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</si>
  <si>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</si>
  <si>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</si>
  <si>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</si>
  <si>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</si>
  <si>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</si>
  <si>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</si>
  <si>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</si>
  <si>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</si>
  <si>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</si>
  <si>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</si>
  <si>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</si>
  <si>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</si>
  <si>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</si>
  <si>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</si>
  <si>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</si>
  <si>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</si>
  <si>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</si>
  <si>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</si>
  <si>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</si>
  <si>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</si>
  <si>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</si>
  <si>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</si>
  <si>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</si>
  <si>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</si>
  <si>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</si>
  <si>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</si>
  <si>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</si>
  <si>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</si>
  <si>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</si>
  <si>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</si>
  <si>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</si>
  <si>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</si>
  <si>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</si>
  <si>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</si>
  <si>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</si>
  <si>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</si>
  <si>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</si>
  <si>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</si>
  <si>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</si>
  <si>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</si>
  <si>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</si>
  <si>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</si>
  <si>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</si>
  <si>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</si>
  <si>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</si>
  <si>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</si>
  <si>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</si>
  <si>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</si>
  <si>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</si>
  <si>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</si>
  <si>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</si>
  <si>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</si>
  <si>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</si>
  <si>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</si>
  <si>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</si>
  <si>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</si>
  <si>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</si>
  <si>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</si>
  <si>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</si>
  <si>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</si>
  <si>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</si>
  <si>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</si>
  <si>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</si>
  <si>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</si>
  <si>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</si>
  <si>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</si>
  <si>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</si>
  <si>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</si>
  <si>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</si>
  <si>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</si>
  <si>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</si>
  <si>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</si>
  <si>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</si>
  <si>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</si>
  <si>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</si>
  <si>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</si>
  <si>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</si>
  <si>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</si>
  <si>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</si>
  <si>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</si>
  <si>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</si>
  <si>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</si>
  <si>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</si>
  <si>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</si>
  <si>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</si>
  <si>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</si>
  <si>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</si>
  <si>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</si>
  <si>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</si>
  <si>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</si>
  <si>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</si>
  <si>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</si>
  <si>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</si>
  <si>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</si>
  <si>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</si>
  <si>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</si>
  <si>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</si>
  <si>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</si>
  <si>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</si>
  <si>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</si>
  <si>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</si>
  <si>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</si>
  <si>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</si>
  <si>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</si>
  <si>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</si>
  <si>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</si>
  <si>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</si>
  <si>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</si>
  <si>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</si>
  <si>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</si>
  <si>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</si>
  <si>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</si>
  <si>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</si>
  <si>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</si>
  <si>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</si>
  <si>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</si>
  <si>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</si>
  <si>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</si>
  <si>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</si>
  <si>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</si>
  <si>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</si>
  <si>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</si>
  <si>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</si>
  <si>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</si>
  <si>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</si>
  <si>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</si>
  <si>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</si>
  <si>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</si>
  <si>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</si>
  <si>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</si>
  <si>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</si>
  <si>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</si>
  <si>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</si>
  <si>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</si>
  <si>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</si>
  <si>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</si>
  <si>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</si>
  <si>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</si>
  <si>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</si>
  <si>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</si>
  <si>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</si>
  <si>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</si>
  <si>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</si>
  <si>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</si>
  <si>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</si>
  <si>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</si>
  <si>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</si>
  <si>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</si>
  <si>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</si>
  <si>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</si>
  <si>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</si>
  <si>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</si>
  <si>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</si>
  <si>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</si>
  <si>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</si>
  <si>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</si>
  <si>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</si>
  <si>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</si>
  <si>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</si>
  <si>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</si>
  <si>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</si>
  <si>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</si>
  <si>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</si>
  <si>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</si>
  <si>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</si>
  <si>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</si>
  <si>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</si>
  <si>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</si>
  <si>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</si>
  <si>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</si>
  <si>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</si>
  <si>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</si>
  <si>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</si>
  <si>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</si>
  <si>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</si>
  <si>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</si>
  <si>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</si>
  <si>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</si>
  <si>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</si>
  <si>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</si>
  <si>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</si>
  <si>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</si>
  <si>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</si>
  <si>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</si>
  <si>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</si>
  <si>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</si>
  <si>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</si>
  <si>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</si>
  <si>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</si>
  <si>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</si>
  <si>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</si>
  <si>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</si>
  <si>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</si>
  <si>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</si>
  <si>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</si>
  <si>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</si>
  <si>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</si>
  <si>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</si>
  <si>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</si>
  <si>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</si>
  <si>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</si>
  <si>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</si>
  <si>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</si>
  <si>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</si>
  <si>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</si>
  <si>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</si>
  <si>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</si>
  <si>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</si>
  <si>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</si>
  <si>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</si>
  <si>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</si>
  <si>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</si>
  <si>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</si>
  <si>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</si>
  <si>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</si>
  <si>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</si>
  <si>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</si>
  <si>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</si>
  <si>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</si>
  <si>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</si>
  <si>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</si>
  <si>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</si>
  <si>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</si>
  <si>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</si>
  <si>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</si>
  <si>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</si>
  <si>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</si>
  <si>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</si>
  <si>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</si>
  <si>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</si>
  <si>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</si>
  <si>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</si>
  <si>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</si>
  <si>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</si>
  <si>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</si>
  <si>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</si>
  <si>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</si>
  <si>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</si>
  <si>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</si>
  <si>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</si>
  <si>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</si>
  <si>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</si>
  <si>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</si>
  <si>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</si>
  <si>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</si>
  <si>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</si>
  <si>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</si>
  <si>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</si>
  <si>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</si>
  <si>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</si>
  <si>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</si>
  <si>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</si>
  <si>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</si>
  <si>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</si>
  <si>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</si>
  <si>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</si>
  <si>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</si>
  <si>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</si>
  <si>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</si>
  <si>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</si>
  <si>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</si>
  <si>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</si>
  <si>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</si>
  <si>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</si>
  <si>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</si>
  <si>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</si>
  <si>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</si>
  <si>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</si>
  <si>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</si>
  <si>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</si>
  <si>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</si>
  <si>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</si>
  <si>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</si>
  <si>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</si>
  <si>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</si>
  <si>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</si>
  <si>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</si>
  <si>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</si>
  <si>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</si>
  <si>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</si>
  <si>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</si>
  <si>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</si>
  <si>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</si>
  <si>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</si>
  <si>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</si>
  <si>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</si>
  <si>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</si>
  <si>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</si>
  <si>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</si>
  <si>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</si>
  <si>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</si>
  <si>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</si>
  <si>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</si>
  <si>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</si>
  <si>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</si>
  <si>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</si>
  <si>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</si>
  <si>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</si>
  <si>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</si>
  <si>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</si>
  <si>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</si>
  <si>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</si>
  <si>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</si>
  <si>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</si>
  <si>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</si>
  <si>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</si>
  <si>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</si>
  <si>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</si>
  <si>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</si>
  <si>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</si>
  <si>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</si>
  <si>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</si>
  <si>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</si>
  <si>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</si>
  <si>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</si>
  <si>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</si>
  <si>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</si>
  <si>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</si>
  <si>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</si>
  <si>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</si>
  <si>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</si>
  <si>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</si>
  <si>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</si>
  <si>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</si>
  <si>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</si>
  <si>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</si>
  <si>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</si>
  <si>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</si>
  <si>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</si>
  <si>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</si>
  <si>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</si>
  <si>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</si>
  <si>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</si>
  <si>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</si>
  <si>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</si>
  <si>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</si>
  <si>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</si>
  <si>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</si>
  <si>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</si>
  <si>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</si>
  <si>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</si>
  <si>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</si>
  <si>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</si>
  <si>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</si>
  <si>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</si>
  <si>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</si>
  <si>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</si>
  <si>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</si>
  <si>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</si>
  <si>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</si>
  <si>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</si>
  <si>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</si>
  <si>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</si>
  <si>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</si>
  <si>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</si>
  <si>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</si>
  <si>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</si>
  <si>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</si>
  <si>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</si>
  <si>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</si>
  <si>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</si>
  <si>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</si>
  <si>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</si>
  <si>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</si>
  <si>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</si>
  <si>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</si>
  <si>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</si>
  <si>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</si>
  <si>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</si>
  <si>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</si>
  <si>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</si>
  <si>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</si>
  <si>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</si>
  <si>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</si>
  <si>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</si>
  <si>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</si>
  <si>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</si>
  <si>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</si>
  <si>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</si>
  <si>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</si>
  <si>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</si>
  <si>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</si>
  <si>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</si>
  <si>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</si>
  <si>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</si>
  <si>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</si>
  <si>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</si>
  <si>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</si>
  <si>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</si>
  <si>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</si>
  <si>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</si>
  <si>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</si>
  <si>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</si>
  <si>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</si>
  <si>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</si>
  <si>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</si>
  <si>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</si>
  <si>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</si>
  <si>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</si>
  <si>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</si>
  <si>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</si>
  <si>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</si>
  <si>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</si>
  <si>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</si>
  <si>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</si>
  <si>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</si>
  <si>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</si>
  <si>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</si>
  <si>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</si>
  <si>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</si>
  <si>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</si>
  <si>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</si>
  <si>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</si>
  <si>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</si>
  <si>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</si>
  <si>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</si>
  <si>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</si>
  <si>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</si>
  <si>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</si>
  <si>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</si>
  <si>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</si>
  <si>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</si>
  <si>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</si>
  <si>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</si>
  <si>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</si>
  <si>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</si>
  <si>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</si>
  <si>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</si>
  <si>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</si>
  <si>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</si>
  <si>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</si>
  <si>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</si>
  <si>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</si>
  <si>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</si>
  <si>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</si>
  <si>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</si>
  <si>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</si>
  <si>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</si>
  <si>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</si>
  <si>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</si>
  <si>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</si>
  <si>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</si>
  <si>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</si>
  <si>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</si>
  <si>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</si>
  <si>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</si>
  <si>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</si>
  <si>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</si>
  <si>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</si>
  <si>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</si>
  <si>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</si>
  <si>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</si>
  <si>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</si>
  <si>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</si>
  <si>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</si>
  <si>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</si>
  <si>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</si>
  <si>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</si>
  <si>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</si>
  <si>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</si>
  <si>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</si>
  <si>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</si>
  <si>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</si>
  <si>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</si>
  <si>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</si>
  <si>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</si>
  <si>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</si>
  <si>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</si>
  <si>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</si>
  <si>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</si>
  <si>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</si>
  <si>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</si>
  <si>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</si>
  <si>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</si>
  <si>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</si>
  <si>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</si>
  <si>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</si>
  <si>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</si>
  <si>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</si>
  <si>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</si>
  <si>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</si>
  <si>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</si>
  <si>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</si>
  <si>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</si>
  <si>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</si>
  <si>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</si>
  <si>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</si>
  <si>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</si>
  <si>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</si>
  <si>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</si>
  <si>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</si>
  <si>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</si>
  <si>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</si>
  <si>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</si>
  <si>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</si>
  <si>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</si>
  <si>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</si>
  <si>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</si>
  <si>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</si>
  <si>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</si>
  <si>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</si>
  <si>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</si>
  <si>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</si>
  <si>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</si>
  <si>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</si>
  <si>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</si>
  <si>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</si>
  <si>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</si>
  <si>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</si>
  <si>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</si>
  <si>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</si>
  <si>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</si>
  <si>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</si>
  <si>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</si>
  <si>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</si>
  <si>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</si>
  <si>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</si>
  <si>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</si>
  <si>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</si>
  <si>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</si>
  <si>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</si>
  <si>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</si>
  <si>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</si>
  <si>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</si>
  <si>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</si>
  <si>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</si>
  <si>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</si>
  <si>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</si>
  <si>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</si>
  <si>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</si>
  <si>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</si>
  <si>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</si>
  <si>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</si>
  <si>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</si>
  <si>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</si>
  <si>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</si>
  <si>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</si>
  <si>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</si>
  <si>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</si>
  <si>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</si>
  <si>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</si>
  <si>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</si>
  <si>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</si>
  <si>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</si>
  <si>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</si>
  <si>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</si>
  <si>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</si>
  <si>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</si>
  <si>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</si>
  <si>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</si>
  <si>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</si>
  <si>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</si>
  <si>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</si>
  <si>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</si>
  <si>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</si>
  <si>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</si>
  <si>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</si>
  <si>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</si>
  <si>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</si>
  <si>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</si>
  <si>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</si>
  <si>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</si>
  <si>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</si>
  <si>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</si>
  <si>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</si>
  <si>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</si>
  <si>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</si>
  <si>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</si>
  <si>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</si>
  <si>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</si>
  <si>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</si>
  <si>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</si>
  <si>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</si>
  <si>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</si>
  <si>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</si>
  <si>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</si>
  <si>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</si>
  <si>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</si>
  <si>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</si>
  <si>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</si>
  <si>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</si>
  <si>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</si>
  <si>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</si>
  <si>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</si>
  <si>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</si>
  <si>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</si>
  <si>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</si>
  <si>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</si>
  <si>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</si>
  <si>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</si>
  <si>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</si>
  <si>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</si>
  <si>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</si>
  <si>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</si>
  <si>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</si>
  <si>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</si>
  <si>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</si>
  <si>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</si>
  <si>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</si>
  <si>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</si>
  <si>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</si>
  <si>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</si>
  <si>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</si>
  <si>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</si>
  <si>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</si>
  <si>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</si>
  <si>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</si>
  <si>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</si>
  <si>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</si>
  <si>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</si>
  <si>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</si>
  <si>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</si>
  <si>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</si>
  <si>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</si>
  <si>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</si>
  <si>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</si>
  <si>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</si>
  <si>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</si>
  <si>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</si>
  <si>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</si>
  <si>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</si>
  <si>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</si>
  <si>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</si>
  <si>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</si>
  <si>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</si>
  <si>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</si>
  <si>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</si>
  <si>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</si>
  <si>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</si>
  <si>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</si>
  <si>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</si>
  <si>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</si>
  <si>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</si>
  <si>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</si>
  <si>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</si>
  <si>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</si>
  <si>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</si>
  <si>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</si>
  <si>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</si>
  <si>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</si>
  <si>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</si>
  <si>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</si>
  <si>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</si>
  <si>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</si>
  <si>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</si>
  <si>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</si>
  <si>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</si>
  <si>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</si>
  <si>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</si>
  <si>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</si>
  <si>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</si>
  <si>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</si>
  <si>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</si>
  <si>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</si>
  <si>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</si>
  <si>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</si>
  <si>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</si>
  <si>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</si>
  <si>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</si>
  <si>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</si>
  <si>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</si>
  <si>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</si>
  <si>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</si>
  <si>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</si>
  <si>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</si>
  <si>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</si>
  <si>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</si>
  <si>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</si>
  <si>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</si>
  <si>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</si>
  <si>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</si>
  <si>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</si>
  <si>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</si>
  <si>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</si>
  <si>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</si>
  <si>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</si>
  <si>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</si>
  <si>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</si>
  <si>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</si>
  <si>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</si>
  <si>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</si>
  <si>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</si>
  <si>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</si>
  <si>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</si>
  <si>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</si>
  <si>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</si>
  <si>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</si>
  <si>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</si>
  <si>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</si>
  <si>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</si>
  <si>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</si>
  <si>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</si>
  <si>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</si>
  <si>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</si>
  <si>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</si>
  <si>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</si>
  <si>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</si>
  <si>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</si>
  <si>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</si>
  <si>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</si>
  <si>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</si>
  <si>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</si>
  <si>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</si>
  <si>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</si>
  <si>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</si>
  <si>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</si>
  <si>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</si>
  <si>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</si>
  <si>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</si>
  <si>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</si>
  <si>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</si>
  <si>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</si>
  <si>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</si>
  <si>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</si>
  <si>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</si>
  <si>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</si>
  <si>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</si>
  <si>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</si>
  <si>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</si>
  <si>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</si>
  <si>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</si>
  <si>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</si>
  <si>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</si>
  <si>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</si>
  <si>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</si>
  <si>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</si>
  <si>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</si>
  <si>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</si>
  <si>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</si>
  <si>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</si>
  <si>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</si>
  <si>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</si>
  <si>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</si>
  <si>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</si>
  <si>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</si>
  <si>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</si>
  <si>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</si>
  <si>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</si>
  <si>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</si>
  <si>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</si>
  <si>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</si>
  <si>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</si>
  <si>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</si>
  <si>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</si>
  <si>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</si>
  <si>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</si>
  <si>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</si>
  <si>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</si>
  <si>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</si>
  <si>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</si>
  <si>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</si>
  <si>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</si>
  <si>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</si>
  <si>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</si>
  <si>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</si>
  <si>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</si>
  <si>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</si>
  <si>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</si>
  <si>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</si>
  <si>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</si>
  <si>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</si>
  <si>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</si>
  <si>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</si>
  <si>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</si>
  <si>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</si>
  <si>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</si>
  <si>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</si>
  <si>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</si>
  <si>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</si>
  <si>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</si>
  <si>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</si>
  <si>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</si>
  <si>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</si>
  <si>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</si>
  <si>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</si>
  <si>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</si>
  <si>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</si>
  <si>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</si>
  <si>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</si>
  <si>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</si>
  <si>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</si>
  <si>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</si>
  <si>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</si>
  <si>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</si>
  <si>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</si>
  <si>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</si>
  <si>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</si>
  <si>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</si>
  <si>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</si>
  <si>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</si>
  <si>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</si>
  <si>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</si>
  <si>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</si>
  <si>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</si>
  <si>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</si>
  <si>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</si>
  <si>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</si>
  <si>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</si>
  <si>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</si>
  <si>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</si>
  <si>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</si>
  <si>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</si>
  <si>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</si>
  <si>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</si>
  <si>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</si>
  <si>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</si>
  <si>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</si>
  <si>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</si>
  <si>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</si>
  <si>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</si>
  <si>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</si>
  <si>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</si>
  <si>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</si>
  <si>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</si>
  <si>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</si>
  <si>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</si>
  <si>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</si>
  <si>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</si>
  <si>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</si>
  <si>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</si>
  <si>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</si>
  <si>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</si>
  <si>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</si>
  <si>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</si>
  <si>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</si>
  <si>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</si>
  <si>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</si>
  <si>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</si>
  <si>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</si>
  <si>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</si>
  <si>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</si>
  <si>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</si>
  <si>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</si>
  <si>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</si>
  <si>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</si>
  <si>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</si>
  <si>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</si>
  <si>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</si>
  <si>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</si>
  <si>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</si>
  <si>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</si>
  <si>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</si>
  <si>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</si>
  <si>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</si>
  <si>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</si>
  <si>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</si>
  <si>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</si>
  <si>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</si>
  <si>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</si>
  <si>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</si>
  <si>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</si>
  <si>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</si>
  <si>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</si>
  <si>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</si>
  <si>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</si>
  <si>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</si>
  <si>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</si>
  <si>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</si>
  <si>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</si>
  <si>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</si>
  <si>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</si>
  <si>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</si>
  <si>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</si>
  <si>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</si>
  <si>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</si>
  <si>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</si>
  <si>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</si>
  <si>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</si>
  <si>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</si>
  <si>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</si>
  <si>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</si>
  <si>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</si>
  <si>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</si>
  <si>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</si>
  <si>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</si>
  <si>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</si>
  <si>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</si>
  <si>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</si>
  <si>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</si>
  <si>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</si>
  <si>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</si>
  <si>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</si>
  <si>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</si>
  <si>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</si>
  <si>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</si>
  <si>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</si>
  <si>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</si>
  <si>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</si>
  <si>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</si>
  <si>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</si>
  <si>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</si>
  <si>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</si>
  <si>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</si>
  <si>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</si>
  <si>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</si>
  <si>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</si>
  <si>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</si>
  <si>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</si>
  <si>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</si>
  <si>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</si>
  <si>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</si>
  <si>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</si>
  <si>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</si>
  <si>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</si>
  <si>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</si>
  <si>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</si>
  <si>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</si>
  <si>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</si>
  <si>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</si>
  <si>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</si>
  <si>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</si>
  <si>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</si>
  <si>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</si>
  <si>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</si>
  <si>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</si>
  <si>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</si>
  <si>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</si>
  <si>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</si>
  <si>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</si>
  <si>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</si>
  <si>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</si>
  <si>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</si>
  <si>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</si>
  <si>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</si>
  <si>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</si>
  <si>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</si>
  <si>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</si>
  <si>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</si>
  <si>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</si>
  <si>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</si>
  <si>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</si>
  <si>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</si>
  <si>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</si>
  <si>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</si>
  <si>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</si>
  <si>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</si>
  <si>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</si>
  <si>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</si>
  <si>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</si>
  <si>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</si>
  <si>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</si>
  <si>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</si>
  <si>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</si>
  <si>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</si>
  <si>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</si>
  <si>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</si>
  <si>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</si>
  <si>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</si>
  <si>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</si>
  <si>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</si>
  <si>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</si>
  <si>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</si>
  <si>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</si>
  <si>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</si>
  <si>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</si>
  <si>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</si>
  <si>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</si>
  <si>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</si>
  <si>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</si>
  <si>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</si>
  <si>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</si>
  <si>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</si>
  <si>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</si>
  <si>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</si>
  <si>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</si>
  <si>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</si>
  <si>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</si>
  <si>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</si>
  <si>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</si>
  <si>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</si>
  <si>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</si>
  <si>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</si>
  <si>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</si>
  <si>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</si>
  <si>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</si>
  <si>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</si>
  <si>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</si>
  <si>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</si>
  <si>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</si>
  <si>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</si>
  <si>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</si>
  <si>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</si>
  <si>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</si>
  <si>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</si>
  <si>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</si>
  <si>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</si>
  <si>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</si>
  <si>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</si>
  <si>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</si>
  <si>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</si>
  <si>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</si>
  <si>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</si>
  <si>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</si>
  <si>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</si>
  <si>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</si>
  <si>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</si>
  <si>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</si>
  <si>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</si>
  <si>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</si>
  <si>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</si>
  <si>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</si>
  <si>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</si>
  <si>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</si>
  <si>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</si>
  <si>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</si>
  <si>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</si>
  <si>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</si>
  <si>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</si>
  <si>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</si>
  <si>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</si>
  <si>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</si>
  <si>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</si>
  <si>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</si>
  <si>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</si>
  <si>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</si>
  <si>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</si>
  <si>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</si>
  <si>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</si>
  <si>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</si>
  <si>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</si>
  <si>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</si>
  <si>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</si>
  <si>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</si>
  <si>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</si>
  <si>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</si>
  <si>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</si>
  <si>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</si>
  <si>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</si>
  <si>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</si>
  <si>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</si>
  <si>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</si>
  <si>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</si>
  <si>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</si>
  <si>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</si>
  <si>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</si>
  <si>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</si>
  <si>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</si>
  <si>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</si>
  <si>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</si>
  <si>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</si>
  <si>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</si>
  <si>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</si>
  <si>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</si>
  <si>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</si>
  <si>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</si>
  <si>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</si>
  <si>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</si>
  <si>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</si>
  <si>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</si>
  <si>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</si>
  <si>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</si>
  <si>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</si>
  <si>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</si>
  <si>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</si>
  <si>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</si>
  <si>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</si>
  <si>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</si>
  <si>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</si>
  <si>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</si>
  <si>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</si>
  <si>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</si>
  <si>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</si>
  <si>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</si>
  <si>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</si>
  <si>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</si>
  <si>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</si>
  <si>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</si>
  <si>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</si>
  <si>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</si>
  <si>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</si>
  <si>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</si>
  <si>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</si>
  <si>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</si>
  <si>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</si>
  <si>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</si>
  <si>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</si>
  <si>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</si>
  <si>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</si>
  <si>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</si>
  <si>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</si>
  <si>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</si>
  <si>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</si>
  <si>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</si>
  <si>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</si>
  <si>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</si>
  <si>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</si>
  <si>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</si>
  <si>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</si>
  <si>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</si>
  <si>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</si>
  <si>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</si>
  <si>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</si>
  <si>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</si>
  <si>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</si>
  <si>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</si>
  <si>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</si>
  <si>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</si>
  <si>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</si>
  <si>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</si>
  <si>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</si>
  <si>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</si>
  <si>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</si>
  <si>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</si>
  <si>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</si>
  <si>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</si>
  <si>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</si>
  <si>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</si>
  <si>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</si>
  <si>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</si>
  <si>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</si>
  <si>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</si>
  <si>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</si>
  <si>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</si>
  <si>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</si>
  <si>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</si>
  <si>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</si>
  <si>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</si>
  <si>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</si>
  <si>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</si>
  <si>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</si>
  <si>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</si>
  <si>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</si>
  <si>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</si>
  <si>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</si>
  <si>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</si>
  <si>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</si>
  <si>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</si>
  <si>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</si>
  <si>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</si>
  <si>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</si>
  <si>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</si>
  <si>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</si>
  <si>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</si>
  <si>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</si>
  <si>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</si>
  <si>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</si>
  <si>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</si>
  <si>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</si>
  <si>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</si>
  <si>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</si>
  <si>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</si>
  <si>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</si>
  <si>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</si>
  <si>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</si>
  <si>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</si>
  <si>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</si>
  <si>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</si>
  <si>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</si>
  <si>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</si>
  <si>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</si>
  <si>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</si>
  <si>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</si>
  <si>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</si>
  <si>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</si>
  <si>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</si>
  <si>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</si>
  <si>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</si>
  <si>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</si>
  <si>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</si>
  <si>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</si>
  <si>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</si>
  <si>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</si>
  <si>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</si>
  <si>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</si>
  <si>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</si>
  <si>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</si>
  <si>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</si>
  <si>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</si>
  <si>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</si>
  <si>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</si>
  <si>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</si>
  <si>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</si>
  <si>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</si>
  <si>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</si>
  <si>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</si>
  <si>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</si>
  <si>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</si>
  <si>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</si>
  <si>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</si>
  <si>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</si>
  <si>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</si>
  <si>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</si>
  <si>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</si>
  <si>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</si>
  <si>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</si>
  <si>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</si>
  <si>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</si>
  <si>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</si>
  <si>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</si>
  <si>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</si>
  <si>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</si>
  <si>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</si>
  <si>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</si>
  <si>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</si>
  <si>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</si>
  <si>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</si>
  <si>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</si>
  <si>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</si>
  <si>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</si>
  <si>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</si>
  <si>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</si>
  <si>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</si>
  <si>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</si>
  <si>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</si>
  <si>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</si>
  <si>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</si>
  <si>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</si>
  <si>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</si>
  <si>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</si>
  <si>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</si>
  <si>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</si>
  <si>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</si>
  <si>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</si>
  <si>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</si>
  <si>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</si>
  <si>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</si>
  <si>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</si>
  <si>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</si>
  <si>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</si>
  <si>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</si>
  <si>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</si>
  <si>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</si>
  <si>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</si>
  <si>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</si>
  <si>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</si>
  <si>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</si>
  <si>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</si>
  <si>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</si>
  <si>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</si>
  <si>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</si>
  <si>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</si>
  <si>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</si>
  <si>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</si>
  <si>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</si>
  <si>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</si>
  <si>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</si>
  <si>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</si>
  <si>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</si>
  <si>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</si>
  <si>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</si>
  <si>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</si>
  <si>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</si>
  <si>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</si>
  <si>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</si>
  <si>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</si>
  <si>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</si>
  <si>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</si>
  <si>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</si>
  <si>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</si>
  <si>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</si>
  <si>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</si>
  <si>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</si>
  <si>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</si>
  <si>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</si>
  <si>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</si>
  <si>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</si>
  <si>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</si>
  <si>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</si>
  <si>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</si>
  <si>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</si>
  <si>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</si>
  <si>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</si>
  <si>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</si>
  <si>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</si>
  <si>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</si>
  <si>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</si>
  <si>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</si>
  <si>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</si>
  <si>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</si>
  <si>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</si>
  <si>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</si>
  <si>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</si>
  <si>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</si>
  <si>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</si>
  <si>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</si>
  <si>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</si>
  <si>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</si>
  <si>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</si>
  <si>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</si>
  <si>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</si>
  <si>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</si>
  <si>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</si>
  <si>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</si>
  <si>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</si>
  <si>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</si>
  <si>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</si>
  <si>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</si>
  <si>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</si>
  <si>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</si>
  <si>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</si>
  <si>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</si>
  <si>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</si>
  <si>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</si>
  <si>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</si>
  <si>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</si>
  <si>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</si>
  <si>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</si>
  <si>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</si>
  <si>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</si>
  <si>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</si>
  <si>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</si>
  <si>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</si>
  <si>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</si>
  <si>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</si>
  <si>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</si>
  <si>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</si>
  <si>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</si>
  <si>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</si>
  <si>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</si>
  <si>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</si>
  <si>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</si>
  <si>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</si>
  <si>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</si>
  <si>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</si>
  <si>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</si>
  <si>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</si>
  <si>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</si>
  <si>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</si>
  <si>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</si>
  <si>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</si>
  <si>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</si>
  <si>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</si>
  <si>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</si>
  <si>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</si>
  <si>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</si>
  <si>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</si>
  <si>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</si>
  <si>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</si>
  <si>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</si>
  <si>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</si>
  <si>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</si>
  <si>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</si>
  <si>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</si>
  <si>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</si>
  <si>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</si>
  <si>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</si>
  <si>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</si>
  <si>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</si>
  <si>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</si>
  <si>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</si>
  <si>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</si>
  <si>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</si>
  <si>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</si>
  <si>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</si>
  <si>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</si>
  <si>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</si>
  <si>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</si>
  <si>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</si>
  <si>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</si>
  <si>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</si>
  <si>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</si>
  <si>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</si>
  <si>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</si>
  <si>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</si>
  <si>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</si>
  <si>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</si>
  <si>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</si>
  <si>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</si>
  <si>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</si>
  <si>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</si>
  <si>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</si>
  <si>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</si>
  <si>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</si>
  <si>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</si>
  <si>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</si>
  <si>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</si>
  <si>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</si>
  <si>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</si>
  <si>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</si>
  <si>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</si>
  <si>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</si>
  <si>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</si>
  <si>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</si>
  <si>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</si>
  <si>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</si>
  <si>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</si>
  <si>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</si>
  <si>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</si>
  <si>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</si>
  <si>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</si>
  <si>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</si>
  <si>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</si>
  <si>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</si>
  <si>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</si>
  <si>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</si>
  <si>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</si>
  <si>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</si>
  <si>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</si>
  <si>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</si>
  <si>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</si>
  <si>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</si>
  <si>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</si>
  <si>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</si>
  <si>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</si>
  <si>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</si>
  <si>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</si>
  <si>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</si>
  <si>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</si>
  <si>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</si>
  <si>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</si>
  <si>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</si>
  <si>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</si>
  <si>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</si>
  <si>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</si>
  <si>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</si>
  <si>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</si>
  <si>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</si>
  <si>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</si>
  <si>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</si>
  <si>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</si>
  <si>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</si>
  <si>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</si>
  <si>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</si>
  <si>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</si>
  <si>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</si>
  <si>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</si>
  <si>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</si>
  <si>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</si>
  <si>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</si>
  <si>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</si>
  <si>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</si>
  <si>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</si>
  <si>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</si>
  <si>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</si>
  <si>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</si>
  <si>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</si>
  <si>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</si>
  <si>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</si>
  <si>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</si>
  <si>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</si>
  <si>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</si>
  <si>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</si>
  <si>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</si>
  <si>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</si>
  <si>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</si>
  <si>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</si>
  <si>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</si>
  <si>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</si>
  <si>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</si>
  <si>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</si>
  <si>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</si>
  <si>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</si>
  <si>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</si>
  <si>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</si>
  <si>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</si>
  <si>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</si>
  <si>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</si>
  <si>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</si>
  <si>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</si>
  <si>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</si>
  <si>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</si>
  <si>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</si>
  <si>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</si>
  <si>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</si>
  <si>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</si>
  <si>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</si>
  <si>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</si>
  <si>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</si>
  <si>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</si>
  <si>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</si>
  <si>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</si>
  <si>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</si>
  <si>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</si>
  <si>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</si>
  <si>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</si>
  <si>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</si>
  <si>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</si>
  <si>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</si>
  <si>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</si>
  <si>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</si>
  <si>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</si>
  <si>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</si>
  <si>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</si>
  <si>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</si>
  <si>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</si>
  <si>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</si>
  <si>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</si>
  <si>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</si>
  <si>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</si>
  <si>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</si>
  <si>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</si>
  <si>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</si>
  <si>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</si>
  <si>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</si>
  <si>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</si>
  <si>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</si>
  <si>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</si>
  <si>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</si>
  <si>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</si>
  <si>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</si>
  <si>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</si>
  <si>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</si>
  <si>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</si>
  <si>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</si>
  <si>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</si>
  <si>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</si>
  <si>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</si>
  <si>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</si>
  <si>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</si>
  <si>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</si>
  <si>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</si>
  <si>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</si>
  <si>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</si>
  <si>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</si>
  <si>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</si>
  <si>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</si>
  <si>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</si>
  <si>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</si>
  <si>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</si>
  <si>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</si>
  <si>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</si>
  <si>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</si>
  <si>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</si>
  <si>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</si>
  <si>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</si>
  <si>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</si>
  <si>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</si>
  <si>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</si>
  <si>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</si>
  <si>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</si>
  <si>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</si>
  <si>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</si>
  <si>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</si>
  <si>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</si>
  <si>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</si>
  <si>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</si>
  <si>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</si>
  <si>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</si>
  <si>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</si>
  <si>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</si>
  <si>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</si>
  <si>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</si>
  <si>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</si>
  <si>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</si>
  <si>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</si>
  <si>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</si>
  <si>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</si>
  <si>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</si>
  <si>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</si>
  <si>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</si>
  <si>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</si>
  <si>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</si>
  <si>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</si>
  <si>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</si>
  <si>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</si>
  <si>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</si>
  <si>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</si>
  <si>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</si>
  <si>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</si>
  <si>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</si>
  <si>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</si>
  <si>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</si>
  <si>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</si>
  <si>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</si>
  <si>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</si>
  <si>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</si>
  <si>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</si>
  <si>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</si>
  <si>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</si>
  <si>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</si>
  <si>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</si>
  <si>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</si>
  <si>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</si>
  <si>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</si>
  <si>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</si>
  <si>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</si>
  <si>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</si>
  <si>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</si>
  <si>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</si>
  <si>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</si>
  <si>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</si>
  <si>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</si>
  <si>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</si>
  <si>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</si>
  <si>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</si>
  <si>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</si>
  <si>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</si>
  <si>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</si>
  <si>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</si>
  <si>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</si>
  <si>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</si>
  <si>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</si>
  <si>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</si>
  <si>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</si>
  <si>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</si>
  <si>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</si>
  <si>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</si>
  <si>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</si>
  <si>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</si>
  <si>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</si>
  <si>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</si>
  <si>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</si>
  <si>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</si>
  <si>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</si>
  <si>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</si>
  <si>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</si>
  <si>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</si>
  <si>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</si>
  <si>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</si>
  <si>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</si>
  <si>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</si>
  <si>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</si>
  <si>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</si>
  <si>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</si>
  <si>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</si>
  <si>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</si>
  <si>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</si>
  <si>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</si>
  <si>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</si>
  <si>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</si>
  <si>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</si>
  <si>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</si>
  <si>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</si>
  <si>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</si>
  <si>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</si>
  <si>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</si>
  <si>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</si>
  <si>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</si>
  <si>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</si>
  <si>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</si>
  <si>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</si>
  <si>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</si>
  <si>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</si>
  <si>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</si>
  <si>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</si>
  <si>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</si>
  <si>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</si>
  <si>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</si>
  <si>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</si>
  <si>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</si>
  <si>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</si>
  <si>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</si>
  <si>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</si>
  <si>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</si>
  <si>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</si>
  <si>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</si>
  <si>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</si>
  <si>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</si>
  <si>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</si>
  <si>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</si>
  <si>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</si>
  <si>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</si>
  <si>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</si>
  <si>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</si>
  <si>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</si>
  <si>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</si>
  <si>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</si>
  <si>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</si>
  <si>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</si>
  <si>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</si>
  <si>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</si>
  <si>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</si>
  <si>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</si>
  <si>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</si>
  <si>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</si>
  <si>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</si>
  <si>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</si>
  <si>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</si>
  <si>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</si>
  <si>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</si>
  <si>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</si>
  <si>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</si>
  <si>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</si>
  <si>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</si>
  <si>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</si>
  <si>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</si>
  <si>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</si>
  <si>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</si>
  <si>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</si>
  <si>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</si>
  <si>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</si>
  <si>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</si>
  <si>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</si>
  <si>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</si>
  <si>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</si>
  <si>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</si>
  <si>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</si>
  <si>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</si>
  <si>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</si>
  <si>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</si>
  <si>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</si>
  <si>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</si>
  <si>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</si>
  <si>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</si>
  <si>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</si>
  <si>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</si>
  <si>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</si>
  <si>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</si>
  <si>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</si>
  <si>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</si>
  <si>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</si>
  <si>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</si>
  <si>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</si>
  <si>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</si>
  <si>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</si>
  <si>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</si>
  <si>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</si>
  <si>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</si>
  <si>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</si>
  <si>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</si>
  <si>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</si>
  <si>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</si>
  <si>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</si>
  <si>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</si>
  <si>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</si>
  <si>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</si>
  <si>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</si>
  <si>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</si>
  <si>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</si>
  <si>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</si>
  <si>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</si>
  <si>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</si>
  <si>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</si>
  <si>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</si>
  <si>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</si>
  <si>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</si>
  <si>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</si>
  <si>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</si>
  <si>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</si>
  <si>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</si>
  <si>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</si>
  <si>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</si>
  <si>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</si>
  <si>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</si>
  <si>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</si>
  <si>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</si>
  <si>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</si>
  <si>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</si>
  <si>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</si>
  <si>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</si>
  <si>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</si>
  <si>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</si>
  <si>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</si>
  <si>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</si>
  <si>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</si>
  <si>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</si>
  <si>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</si>
  <si>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</si>
  <si>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</si>
  <si>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</si>
  <si>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</si>
  <si>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</si>
  <si>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</si>
  <si>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</si>
  <si>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</si>
  <si>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</si>
  <si>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</si>
  <si>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</si>
  <si>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</si>
  <si>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</si>
  <si>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</si>
  <si>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</si>
  <si>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</si>
  <si>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</si>
  <si>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</si>
  <si>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</si>
  <si>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</si>
  <si>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</si>
  <si>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</si>
  <si>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</si>
  <si>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</si>
  <si>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</si>
  <si>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</si>
  <si>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</si>
  <si>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</si>
  <si>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</si>
  <si>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</si>
  <si>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</si>
  <si>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</si>
  <si>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</si>
  <si>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</si>
  <si>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</si>
  <si>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</si>
  <si>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</si>
  <si>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</si>
  <si>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</si>
  <si>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</si>
  <si>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</si>
  <si>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</si>
  <si>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</si>
  <si>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</si>
  <si>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</si>
  <si>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</si>
  <si>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</si>
  <si>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</si>
  <si>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</si>
  <si>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</si>
  <si>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</si>
  <si>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</si>
  <si>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</si>
  <si>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</si>
  <si>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</si>
  <si>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</si>
  <si>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</si>
  <si>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</si>
  <si>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</si>
  <si>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</si>
  <si>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</si>
  <si>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</si>
  <si>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</si>
  <si>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</si>
  <si>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</si>
  <si>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</si>
  <si>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</si>
  <si>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</si>
  <si>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</si>
  <si>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</si>
  <si>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</si>
  <si>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</si>
  <si>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</si>
  <si>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</si>
  <si>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</si>
  <si>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</si>
  <si>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</si>
  <si>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</si>
  <si>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</si>
  <si>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</si>
  <si>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</si>
  <si>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</si>
  <si>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</si>
  <si>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</si>
  <si>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</si>
  <si>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</si>
  <si>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</si>
  <si>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</si>
  <si>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</si>
  <si>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</si>
  <si>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</si>
  <si>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</si>
  <si>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</si>
  <si>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</si>
  <si>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</si>
  <si>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</si>
  <si>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</si>
  <si>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</si>
  <si>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</si>
  <si>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</si>
  <si>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</si>
  <si>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</si>
  <si>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</si>
  <si>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</si>
  <si>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</si>
  <si>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</si>
  <si>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</si>
  <si>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</si>
  <si>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</si>
  <si>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</si>
  <si>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</si>
  <si>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</si>
  <si>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</si>
  <si>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</si>
  <si>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</si>
  <si>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</si>
  <si>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</si>
  <si>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</si>
  <si>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</si>
  <si>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</si>
  <si>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</si>
  <si>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</si>
  <si>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</si>
  <si>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</si>
  <si>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</si>
  <si>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</si>
  <si>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</si>
  <si>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</si>
  <si>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</si>
  <si>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</si>
  <si>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</si>
  <si>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</si>
  <si>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</si>
  <si>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</si>
  <si>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</si>
  <si>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</si>
  <si>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</si>
  <si>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</si>
  <si>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</si>
  <si>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</si>
  <si>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</si>
  <si>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</si>
  <si>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</si>
  <si>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</si>
  <si>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</si>
  <si>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</si>
  <si>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</si>
  <si>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</si>
  <si>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</si>
  <si>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</si>
  <si>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</si>
  <si>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</si>
  <si>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</si>
  <si>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</si>
  <si>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</si>
  <si>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</si>
  <si>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</si>
  <si>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</si>
  <si>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</si>
  <si>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</si>
  <si>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</si>
  <si>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</si>
  <si>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</si>
  <si>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</si>
  <si>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</si>
  <si>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</si>
  <si>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</si>
  <si>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</si>
  <si>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</si>
  <si>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</si>
  <si>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</si>
  <si>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</si>
  <si>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</si>
  <si>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</si>
  <si>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</si>
  <si>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</si>
  <si>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</si>
  <si>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</si>
  <si>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</si>
  <si>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</si>
  <si>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</si>
  <si>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</si>
  <si>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</si>
  <si>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</si>
  <si>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</si>
  <si>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</si>
  <si>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</si>
  <si>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</si>
  <si>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</si>
  <si>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</si>
  <si>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</si>
  <si>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</si>
  <si>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</si>
  <si>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</si>
  <si>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</si>
  <si>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</si>
  <si>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</si>
  <si>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</si>
  <si>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</si>
  <si>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</si>
  <si>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</si>
  <si>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</si>
  <si>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</si>
  <si>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</si>
  <si>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</si>
  <si>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</si>
  <si>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</si>
  <si>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</si>
  <si>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</si>
  <si>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</si>
  <si>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</si>
  <si>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</si>
  <si>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</si>
  <si>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</si>
  <si>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</si>
  <si>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</si>
  <si>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</si>
  <si>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</si>
  <si>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</si>
  <si>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</si>
  <si>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</si>
  <si>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</si>
  <si>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</si>
  <si>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</si>
  <si>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</si>
  <si>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</si>
  <si>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</si>
  <si>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</si>
  <si>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</si>
  <si>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</si>
  <si>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</si>
  <si>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</si>
  <si>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</si>
  <si>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</si>
  <si>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</si>
  <si>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</si>
  <si>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</si>
  <si>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</si>
  <si>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</si>
  <si>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</si>
  <si>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</si>
  <si>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</si>
  <si>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</si>
  <si>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</si>
  <si>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</si>
  <si>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</si>
  <si>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</si>
  <si>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</si>
  <si>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</si>
  <si>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</si>
  <si>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</si>
  <si>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</si>
  <si>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</si>
  <si>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</si>
  <si>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</si>
  <si>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</si>
  <si>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</si>
  <si>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</si>
  <si>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</si>
  <si>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</si>
  <si>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</si>
  <si>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</si>
  <si>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</si>
  <si>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</si>
  <si>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</si>
  <si>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</si>
  <si>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</si>
  <si>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</si>
  <si>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</si>
  <si>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</si>
  <si>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</si>
  <si>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</si>
  <si>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</si>
  <si>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</si>
  <si>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</si>
  <si>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</si>
  <si>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</si>
  <si>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</si>
  <si>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</si>
  <si>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</si>
  <si>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</si>
  <si>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</si>
  <si>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</si>
  <si>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</si>
  <si>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</si>
  <si>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</si>
  <si>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</si>
  <si>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</si>
  <si>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</si>
  <si>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</si>
  <si>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</si>
  <si>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</si>
  <si>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</si>
  <si>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</si>
  <si>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</si>
  <si>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</si>
  <si>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</si>
  <si>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</si>
  <si>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</si>
  <si>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</si>
  <si>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</si>
  <si>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</si>
  <si>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</si>
  <si>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</si>
  <si>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</si>
  <si>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</si>
  <si>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</si>
  <si>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</si>
  <si>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</si>
  <si>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</si>
  <si>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</si>
  <si>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</si>
  <si>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</si>
  <si>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</si>
  <si>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</si>
  <si>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</si>
  <si>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</si>
  <si>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</si>
  <si>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</si>
  <si>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</si>
  <si>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</si>
  <si>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</si>
  <si>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</si>
  <si>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</si>
  <si>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</si>
  <si>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</si>
  <si>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</si>
  <si>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</si>
  <si>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</si>
  <si>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</si>
  <si>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</si>
  <si>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</si>
  <si>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</si>
  <si>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</si>
  <si>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</si>
  <si>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</si>
  <si>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</si>
  <si>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</si>
  <si>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</si>
  <si>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</si>
  <si>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</si>
  <si>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</si>
  <si>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</si>
  <si>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</si>
  <si>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</si>
  <si>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</si>
  <si>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</si>
  <si>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</si>
  <si>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</si>
  <si>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</si>
  <si>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</si>
  <si>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</si>
  <si>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</si>
  <si>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</si>
  <si>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</si>
  <si>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</si>
  <si>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</si>
  <si>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</si>
  <si>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</si>
  <si>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</si>
  <si>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</si>
  <si>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</si>
  <si>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</si>
  <si>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</si>
  <si>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</si>
  <si>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</si>
  <si>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</si>
  <si>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</si>
  <si>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</si>
  <si>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</si>
  <si>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</si>
  <si>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</si>
  <si>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</si>
  <si>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</si>
  <si>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</si>
  <si>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</si>
  <si>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</si>
  <si>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</si>
  <si>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</si>
  <si>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</si>
  <si>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</si>
  <si>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</si>
  <si>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</si>
  <si>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</si>
  <si>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</si>
  <si>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</si>
  <si>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</si>
  <si>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</si>
  <si>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</si>
  <si>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</si>
  <si>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</si>
  <si>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</si>
  <si>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</si>
  <si>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</si>
  <si>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</si>
  <si>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</si>
  <si>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</si>
  <si>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</si>
  <si>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</si>
  <si>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</si>
  <si>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</si>
  <si>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</si>
  <si>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</si>
  <si>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</si>
  <si>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</si>
  <si>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</si>
  <si>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</si>
  <si>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</si>
  <si>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</si>
  <si>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</si>
  <si>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</si>
  <si>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</si>
  <si>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</si>
  <si>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</si>
  <si>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</si>
  <si>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</si>
  <si>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</si>
  <si>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</si>
  <si>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</si>
  <si>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</si>
  <si>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</si>
  <si>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</si>
  <si>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</si>
  <si>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</si>
  <si>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</si>
  <si>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</si>
  <si>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</si>
  <si>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</si>
  <si>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</si>
  <si>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</si>
  <si>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</si>
  <si>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</si>
  <si>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</si>
  <si>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</si>
  <si>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</si>
  <si>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</si>
  <si>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</si>
  <si>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</si>
  <si>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</si>
  <si>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</si>
  <si>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</si>
  <si>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</si>
  <si>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</si>
  <si>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</si>
  <si>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</si>
  <si>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</si>
  <si>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</si>
  <si>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</si>
  <si>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</si>
  <si>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</si>
  <si>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</si>
  <si>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</si>
  <si>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</si>
  <si>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</si>
  <si>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</si>
  <si>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</si>
  <si>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</si>
  <si>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</si>
  <si>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</si>
  <si>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</si>
  <si>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</si>
  <si>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</si>
  <si>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</si>
  <si>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</si>
  <si>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</si>
  <si>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</si>
  <si>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</si>
  <si>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</si>
  <si>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</si>
  <si>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</si>
  <si>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</si>
  <si>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</si>
  <si>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</si>
  <si>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</si>
  <si>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</si>
  <si>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</si>
  <si>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</si>
  <si>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</si>
  <si>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</si>
  <si>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</si>
  <si>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</si>
  <si>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</si>
  <si>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</si>
  <si>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</si>
  <si>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</si>
  <si>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</si>
  <si>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</si>
  <si>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</si>
  <si>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</si>
  <si>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</si>
  <si>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</si>
  <si>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</si>
  <si>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</si>
  <si>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</si>
  <si>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</si>
  <si>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</si>
  <si>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</si>
  <si>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</si>
  <si>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</si>
  <si>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</si>
  <si>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</si>
  <si>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</si>
  <si>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</si>
  <si>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</si>
  <si>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</si>
  <si>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</si>
  <si>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</si>
  <si>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</si>
  <si>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</si>
  <si>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</si>
  <si>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</si>
  <si>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</si>
  <si>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</si>
  <si>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</si>
  <si>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</si>
  <si>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</si>
  <si>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</si>
  <si>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</si>
  <si>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</si>
  <si>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</si>
  <si>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</si>
  <si>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</si>
  <si>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</si>
  <si>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</si>
  <si>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</si>
  <si>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</si>
  <si>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</si>
  <si>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</si>
  <si>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</si>
  <si>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</si>
  <si>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</si>
  <si>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</si>
  <si>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</si>
  <si>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</si>
  <si>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</si>
  <si>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</si>
  <si>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</si>
  <si>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</si>
  <si>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</si>
  <si>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</si>
  <si>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</si>
  <si>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</si>
  <si>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</si>
  <si>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</si>
  <si>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</si>
  <si>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</si>
  <si>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</si>
  <si>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</si>
  <si>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</si>
  <si>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</si>
  <si>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</si>
  <si>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</si>
  <si>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</si>
  <si>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</si>
  <si>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</si>
  <si>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</si>
  <si>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</si>
  <si>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</si>
  <si>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</si>
  <si>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</si>
  <si>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</si>
  <si>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</si>
  <si>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</si>
  <si>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</si>
  <si>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</si>
  <si>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</si>
  <si>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</si>
  <si>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</si>
  <si>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</si>
  <si>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</si>
  <si>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</si>
  <si>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</si>
  <si>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</si>
  <si>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</si>
  <si>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</si>
  <si>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</si>
  <si>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</si>
  <si>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</si>
  <si>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</si>
  <si>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</si>
  <si>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</si>
  <si>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</si>
  <si>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</si>
  <si>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</si>
  <si>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</si>
  <si>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</si>
  <si>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</si>
  <si>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</si>
  <si>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</si>
  <si>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</si>
  <si>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</si>
  <si>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</si>
  <si>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</si>
  <si>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</si>
  <si>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</si>
  <si>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</si>
  <si>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</si>
  <si>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</si>
  <si>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</si>
  <si>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</si>
  <si>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</si>
  <si>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</si>
  <si>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</si>
  <si>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</si>
  <si>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</si>
  <si>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</si>
  <si>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</si>
  <si>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</si>
  <si>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</si>
  <si>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</si>
  <si>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</si>
  <si>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</si>
  <si>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</si>
  <si>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</si>
  <si>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</si>
  <si>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</si>
  <si>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</si>
  <si>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</si>
  <si>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</si>
  <si>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</si>
  <si>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</si>
  <si>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</si>
  <si>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</si>
  <si>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</si>
  <si>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</si>
  <si>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</si>
  <si>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</si>
  <si>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</si>
  <si>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</si>
  <si>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</si>
  <si>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</si>
  <si>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</si>
  <si>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</si>
  <si>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</si>
  <si>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</si>
  <si>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</si>
  <si>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</si>
  <si>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</si>
  <si>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</si>
  <si>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</si>
  <si>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</si>
  <si>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</si>
  <si>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</si>
  <si>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</si>
  <si>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</si>
  <si>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</si>
  <si>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</si>
  <si>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</si>
  <si>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</si>
  <si>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</si>
  <si>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</si>
  <si>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</si>
  <si>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</si>
  <si>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</si>
  <si>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</si>
  <si>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</si>
  <si>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</si>
  <si>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</si>
  <si>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</si>
  <si>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</si>
  <si>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</si>
  <si>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</si>
  <si>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</si>
  <si>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</si>
  <si>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</si>
  <si>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</si>
  <si>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</si>
  <si>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</si>
  <si>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</si>
  <si>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</si>
  <si>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</si>
  <si>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</si>
  <si>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</si>
  <si>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</si>
  <si>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</si>
  <si>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</si>
  <si>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</si>
  <si>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</si>
  <si>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</si>
  <si>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</si>
  <si>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</si>
  <si>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</si>
  <si>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</si>
  <si>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</si>
  <si>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</si>
  <si>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</si>
  <si>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</si>
  <si>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</si>
  <si>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</si>
  <si>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</si>
  <si>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</si>
  <si>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</si>
  <si>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</si>
  <si>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</si>
  <si>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</si>
  <si>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</si>
  <si>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</si>
  <si>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</si>
  <si>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</si>
  <si>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</si>
  <si>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</si>
  <si>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</si>
  <si>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</si>
  <si>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</si>
  <si>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</si>
  <si>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</si>
  <si>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</si>
  <si>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</si>
  <si>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</si>
  <si>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</si>
  <si>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</si>
  <si>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</si>
  <si>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</si>
  <si>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</si>
  <si>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</si>
  <si>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</si>
  <si>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</si>
  <si>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</si>
  <si>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</si>
  <si>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</si>
  <si>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</si>
  <si>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</si>
  <si>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</si>
  <si>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</si>
  <si>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</si>
  <si>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</si>
  <si>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</si>
  <si>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</si>
  <si>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</si>
  <si>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</si>
  <si>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</si>
  <si>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</si>
  <si>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</si>
  <si>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</si>
  <si>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</si>
  <si>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</si>
  <si>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</si>
  <si>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</si>
  <si>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</si>
  <si>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</si>
  <si>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</si>
  <si>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</si>
  <si>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</si>
  <si>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</si>
  <si>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</si>
  <si>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</si>
  <si>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</si>
  <si>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</si>
  <si>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</si>
  <si>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</si>
  <si>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</si>
  <si>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</si>
  <si>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</si>
  <si>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</si>
  <si>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</si>
  <si>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</si>
  <si>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</si>
  <si>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</si>
  <si>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</si>
  <si>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</si>
  <si>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</si>
  <si>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</si>
  <si>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</si>
  <si>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</si>
  <si>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</si>
  <si>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</si>
  <si>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</si>
  <si>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</si>
  <si>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</si>
  <si>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</si>
  <si>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</si>
  <si>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</si>
  <si>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</si>
  <si>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</si>
  <si>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</si>
  <si>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</si>
  <si>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</si>
  <si>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</si>
  <si>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</si>
  <si>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</si>
  <si>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</si>
  <si>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</si>
  <si>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</si>
  <si>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</si>
  <si>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</si>
  <si>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</si>
  <si>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</si>
  <si>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</si>
  <si>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</si>
  <si>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</si>
  <si>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</si>
  <si>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</si>
  <si>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</si>
  <si>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</si>
  <si>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</si>
  <si>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</si>
  <si>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</si>
  <si>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</si>
  <si>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</si>
  <si>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</si>
  <si>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</si>
  <si>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</si>
  <si>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</si>
  <si>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</si>
  <si>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</si>
  <si>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</si>
  <si>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</si>
  <si>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</si>
  <si>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</si>
  <si>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</si>
  <si>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</si>
  <si>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</si>
  <si>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</si>
  <si>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</si>
  <si>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</si>
  <si>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</si>
  <si>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</si>
  <si>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</si>
  <si>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</si>
  <si>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</si>
  <si>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</si>
  <si>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</si>
  <si>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</si>
  <si>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</si>
  <si>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</si>
  <si>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</si>
  <si>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</si>
  <si>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</si>
  <si>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</si>
  <si>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</si>
  <si>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</si>
  <si>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</si>
  <si>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</si>
  <si>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</si>
  <si>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</si>
  <si>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</si>
  <si>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</si>
  <si>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</si>
  <si>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</si>
  <si>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</si>
  <si>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</si>
  <si>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</si>
  <si>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</si>
  <si>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</si>
  <si>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</si>
  <si>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</si>
  <si>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</si>
  <si>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</si>
  <si>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</si>
  <si>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</si>
  <si>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</si>
  <si>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</si>
  <si>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</si>
  <si>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</si>
  <si>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</si>
  <si>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</si>
  <si>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</si>
  <si>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</si>
  <si>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</si>
  <si>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</si>
  <si>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</si>
  <si>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</si>
  <si>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</si>
  <si>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</si>
  <si>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</si>
  <si>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</si>
  <si>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</si>
  <si>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</si>
  <si>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</si>
  <si>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</si>
  <si>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</si>
  <si>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</si>
  <si>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</si>
  <si>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</si>
  <si>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</si>
  <si>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</si>
  <si>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</si>
  <si>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</si>
  <si>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</si>
  <si>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</si>
  <si>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</si>
  <si>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</si>
  <si>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</si>
  <si>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</si>
  <si>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</si>
  <si>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</si>
  <si>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</si>
  <si>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</si>
  <si>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</si>
  <si>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</si>
  <si>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</si>
  <si>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</si>
  <si>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</si>
  <si>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</si>
  <si>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</si>
  <si>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</si>
  <si>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</si>
  <si>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</si>
  <si>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</si>
  <si>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</si>
  <si>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</si>
  <si>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</si>
  <si>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</si>
  <si>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</si>
  <si>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</si>
  <si>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</si>
  <si>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</si>
  <si>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</si>
  <si>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</si>
  <si>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</si>
  <si>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</si>
  <si>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</si>
  <si>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</si>
  <si>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</si>
  <si>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</si>
  <si>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</si>
  <si>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</si>
  <si>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</si>
  <si>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</si>
  <si>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</si>
  <si>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</si>
  <si>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</si>
  <si>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</si>
  <si>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</si>
  <si>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</si>
  <si>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</si>
  <si>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</si>
  <si>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</si>
  <si>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</si>
  <si>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</si>
  <si>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</si>
  <si>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</si>
  <si>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</si>
  <si>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</si>
  <si>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</si>
  <si>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</si>
  <si>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</si>
  <si>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</si>
  <si>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</si>
  <si>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</si>
  <si>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</si>
  <si>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</si>
  <si>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</si>
  <si>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</si>
  <si>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</si>
  <si>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</si>
  <si>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</si>
  <si>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</si>
  <si>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</si>
  <si>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</si>
  <si>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</si>
  <si>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</si>
  <si>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</si>
  <si>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</si>
  <si>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</si>
  <si>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</si>
  <si>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</si>
  <si>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</si>
  <si>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</si>
  <si>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</si>
  <si>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</si>
  <si>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</si>
  <si>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</si>
  <si>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</si>
  <si>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</si>
  <si>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</si>
  <si>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</si>
  <si>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</si>
  <si>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</si>
  <si>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</si>
  <si>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</si>
  <si>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</si>
  <si>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</si>
  <si>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</si>
  <si>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</si>
  <si>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</si>
  <si>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</si>
  <si>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</si>
  <si>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</si>
  <si>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</si>
  <si>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</si>
  <si>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</si>
  <si>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</si>
  <si>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</si>
  <si>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</si>
  <si>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</si>
  <si>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</si>
  <si>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</si>
  <si>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</si>
  <si>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</si>
  <si>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</si>
  <si>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</si>
  <si>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</si>
  <si>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</si>
  <si>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</si>
  <si>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</si>
  <si>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</si>
  <si>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</si>
  <si>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</si>
  <si>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</si>
  <si>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</si>
  <si>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</si>
  <si>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</si>
  <si>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</si>
  <si>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</si>
  <si>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</si>
  <si>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</si>
  <si>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</si>
  <si>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</si>
  <si>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</si>
  <si>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</si>
  <si>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</si>
  <si>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</si>
  <si>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</si>
  <si>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</si>
  <si>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</si>
  <si>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</si>
  <si>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</si>
  <si>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</si>
  <si>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</si>
  <si>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</si>
  <si>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</si>
  <si>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</si>
  <si>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</si>
  <si>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</si>
  <si>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</si>
  <si>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</si>
  <si>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</si>
  <si>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</si>
  <si>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</si>
  <si>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</si>
  <si>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</si>
  <si>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</si>
  <si>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</si>
  <si>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</si>
  <si>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</si>
  <si>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</si>
  <si>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</si>
  <si>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</si>
  <si>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</si>
  <si>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</si>
  <si>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</si>
  <si>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</si>
  <si>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</si>
  <si>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</si>
  <si>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</si>
  <si>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</si>
  <si>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</si>
  <si>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</si>
  <si>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</si>
  <si>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</si>
  <si>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</si>
  <si>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</si>
  <si>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</si>
  <si>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</si>
  <si>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</si>
  <si>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</si>
  <si>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</si>
  <si>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</si>
  <si>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</si>
  <si>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</si>
  <si>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</si>
  <si>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</si>
  <si>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</si>
  <si>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</si>
  <si>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</si>
  <si>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</si>
  <si>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</si>
  <si>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</si>
  <si>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</si>
  <si>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</si>
  <si>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</si>
  <si>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</si>
  <si>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</si>
  <si>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</si>
  <si>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</si>
  <si>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</si>
  <si>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</si>
  <si>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</si>
  <si>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</si>
  <si>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</si>
  <si>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</si>
  <si>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</si>
  <si>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</si>
  <si>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</si>
  <si>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</si>
  <si>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</si>
  <si>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</si>
  <si>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</si>
  <si>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</si>
  <si>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</si>
  <si>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</si>
  <si>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</si>
  <si>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</si>
  <si>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</si>
  <si>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</si>
  <si>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</si>
  <si>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</si>
  <si>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</si>
  <si>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</si>
  <si>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</si>
  <si>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</si>
  <si>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</si>
  <si>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</si>
  <si>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</si>
  <si>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</si>
  <si>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</si>
  <si>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</si>
  <si>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</si>
  <si>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</si>
  <si>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</si>
  <si>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</si>
  <si>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</si>
  <si>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</si>
  <si>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</si>
  <si>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</si>
  <si>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</si>
  <si>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</si>
  <si>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</si>
  <si>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</si>
  <si>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</si>
  <si>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</si>
  <si>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</si>
  <si>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</si>
  <si>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</si>
  <si>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</si>
  <si>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</si>
  <si>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</si>
  <si>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</si>
  <si>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</si>
  <si>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</si>
  <si>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</si>
  <si>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</si>
  <si>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</si>
  <si>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</si>
  <si>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</si>
  <si>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</si>
  <si>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</si>
  <si>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</si>
  <si>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</si>
  <si>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</si>
  <si>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</si>
  <si>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</si>
  <si>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</si>
  <si>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</si>
  <si>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</si>
  <si>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</si>
  <si>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</si>
  <si>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</si>
  <si>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</si>
  <si>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</si>
  <si>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</si>
  <si>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</si>
  <si>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</si>
  <si>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</si>
  <si>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</si>
  <si>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</si>
  <si>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</si>
  <si>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</si>
  <si>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</si>
  <si>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</si>
  <si>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</si>
  <si>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</si>
  <si>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</si>
  <si>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</si>
  <si>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</si>
  <si>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</si>
  <si>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</si>
  <si>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</si>
  <si>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</si>
  <si>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</si>
  <si>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</si>
  <si>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</si>
  <si>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</si>
  <si>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</si>
  <si>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</si>
  <si>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</si>
  <si>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</si>
  <si>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</si>
  <si>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</si>
  <si>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</si>
  <si>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</si>
  <si>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</si>
  <si>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</si>
  <si>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</si>
  <si>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</si>
  <si>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</si>
  <si>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</si>
  <si>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</si>
  <si>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</si>
  <si>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</si>
  <si>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</si>
  <si>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</si>
  <si>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</si>
  <si>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</si>
  <si>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</si>
  <si>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</si>
  <si>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</si>
  <si>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</si>
  <si>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</si>
  <si>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</si>
  <si>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</si>
  <si>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</si>
  <si>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</si>
  <si>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</si>
  <si>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</si>
  <si>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</si>
  <si>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</si>
  <si>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</si>
  <si>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</si>
  <si>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</si>
  <si>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</si>
  <si>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</si>
  <si>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</si>
  <si>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</si>
  <si>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</si>
  <si>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</si>
  <si>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</si>
  <si>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</si>
  <si>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</si>
  <si>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</si>
  <si>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</si>
  <si>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</si>
  <si>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</si>
  <si>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</si>
  <si>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</si>
  <si>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</si>
  <si>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</si>
  <si>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</si>
  <si>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</si>
  <si>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</si>
  <si>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</si>
  <si>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</si>
  <si>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</si>
  <si>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</si>
  <si>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</si>
  <si>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</si>
  <si>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</si>
  <si>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</si>
  <si>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</si>
  <si>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</si>
  <si>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</si>
  <si>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</si>
  <si>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</si>
  <si>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</si>
  <si>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</si>
  <si>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</si>
  <si>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</si>
  <si>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</si>
  <si>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</si>
  <si>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</si>
  <si>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</si>
  <si>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</si>
  <si>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</si>
  <si>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</si>
  <si>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</si>
  <si>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</si>
  <si>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</si>
  <si>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</si>
  <si>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</si>
  <si>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</si>
  <si>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</si>
  <si>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</si>
  <si>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</si>
  <si>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</si>
  <si>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</si>
  <si>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</si>
  <si>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</si>
  <si>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</si>
  <si>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</si>
  <si>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</si>
  <si>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</si>
  <si>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</si>
  <si>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</si>
  <si>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</si>
  <si>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</si>
  <si>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</si>
  <si>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</si>
  <si>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</si>
  <si>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</si>
  <si>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</si>
  <si>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</si>
  <si>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</si>
  <si>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</si>
  <si>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</si>
  <si>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</si>
  <si>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</si>
  <si>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</si>
  <si>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</si>
  <si>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</si>
  <si>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</si>
  <si>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</si>
  <si>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</si>
  <si>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</si>
  <si>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</si>
  <si>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</si>
  <si>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</si>
  <si>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</si>
  <si>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</si>
  <si>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</si>
  <si>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</si>
  <si>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</si>
  <si>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</si>
  <si>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</si>
  <si>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</si>
  <si>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</si>
  <si>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</si>
  <si>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</si>
  <si>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</si>
  <si>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</si>
  <si>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</si>
  <si>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</si>
  <si>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</si>
  <si>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</si>
  <si>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</si>
  <si>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</si>
  <si>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</si>
  <si>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</si>
  <si>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</si>
  <si>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</si>
  <si>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</si>
  <si>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</si>
  <si>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</si>
  <si>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</si>
  <si>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</si>
  <si>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</si>
  <si>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</si>
  <si>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</si>
  <si>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</si>
  <si>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</si>
  <si>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</si>
  <si>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</si>
  <si>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</si>
  <si>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</si>
  <si>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</si>
  <si>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</si>
  <si>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</si>
  <si>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</si>
  <si>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</si>
  <si>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</si>
  <si>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</si>
  <si>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</si>
  <si>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</si>
  <si>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</si>
  <si>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</si>
  <si>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</si>
  <si>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</si>
  <si>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</si>
  <si>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</si>
  <si>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</si>
  <si>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</si>
  <si>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</si>
  <si>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</si>
  <si>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</si>
  <si>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</si>
  <si>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</si>
  <si>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</si>
  <si>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</si>
  <si>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</si>
  <si>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</si>
  <si>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</si>
  <si>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</si>
  <si>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</si>
  <si>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</si>
  <si>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</si>
  <si>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</si>
  <si>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</si>
  <si>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</si>
  <si>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</si>
  <si>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</si>
  <si>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</si>
  <si>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</si>
  <si>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</si>
  <si>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</si>
  <si>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</si>
  <si>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</si>
  <si>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</si>
  <si>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</si>
  <si>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</si>
  <si>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</si>
  <si>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</si>
  <si>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</si>
  <si>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</si>
  <si>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</si>
  <si>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</si>
  <si>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</si>
  <si>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</si>
  <si>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</si>
  <si>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</si>
  <si>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</si>
  <si>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</si>
  <si>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</si>
  <si>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</si>
  <si>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</si>
  <si>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</si>
  <si>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</si>
  <si>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</si>
  <si>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</si>
  <si>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</si>
  <si>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</si>
  <si>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</si>
  <si>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</si>
  <si>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</si>
  <si>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</si>
  <si>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</si>
  <si>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</si>
  <si>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</si>
  <si>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</si>
  <si>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</si>
  <si>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</si>
  <si>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</si>
  <si>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</si>
  <si>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</si>
  <si>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</si>
  <si>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</si>
  <si>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</si>
  <si>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</si>
  <si>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</si>
  <si>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</si>
  <si>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</si>
  <si>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</si>
  <si>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</si>
  <si>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</si>
  <si>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</si>
  <si>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</si>
  <si>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</si>
  <si>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</si>
  <si>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</si>
  <si>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</si>
  <si>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</si>
  <si>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</si>
  <si>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</si>
  <si>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</si>
  <si>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</si>
  <si>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</si>
  <si>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</si>
  <si>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</si>
  <si>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</si>
  <si>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</si>
  <si>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</si>
  <si>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</si>
  <si>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</si>
  <si>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</si>
  <si>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</si>
  <si>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</si>
  <si>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</si>
  <si>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</si>
  <si>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</si>
  <si>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</si>
  <si>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</si>
  <si>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</si>
  <si>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</si>
  <si>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</si>
  <si>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</si>
  <si>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</si>
  <si>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</si>
  <si>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</si>
  <si>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</si>
  <si>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</si>
  <si>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</si>
  <si>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</si>
  <si>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</si>
  <si>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</si>
  <si>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</si>
  <si>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</si>
  <si>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</si>
  <si>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</si>
  <si>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</si>
  <si>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</si>
  <si>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</si>
  <si>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</si>
  <si>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</si>
  <si>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</si>
  <si>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</si>
  <si>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</si>
  <si>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</si>
  <si>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</si>
  <si>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</si>
  <si>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</si>
  <si>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</si>
  <si>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</si>
  <si>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</si>
  <si>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</si>
  <si>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</si>
  <si>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</si>
  <si>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</si>
  <si>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</si>
  <si>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</si>
  <si>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</si>
  <si>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</si>
  <si>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</si>
  <si>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</si>
  <si>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</si>
  <si>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</si>
  <si>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</si>
  <si>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</si>
  <si>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</si>
  <si>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</si>
  <si>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</si>
  <si>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</si>
  <si>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</si>
  <si>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</si>
  <si>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</si>
  <si>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</si>
  <si>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</si>
  <si>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</si>
  <si>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</si>
  <si>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</si>
  <si>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</si>
  <si>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</si>
  <si>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</si>
  <si>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</si>
  <si>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</si>
  <si>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</si>
  <si>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</si>
  <si>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</si>
  <si>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</si>
  <si>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</si>
  <si>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</si>
  <si>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</si>
  <si>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</si>
  <si>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</si>
  <si>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</si>
  <si>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</si>
  <si>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</si>
  <si>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</si>
  <si>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</si>
  <si>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</si>
  <si>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</si>
  <si>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</si>
  <si>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</si>
  <si>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</si>
  <si>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</si>
  <si>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</si>
  <si>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</si>
  <si>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</si>
  <si>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</si>
  <si>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</si>
  <si>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</si>
  <si>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</si>
  <si>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</si>
  <si>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</si>
  <si>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</si>
  <si>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</si>
  <si>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</si>
  <si>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</si>
  <si>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</si>
  <si>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</si>
  <si>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</si>
  <si>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</si>
  <si>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</si>
  <si>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</si>
  <si>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</si>
  <si>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</si>
  <si>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</si>
  <si>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</si>
  <si>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</si>
  <si>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</si>
  <si>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</si>
  <si>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</si>
  <si>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</si>
  <si>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</si>
  <si>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</si>
  <si>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</si>
  <si>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</si>
  <si>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</si>
  <si>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</si>
  <si>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</si>
  <si>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</si>
  <si>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</si>
  <si>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</si>
  <si>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</si>
  <si>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</si>
  <si>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</si>
  <si>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</si>
  <si>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</si>
  <si>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</si>
  <si>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</si>
  <si>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</si>
  <si>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</si>
  <si>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</si>
  <si>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</si>
  <si>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</si>
  <si>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</si>
  <si>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</si>
  <si>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</si>
  <si>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</si>
  <si>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</si>
  <si>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</si>
  <si>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</si>
  <si>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</si>
  <si>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</si>
  <si>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</si>
  <si>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</si>
  <si>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</si>
  <si>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</si>
  <si>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</si>
  <si>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</si>
  <si>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</si>
  <si>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</si>
  <si>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</si>
  <si>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</si>
  <si>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</si>
  <si>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</si>
  <si>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</si>
  <si>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</si>
  <si>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</si>
  <si>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</si>
  <si>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</si>
  <si>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</si>
  <si>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</si>
  <si>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</si>
  <si>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</si>
  <si>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</si>
  <si>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</si>
  <si>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</si>
  <si>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</si>
  <si>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</si>
  <si>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</si>
  <si>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</si>
  <si>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</si>
  <si>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</si>
  <si>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</si>
  <si>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</si>
  <si>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</si>
  <si>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</si>
  <si>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</si>
  <si>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</si>
  <si>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</si>
  <si>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</si>
  <si>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</si>
  <si>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</si>
  <si>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</si>
  <si>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</si>
  <si>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</si>
  <si>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</si>
  <si>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</si>
  <si>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</si>
  <si>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</si>
  <si>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</si>
  <si>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</si>
  <si>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</si>
  <si>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</si>
  <si>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</si>
  <si>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</si>
  <si>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</si>
  <si>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</si>
  <si>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</si>
  <si>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</si>
  <si>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</si>
  <si>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</si>
  <si>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</si>
  <si>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</si>
  <si>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</si>
  <si>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</si>
  <si>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</si>
  <si>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</si>
  <si>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</si>
  <si>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</si>
  <si>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</si>
  <si>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</si>
  <si>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</si>
  <si>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</si>
  <si>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</si>
  <si>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</si>
  <si>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</si>
  <si>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</si>
  <si>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</si>
  <si>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</si>
  <si>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</si>
  <si>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</si>
  <si>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</si>
  <si>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</si>
  <si>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</si>
  <si>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</si>
  <si>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</si>
  <si>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</si>
  <si>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</si>
  <si>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</si>
  <si>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</si>
  <si>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</si>
  <si>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</si>
  <si>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</si>
  <si>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</si>
  <si>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</si>
  <si>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</si>
  <si>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</si>
  <si>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</si>
  <si>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</si>
  <si>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</si>
  <si>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</si>
  <si>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</si>
  <si>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</si>
  <si>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</si>
  <si>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</si>
  <si>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</si>
  <si>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</si>
  <si>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</si>
  <si>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</si>
  <si>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</si>
  <si>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</si>
  <si>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</si>
  <si>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</si>
  <si>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</si>
  <si>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</si>
  <si>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</si>
  <si>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</si>
  <si>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</si>
  <si>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</si>
  <si>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</si>
  <si>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</si>
  <si>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</si>
  <si>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</si>
  <si>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</si>
  <si>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</si>
  <si>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</si>
  <si>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</si>
  <si>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</si>
  <si>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</si>
  <si>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</si>
  <si>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</si>
  <si>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</si>
  <si>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</si>
  <si>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</si>
  <si>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</si>
  <si>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</si>
  <si>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</si>
  <si>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</si>
  <si>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</si>
  <si>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</si>
  <si>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</si>
  <si>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</si>
  <si>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</si>
  <si>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</si>
  <si>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</si>
  <si>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</si>
  <si>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</si>
  <si>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</si>
  <si>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</si>
  <si>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</si>
  <si>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</si>
  <si>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</si>
  <si>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</si>
  <si>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</si>
  <si>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</si>
  <si>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</si>
  <si>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</si>
  <si>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</si>
  <si>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</si>
  <si>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</si>
  <si>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</si>
  <si>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</si>
  <si>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</si>
  <si>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</si>
  <si>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</si>
  <si>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</si>
  <si>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</si>
  <si>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</si>
  <si>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</si>
  <si>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</si>
  <si>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</si>
  <si>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</si>
  <si>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</si>
  <si>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</si>
  <si>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</si>
  <si>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</si>
  <si>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</si>
  <si>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</si>
  <si>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</si>
  <si>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</si>
  <si>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</si>
  <si>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</si>
  <si>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</si>
  <si>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</si>
  <si>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</si>
  <si>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</si>
  <si>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</si>
  <si>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</si>
  <si>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</si>
  <si>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</si>
  <si>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</si>
  <si>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</si>
  <si>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</si>
  <si>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</si>
  <si>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</si>
  <si>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</si>
  <si>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</si>
  <si>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</si>
  <si>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</si>
  <si>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</si>
  <si>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</si>
  <si>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</si>
  <si>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</si>
  <si>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</si>
  <si>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</si>
  <si>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</si>
  <si>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</si>
  <si>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</si>
  <si>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</si>
  <si>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</si>
  <si>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</si>
  <si>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</si>
  <si>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</si>
  <si>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</si>
  <si>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</si>
  <si>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</si>
  <si>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</si>
  <si>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</si>
  <si>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</si>
  <si>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</si>
  <si>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</si>
  <si>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</si>
  <si>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</si>
  <si>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</si>
  <si>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</si>
  <si>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</si>
  <si>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</si>
  <si>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</si>
  <si>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</si>
  <si>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</si>
  <si>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</si>
  <si>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</si>
  <si>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</si>
  <si>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</si>
  <si>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</si>
  <si>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</si>
  <si>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</si>
  <si>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</si>
  <si>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</si>
  <si>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</si>
  <si>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</si>
  <si>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</si>
  <si>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</si>
  <si>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</si>
  <si>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</si>
  <si>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</si>
  <si>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</si>
  <si>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</si>
  <si>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</si>
  <si>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</si>
  <si>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</si>
  <si>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</si>
  <si>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</si>
  <si>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</si>
  <si>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</si>
  <si>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</si>
  <si>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</si>
  <si>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</si>
  <si>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</si>
  <si>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</si>
  <si>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</si>
  <si>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</si>
  <si>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</si>
  <si>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</si>
  <si>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</si>
  <si>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</si>
  <si>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</si>
  <si>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</si>
  <si>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</si>
  <si>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</si>
  <si>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</si>
  <si>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</si>
  <si>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</si>
  <si>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</si>
  <si>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</si>
  <si>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</si>
  <si>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</si>
  <si>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</si>
  <si>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</si>
  <si>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</si>
  <si>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</si>
  <si>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</si>
  <si>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</si>
  <si>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</si>
  <si>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</si>
  <si>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</si>
  <si>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</si>
  <si>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</si>
  <si>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</si>
  <si>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</si>
  <si>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</si>
  <si>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</si>
  <si>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</si>
  <si>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</si>
  <si>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</si>
  <si>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</si>
  <si>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</si>
  <si>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</si>
  <si>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</si>
  <si>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</si>
  <si>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</si>
  <si>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</si>
  <si>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</si>
  <si>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</si>
  <si>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</si>
  <si>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</si>
  <si>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</si>
  <si>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</si>
  <si>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</si>
  <si>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</si>
  <si>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</si>
  <si>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</si>
  <si>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</si>
  <si>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</si>
  <si>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</si>
  <si>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</si>
  <si>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</si>
  <si>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</si>
  <si>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</si>
  <si>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</si>
  <si>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</si>
  <si>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</si>
  <si>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</si>
  <si>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</si>
  <si>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</si>
  <si>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</si>
  <si>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</si>
  <si>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</si>
  <si>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</si>
  <si>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</si>
  <si>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</si>
  <si>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</si>
  <si>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</si>
  <si>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</si>
  <si>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</si>
  <si>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</si>
  <si>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</si>
  <si>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</si>
  <si>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</si>
  <si>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</si>
  <si>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</si>
  <si>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</si>
  <si>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</si>
  <si>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</si>
  <si>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</si>
  <si>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</si>
  <si>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</si>
  <si>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</si>
  <si>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</si>
  <si>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</si>
  <si>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</si>
  <si>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</si>
  <si>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</si>
  <si>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</si>
  <si>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</si>
  <si>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</si>
  <si>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</si>
  <si>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</si>
  <si>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</si>
  <si>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</si>
  <si>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</si>
  <si>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</si>
  <si>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</si>
  <si>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</si>
  <si>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</si>
  <si>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</si>
  <si>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</si>
  <si>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</si>
  <si>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</si>
  <si>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</si>
  <si>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</si>
  <si>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</si>
  <si>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</si>
  <si>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</si>
  <si>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</si>
  <si>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</si>
  <si>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</si>
  <si>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</si>
  <si>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</si>
  <si>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</si>
  <si>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</si>
  <si>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</si>
  <si>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</si>
  <si>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</si>
  <si>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</si>
  <si>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</si>
  <si>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</si>
  <si>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</si>
  <si>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</si>
  <si>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</si>
  <si>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</si>
  <si>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</si>
  <si>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</si>
  <si>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</si>
  <si>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</si>
  <si>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</si>
  <si>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</si>
  <si>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</si>
  <si>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</si>
  <si>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</si>
  <si>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</si>
  <si>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</si>
  <si>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</si>
  <si>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</si>
  <si>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</si>
  <si>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</si>
  <si>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</si>
  <si>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</si>
  <si>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</si>
  <si>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</si>
  <si>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</si>
  <si>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</si>
  <si>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</si>
  <si>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</si>
  <si>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</si>
  <si>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</si>
  <si>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</si>
  <si>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</si>
  <si>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</si>
  <si>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</si>
  <si>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</si>
  <si>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</si>
  <si>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</si>
  <si>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</si>
  <si>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</si>
  <si>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</si>
  <si>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</si>
  <si>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</si>
  <si>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</si>
  <si>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</si>
  <si>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</si>
  <si>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</si>
  <si>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</si>
  <si>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</si>
  <si>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</si>
  <si>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</si>
  <si>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</si>
  <si>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</si>
  <si>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</si>
  <si>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</si>
  <si>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</si>
  <si>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</si>
  <si>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</si>
  <si>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</si>
  <si>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</si>
  <si>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</si>
  <si>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</si>
  <si>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</si>
  <si>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</si>
  <si>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</si>
  <si>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</si>
  <si>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</si>
  <si>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</si>
  <si>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</si>
  <si>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</si>
  <si>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</si>
  <si>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</si>
  <si>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</si>
  <si>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</si>
  <si>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</si>
  <si>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</si>
  <si>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</si>
  <si>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</si>
  <si>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</si>
  <si>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</si>
  <si>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</si>
  <si>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</si>
  <si>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</si>
  <si>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</si>
  <si>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</si>
  <si>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</si>
  <si>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</si>
  <si>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</si>
  <si>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</si>
  <si>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</si>
  <si>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</si>
  <si>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</si>
  <si>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</si>
  <si>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</si>
  <si>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</si>
  <si>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</si>
  <si>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</si>
  <si>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</si>
  <si>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</si>
  <si>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</si>
  <si>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</si>
  <si>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</si>
  <si>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</si>
  <si>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</si>
  <si>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</si>
  <si>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</si>
  <si>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</si>
  <si>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</si>
  <si>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</si>
  <si>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</si>
  <si>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</si>
  <si>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</si>
  <si>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</si>
  <si>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</si>
  <si>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</si>
  <si>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</si>
  <si>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</si>
  <si>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</si>
  <si>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</si>
  <si>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</si>
  <si>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</si>
  <si>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</si>
  <si>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</si>
  <si>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</si>
  <si>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</si>
  <si>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</si>
  <si>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</si>
  <si>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</si>
  <si>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</si>
  <si>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</si>
  <si>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</si>
  <si>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</si>
  <si>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</si>
  <si>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</si>
  <si>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</si>
  <si>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</si>
  <si>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</si>
  <si>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</si>
  <si>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</si>
  <si>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</si>
  <si>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</si>
  <si>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</si>
  <si>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</si>
  <si>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</si>
  <si>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</si>
  <si>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</si>
  <si>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</si>
  <si>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</si>
  <si>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</si>
  <si>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</si>
  <si>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</si>
  <si>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</si>
  <si>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</si>
  <si>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</si>
  <si>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</si>
  <si>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</si>
  <si>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</si>
  <si>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</si>
  <si>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</si>
  <si>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</si>
  <si>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</si>
  <si>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</si>
  <si>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</si>
  <si>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</si>
  <si>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</si>
  <si>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</si>
  <si>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</si>
  <si>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</si>
  <si>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</si>
  <si>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</si>
  <si>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</si>
  <si>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</si>
  <si>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</si>
  <si>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</si>
  <si>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</si>
  <si>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</si>
  <si>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</si>
  <si>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</si>
  <si>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</si>
  <si>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</si>
  <si>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</si>
  <si>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</si>
  <si>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</si>
  <si>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</si>
  <si>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</si>
  <si>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</si>
  <si>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</si>
  <si>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</si>
  <si>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</si>
  <si>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</si>
  <si>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</si>
  <si>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</si>
  <si>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</si>
  <si>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</si>
  <si>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</si>
  <si>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</si>
  <si>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</si>
  <si>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</si>
  <si>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</si>
  <si>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</si>
  <si>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</si>
  <si>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</si>
  <si>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</si>
  <si>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</si>
  <si>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</si>
  <si>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</si>
  <si>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</si>
  <si>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</si>
  <si>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</si>
  <si>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</si>
  <si>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</si>
  <si>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</si>
  <si>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</si>
  <si>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</si>
  <si>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</si>
  <si>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</si>
  <si>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</si>
  <si>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</si>
  <si>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</si>
  <si>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</si>
  <si>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</si>
  <si>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</si>
  <si>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</si>
  <si>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</si>
  <si>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</si>
  <si>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</si>
  <si>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</si>
  <si>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</si>
  <si>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</si>
  <si>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</si>
  <si>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</si>
  <si>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</si>
  <si>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</si>
  <si>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</si>
  <si>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</si>
  <si>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</si>
  <si>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</si>
  <si>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</si>
  <si>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</si>
  <si>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</si>
  <si>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</si>
  <si>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</si>
  <si>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</si>
  <si>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</si>
  <si>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</si>
  <si>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</si>
  <si>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</si>
  <si>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</si>
  <si>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</si>
  <si>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</si>
  <si>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</si>
  <si>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</si>
  <si>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</si>
  <si>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</si>
  <si>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</si>
  <si>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</si>
  <si>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</si>
  <si>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</si>
  <si>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</si>
  <si>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</si>
  <si>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</si>
  <si>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</si>
  <si>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</si>
  <si>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</si>
  <si>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</si>
  <si>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</si>
  <si>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</si>
  <si>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</si>
  <si>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</si>
  <si>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</si>
  <si>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</si>
  <si>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</si>
  <si>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</si>
  <si>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</si>
  <si>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</si>
  <si>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</si>
  <si>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</si>
  <si>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</si>
  <si>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</si>
  <si>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</si>
  <si>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</si>
  <si>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</si>
  <si>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</si>
  <si>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</si>
  <si>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</si>
  <si>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</si>
  <si>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</si>
  <si>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</si>
  <si>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</si>
  <si>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</si>
  <si>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</si>
  <si>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</si>
  <si>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</si>
  <si>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</si>
  <si>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</si>
  <si>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</si>
  <si>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</si>
  <si>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</si>
  <si>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</si>
  <si>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</si>
  <si>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</si>
  <si>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</si>
  <si>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</si>
  <si>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</si>
  <si>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</si>
  <si>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</si>
  <si>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</si>
  <si>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</si>
  <si>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</si>
  <si>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</si>
  <si>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</si>
  <si>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</si>
  <si>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</si>
  <si>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</si>
  <si>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</si>
  <si>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</si>
  <si>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</si>
  <si>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</si>
  <si>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</si>
  <si>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</si>
  <si>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</si>
  <si>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</si>
  <si>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</si>
  <si>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</si>
  <si>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</si>
  <si>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</si>
  <si>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</si>
  <si>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</si>
  <si>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</si>
  <si>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</si>
  <si>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</si>
  <si>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</si>
  <si>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</si>
  <si>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</si>
  <si>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</si>
  <si>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</si>
  <si>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</si>
  <si>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</si>
  <si>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</si>
  <si>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</si>
  <si>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</si>
  <si>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</si>
  <si>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</si>
  <si>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</si>
  <si>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</si>
  <si>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</si>
  <si>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</si>
  <si>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</si>
  <si>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</si>
  <si>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</si>
  <si>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</si>
  <si>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</si>
  <si>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</si>
  <si>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</si>
  <si>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</si>
  <si>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</si>
  <si>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</si>
  <si>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</si>
  <si>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</si>
  <si>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</si>
  <si>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</si>
  <si>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</si>
  <si>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</si>
  <si>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</si>
  <si>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</si>
  <si>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</si>
  <si>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</si>
  <si>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</si>
  <si>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</si>
  <si>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</si>
  <si>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</si>
  <si>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</si>
  <si>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</si>
  <si>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</si>
  <si>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</si>
  <si>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</si>
  <si>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</si>
  <si>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</si>
  <si>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</si>
  <si>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</si>
  <si>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</si>
  <si>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</si>
  <si>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</si>
  <si>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</si>
  <si>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</si>
  <si>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</si>
  <si>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</si>
  <si>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</si>
  <si>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</si>
  <si>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</si>
  <si>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</si>
  <si>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</si>
  <si>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</si>
  <si>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</si>
  <si>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</si>
  <si>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</si>
  <si>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</si>
  <si>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</si>
  <si>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</si>
  <si>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</si>
  <si>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</si>
  <si>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</si>
  <si>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</si>
  <si>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</si>
  <si>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</si>
  <si>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</si>
  <si>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</si>
  <si>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</si>
  <si>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</si>
  <si>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</si>
  <si>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</si>
  <si>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</si>
  <si>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</si>
  <si>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</si>
  <si>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</si>
  <si>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</si>
  <si>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</si>
  <si>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</si>
  <si>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</si>
  <si>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</si>
  <si>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</si>
  <si>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</si>
  <si>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</si>
  <si>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</si>
  <si>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</si>
  <si>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</si>
  <si>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</si>
  <si>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</si>
  <si>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</si>
  <si>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</si>
  <si>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</si>
  <si>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</si>
  <si>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</si>
  <si>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</si>
  <si>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</si>
  <si>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</si>
  <si>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</si>
  <si>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</si>
  <si>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</si>
  <si>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</si>
  <si>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</si>
  <si>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</si>
  <si>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</si>
  <si>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</si>
  <si>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</si>
  <si>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</si>
  <si>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</si>
  <si>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</si>
  <si>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</si>
  <si>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</si>
  <si>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</si>
  <si>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</si>
  <si>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</si>
  <si>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</si>
  <si>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</si>
  <si>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</si>
  <si>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</si>
  <si>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</si>
  <si>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</si>
  <si>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</si>
  <si>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</si>
  <si>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</si>
  <si>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</si>
  <si>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</si>
  <si>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</si>
  <si>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</si>
  <si>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</si>
  <si>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</si>
  <si>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</si>
  <si>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</si>
  <si>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</si>
  <si>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</si>
  <si>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</si>
  <si>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</si>
  <si>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</si>
  <si>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</si>
  <si>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</si>
  <si>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</si>
  <si>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</si>
  <si>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</si>
  <si>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</si>
  <si>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</si>
  <si>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</si>
  <si>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</si>
  <si>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</si>
  <si>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</si>
  <si>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</si>
  <si>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</si>
  <si>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</si>
  <si>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</si>
  <si>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</si>
  <si>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</si>
  <si>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</si>
  <si>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</si>
  <si>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</si>
  <si>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</si>
  <si>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</si>
  <si>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</si>
  <si>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</si>
  <si>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</si>
  <si>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</si>
  <si>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</si>
  <si>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</si>
  <si>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</si>
  <si>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</si>
  <si>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</si>
  <si>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</si>
  <si>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</si>
  <si>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</si>
  <si>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</si>
  <si>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</si>
  <si>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</si>
  <si>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</si>
  <si>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</si>
  <si>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</si>
  <si>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</si>
  <si>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</si>
  <si>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</si>
  <si>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</si>
  <si>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</si>
  <si>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</si>
  <si>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</si>
  <si>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</si>
  <si>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</si>
  <si>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</si>
  <si>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</si>
  <si>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</si>
  <si>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</si>
  <si>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</si>
  <si>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</si>
  <si>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</si>
  <si>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</si>
  <si>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</si>
  <si>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</si>
  <si>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</si>
  <si>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</si>
  <si>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</si>
  <si>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</si>
  <si>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</si>
  <si>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</si>
  <si>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</si>
  <si>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</si>
  <si>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</si>
  <si>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</si>
  <si>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</si>
  <si>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</si>
  <si>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</si>
  <si>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</si>
  <si>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</si>
  <si>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</si>
  <si>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</si>
  <si>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</si>
  <si>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</si>
  <si>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</si>
  <si>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</si>
  <si>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</si>
  <si>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</si>
  <si>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</si>
  <si>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</si>
  <si>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</si>
  <si>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</si>
  <si>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</si>
  <si>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</si>
  <si>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</si>
  <si>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</si>
  <si>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</si>
  <si>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</si>
  <si>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</si>
  <si>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</si>
  <si>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</si>
  <si>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</si>
  <si>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</si>
  <si>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</si>
  <si>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</si>
  <si>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</si>
  <si>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</si>
  <si>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</si>
  <si>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</si>
  <si>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</si>
  <si>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</si>
  <si>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</si>
  <si>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</si>
  <si>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</si>
  <si>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</si>
  <si>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</si>
  <si>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</si>
  <si>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</si>
  <si>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</si>
  <si>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</si>
  <si>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</si>
  <si>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</si>
  <si>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</si>
  <si>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</si>
  <si>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</si>
  <si>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</si>
  <si>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</si>
  <si>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</si>
  <si>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</si>
  <si>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</si>
  <si>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</si>
  <si>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</si>
  <si>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</si>
  <si>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</si>
  <si>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</si>
  <si>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</si>
  <si>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</si>
  <si>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</si>
  <si>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</si>
  <si>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</si>
  <si>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</si>
  <si>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</si>
  <si>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</si>
  <si>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</si>
  <si>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</si>
  <si>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</si>
  <si>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</si>
  <si>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</si>
  <si>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</si>
  <si>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</si>
  <si>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</si>
  <si>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</si>
  <si>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</si>
  <si>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</si>
  <si>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</si>
  <si>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</si>
  <si>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</si>
  <si>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</si>
  <si>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</si>
  <si>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</si>
  <si>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</si>
  <si>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</si>
  <si>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</si>
  <si>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</si>
  <si>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</si>
  <si>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</si>
  <si>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</si>
  <si>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</si>
  <si>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</si>
  <si>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</si>
  <si>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</si>
  <si>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</si>
  <si>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</si>
  <si>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</si>
  <si>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</si>
  <si>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</si>
  <si>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</si>
  <si>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</si>
  <si>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</si>
  <si>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</si>
  <si>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</si>
  <si>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</si>
  <si>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</si>
  <si>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</si>
  <si>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</si>
  <si>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</si>
  <si>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</si>
  <si>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</si>
  <si>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</si>
  <si>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</si>
  <si>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</si>
  <si>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</si>
  <si>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</si>
  <si>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</si>
  <si>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</si>
  <si>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</si>
  <si>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</si>
  <si>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</si>
  <si>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</si>
  <si>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</si>
  <si>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</si>
  <si>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</si>
  <si>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</si>
  <si>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</si>
  <si>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</si>
  <si>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</si>
  <si>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</si>
  <si>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</si>
  <si>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</si>
  <si>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</si>
  <si>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</si>
  <si>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</si>
  <si>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</si>
  <si>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</si>
  <si>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</si>
  <si>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</si>
  <si>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</si>
  <si>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</si>
  <si>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</si>
  <si>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</si>
  <si>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</si>
  <si>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</si>
  <si>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</si>
  <si>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</si>
  <si>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</si>
  <si>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</si>
  <si>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</si>
  <si>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</si>
  <si>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</si>
  <si>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</si>
  <si>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</si>
  <si>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</si>
  <si>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</si>
  <si>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</si>
  <si>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</si>
  <si>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</si>
  <si>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</si>
  <si>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</si>
  <si>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</si>
  <si>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</si>
  <si>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</si>
  <si>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</si>
  <si>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</si>
  <si>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</si>
  <si>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</si>
  <si>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</si>
  <si>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</si>
  <si>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</si>
  <si>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</si>
  <si>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</si>
  <si>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</si>
  <si>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</si>
  <si>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</si>
  <si>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</si>
  <si>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</si>
  <si>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</si>
  <si>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</si>
  <si>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</si>
  <si>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</si>
  <si>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</si>
  <si>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</si>
  <si>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</si>
  <si>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</si>
  <si>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</si>
  <si>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</si>
  <si>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</si>
  <si>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</si>
  <si>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</si>
  <si>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</si>
  <si>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</si>
  <si>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</si>
  <si>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</si>
  <si>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</si>
  <si>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</si>
  <si>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</si>
  <si>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</si>
  <si>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</si>
  <si>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</si>
  <si>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</si>
  <si>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</si>
  <si>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</si>
  <si>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</si>
  <si>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</si>
  <si>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</si>
  <si>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</si>
  <si>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</si>
  <si>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</si>
  <si>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</si>
  <si>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</si>
  <si>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</si>
  <si>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</si>
  <si>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</si>
  <si>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</si>
  <si>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</si>
  <si>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</si>
  <si>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</si>
  <si>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</si>
  <si>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</si>
  <si>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</si>
  <si>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</si>
  <si>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</si>
  <si>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</si>
  <si>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</si>
  <si>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</si>
  <si>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</si>
  <si>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</si>
  <si>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</si>
  <si>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</si>
  <si>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</si>
  <si>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</si>
  <si>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</si>
  <si>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</si>
  <si>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</si>
  <si>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</si>
  <si>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</si>
  <si>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</si>
  <si>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</si>
  <si>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</si>
  <si>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</si>
  <si>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</si>
  <si>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</si>
  <si>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</si>
  <si>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</si>
  <si>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</si>
  <si>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</si>
  <si>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</si>
  <si>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</si>
  <si>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</si>
  <si>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</si>
  <si>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</si>
  <si>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</si>
  <si>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</si>
  <si>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</si>
  <si>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</si>
  <si>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</si>
  <si>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</si>
  <si>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</si>
  <si>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</si>
  <si>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</si>
  <si>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</si>
  <si>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</si>
  <si>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</si>
  <si>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</si>
  <si>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</si>
  <si>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</si>
  <si>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</si>
  <si>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</si>
  <si>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</si>
  <si>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</si>
  <si>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</si>
  <si>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</si>
  <si>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</si>
  <si>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</si>
  <si>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</si>
  <si>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</si>
  <si>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</si>
  <si>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</si>
  <si>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</si>
  <si>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</si>
  <si>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</si>
  <si>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</si>
  <si>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</si>
  <si>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</si>
  <si>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</si>
  <si>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</si>
  <si>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</si>
  <si>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</si>
  <si>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</si>
  <si>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</si>
  <si>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</si>
  <si>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</si>
  <si>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</si>
  <si>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</si>
  <si>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</si>
  <si>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</si>
  <si>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</si>
  <si>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</si>
  <si>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</si>
  <si>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</si>
  <si>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</si>
  <si>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</si>
  <si>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</si>
  <si>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</si>
  <si>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</si>
  <si>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</si>
  <si>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</si>
  <si>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</si>
  <si>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</si>
  <si>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</si>
  <si>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</si>
  <si>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</si>
  <si>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</si>
  <si>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</si>
  <si>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</si>
  <si>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</si>
  <si>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</si>
  <si>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</si>
  <si>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</si>
  <si>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</si>
  <si>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</si>
  <si>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</si>
  <si>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</si>
  <si>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</si>
  <si>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</si>
  <si>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</si>
  <si>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</si>
  <si>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</si>
  <si>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</si>
  <si>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</si>
  <si>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</si>
  <si>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</si>
  <si>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</si>
  <si>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</si>
  <si>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</si>
  <si>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</si>
  <si>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</si>
  <si>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</si>
  <si>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</si>
  <si>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</si>
  <si>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</si>
  <si>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</si>
  <si>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</si>
  <si>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</si>
  <si>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</si>
  <si>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</si>
  <si>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</si>
  <si>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</si>
  <si>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</si>
  <si>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</si>
  <si>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</si>
  <si>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</si>
  <si>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</si>
  <si>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</si>
  <si>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</si>
  <si>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</si>
  <si>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</si>
  <si>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</si>
  <si>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</si>
  <si>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</si>
  <si>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</si>
  <si>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</si>
  <si>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</si>
  <si>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</si>
  <si>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</si>
  <si>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</si>
  <si>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</si>
  <si>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</si>
  <si>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</si>
  <si>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</si>
  <si>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</si>
  <si>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</si>
  <si>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</si>
  <si>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</si>
  <si>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</si>
  <si>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</si>
  <si>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</si>
  <si>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</si>
  <si>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</si>
  <si>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</si>
  <si>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</si>
  <si>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</si>
  <si>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</si>
  <si>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</si>
  <si>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</si>
  <si>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</si>
  <si>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</si>
  <si>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</si>
  <si>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</si>
  <si>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</si>
  <si>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</si>
  <si>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</si>
  <si>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</si>
  <si>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</si>
  <si>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</si>
  <si>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</si>
  <si>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</si>
  <si>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</si>
  <si>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</si>
  <si>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</si>
  <si>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</si>
  <si>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</si>
  <si>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</si>
  <si>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</si>
  <si>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</si>
  <si>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</si>
  <si>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</si>
  <si>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</si>
  <si>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</si>
  <si>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</si>
  <si>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</si>
  <si>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</si>
  <si>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</si>
  <si>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</si>
  <si>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</si>
  <si>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</si>
  <si>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</si>
  <si>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</si>
  <si>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</si>
  <si>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</si>
  <si>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</si>
  <si>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</si>
  <si>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</si>
  <si>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</si>
  <si>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</si>
  <si>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</si>
  <si>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</si>
  <si>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</si>
  <si>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</si>
  <si>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</si>
  <si>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</si>
  <si>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</si>
  <si>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</si>
  <si>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</si>
  <si>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</si>
  <si>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</si>
  <si>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</si>
  <si>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</si>
  <si>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</si>
  <si>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</si>
  <si>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</si>
  <si>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</si>
  <si>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</si>
  <si>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</si>
  <si>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</si>
  <si>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</si>
  <si>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</si>
  <si>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</si>
  <si>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</si>
  <si>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</si>
  <si>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</si>
  <si>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</si>
  <si>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</si>
  <si>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</si>
  <si>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</si>
  <si>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</si>
  <si>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</si>
  <si>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</si>
  <si>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</si>
  <si>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</si>
  <si>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</si>
  <si>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</si>
  <si>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</si>
  <si>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</si>
  <si>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</si>
  <si>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</si>
  <si>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</si>
  <si>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</si>
  <si>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</si>
  <si>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</si>
  <si>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</si>
  <si>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</si>
  <si>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</si>
  <si>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</si>
  <si>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</si>
  <si>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</si>
  <si>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</si>
  <si>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</si>
  <si>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</si>
  <si>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</si>
  <si>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</si>
  <si>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</si>
  <si>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</si>
  <si>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</si>
  <si>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</si>
  <si>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</si>
  <si>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</si>
  <si>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</si>
  <si>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</si>
  <si>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</si>
  <si>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</si>
  <si>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</si>
  <si>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</si>
  <si>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</si>
  <si>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</si>
  <si>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</si>
  <si>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</si>
  <si>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</si>
  <si>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</si>
  <si>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</si>
  <si>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</si>
  <si>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</si>
  <si>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</si>
  <si>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</si>
  <si>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</si>
  <si>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</si>
  <si>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</si>
  <si>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</si>
  <si>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</si>
  <si>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</si>
  <si>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</si>
  <si>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</si>
  <si>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</si>
  <si>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</si>
  <si>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</si>
  <si>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</si>
  <si>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</si>
  <si>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</si>
  <si>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</si>
  <si>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</si>
  <si>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</si>
  <si>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</si>
  <si>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</si>
  <si>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</si>
  <si>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</si>
  <si>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</si>
  <si>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</si>
  <si>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</si>
  <si>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</si>
  <si>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</si>
  <si>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</si>
  <si>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</si>
  <si>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</si>
  <si>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</si>
  <si>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</si>
  <si>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</si>
  <si>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</si>
  <si>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</si>
  <si>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</si>
  <si>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</si>
  <si>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</si>
  <si>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</si>
  <si>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</si>
  <si>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</si>
  <si>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</si>
  <si>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</si>
  <si>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</si>
  <si>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</si>
  <si>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</si>
  <si>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</si>
  <si>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</si>
  <si>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</si>
  <si>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</si>
  <si>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</si>
  <si>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</si>
  <si>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</si>
  <si>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</si>
  <si>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</si>
  <si>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</si>
  <si>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</si>
  <si>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</si>
  <si>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</si>
  <si>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</si>
  <si>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</si>
  <si>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</si>
  <si>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</si>
  <si>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</si>
  <si>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</si>
  <si>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</si>
  <si>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</si>
  <si>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</si>
  <si>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</si>
  <si>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</si>
  <si>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</si>
  <si>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</si>
  <si>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</si>
  <si>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</si>
  <si>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</si>
  <si>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</si>
  <si>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</si>
  <si>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</si>
  <si>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</si>
  <si>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</si>
  <si>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</si>
  <si>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</si>
  <si>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</si>
  <si>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</si>
  <si>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</si>
  <si>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</si>
  <si>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</si>
  <si>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</si>
  <si>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</si>
  <si>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</si>
  <si>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</si>
  <si>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</si>
  <si>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</si>
  <si>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</si>
  <si>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</si>
  <si>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</si>
  <si>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</si>
  <si>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</si>
  <si>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</si>
  <si>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</si>
  <si>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</si>
  <si>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</si>
  <si>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</si>
  <si>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</si>
  <si>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</si>
  <si>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</si>
  <si>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</si>
  <si>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</si>
  <si>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</si>
  <si>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</si>
  <si>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</si>
  <si>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</si>
  <si>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</si>
  <si>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</si>
  <si>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</si>
  <si>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</si>
  <si>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</si>
  <si>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</si>
  <si>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</si>
  <si>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</si>
  <si>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</si>
  <si>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</si>
  <si>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</si>
  <si>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</si>
  <si>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</si>
  <si>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</si>
  <si>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</si>
  <si>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</si>
  <si>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</si>
  <si>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</si>
  <si>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</si>
  <si>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</si>
  <si>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</si>
  <si>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</si>
  <si>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</si>
  <si>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</si>
  <si>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</si>
  <si>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</si>
  <si>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</si>
  <si>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</si>
  <si>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</si>
  <si>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</si>
  <si>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</si>
  <si>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</si>
  <si>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</si>
  <si>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</si>
  <si>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</si>
  <si>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</si>
  <si>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</si>
  <si>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</si>
  <si>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</si>
  <si>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</si>
  <si>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</si>
  <si>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</si>
  <si>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</si>
  <si>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</si>
  <si>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</si>
  <si>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</si>
  <si>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</si>
  <si>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</si>
  <si>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</si>
  <si>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</si>
  <si>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</si>
  <si>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</si>
  <si>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</si>
  <si>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</si>
  <si>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</si>
  <si>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</si>
  <si>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</si>
  <si>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</si>
  <si>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</si>
  <si>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</si>
  <si>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</si>
  <si>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</si>
  <si>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</si>
  <si>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</si>
  <si>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</si>
  <si>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</si>
  <si>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</si>
  <si>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</si>
  <si>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</si>
  <si>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</si>
  <si>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</si>
  <si>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</si>
  <si>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</si>
  <si>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</si>
  <si>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</si>
  <si>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</si>
  <si>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</si>
  <si>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</si>
  <si>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</si>
  <si>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</si>
  <si>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</si>
  <si>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</si>
  <si>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</si>
  <si>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</si>
  <si>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</si>
  <si>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</si>
  <si>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</si>
  <si>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</si>
  <si>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</si>
  <si>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</si>
  <si>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</si>
  <si>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</si>
  <si>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</si>
  <si>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</si>
  <si>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</si>
  <si>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</si>
  <si>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</si>
  <si>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</si>
  <si>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</si>
  <si>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</si>
  <si>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</si>
  <si>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</si>
  <si>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</si>
  <si>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</si>
  <si>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</si>
  <si>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</si>
  <si>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</si>
  <si>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</si>
  <si>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</si>
  <si>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</si>
  <si>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</si>
  <si>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</si>
  <si>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</si>
  <si>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</si>
  <si>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</si>
  <si>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</si>
  <si>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</si>
  <si>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</si>
  <si>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</si>
  <si>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</si>
  <si>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</si>
  <si>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</si>
  <si>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</si>
  <si>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</si>
  <si>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</si>
  <si>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</si>
  <si>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</si>
  <si>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</si>
  <si>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</si>
  <si>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</si>
  <si>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</si>
  <si>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</si>
  <si>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</si>
  <si>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</si>
  <si>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</si>
  <si>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</si>
  <si>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</si>
  <si>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</si>
  <si>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</si>
  <si>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</si>
  <si>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</si>
  <si>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</si>
  <si>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</si>
  <si>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</si>
  <si>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</si>
  <si>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</si>
  <si>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</si>
  <si>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</si>
  <si>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</si>
  <si>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</si>
  <si>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</si>
  <si>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</si>
  <si>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</si>
  <si>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</si>
  <si>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</si>
  <si>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</si>
  <si>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</si>
  <si>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</si>
  <si>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</si>
  <si>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</si>
  <si>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</si>
  <si>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</si>
  <si>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</si>
  <si>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</si>
  <si>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</si>
  <si>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</si>
  <si>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</si>
  <si>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</si>
  <si>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</si>
  <si>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</si>
  <si>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</si>
  <si>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</si>
  <si>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</si>
  <si>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</si>
  <si>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</si>
  <si>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</si>
  <si>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</si>
  <si>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</si>
  <si>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</si>
  <si>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</si>
  <si>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</si>
  <si>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</si>
  <si>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</si>
  <si>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</si>
  <si>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</si>
  <si>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</si>
  <si>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</si>
  <si>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</si>
  <si>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</si>
  <si>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</si>
  <si>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</si>
  <si>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</si>
  <si>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</si>
  <si>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</si>
  <si>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</si>
  <si>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</si>
  <si>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</si>
  <si>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</si>
  <si>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</si>
  <si>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</si>
  <si>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</si>
  <si>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</si>
  <si>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</si>
  <si>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</si>
  <si>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</si>
  <si>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</si>
  <si>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</si>
  <si>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</si>
  <si>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</si>
  <si>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</si>
  <si>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</si>
  <si>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</si>
  <si>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</si>
  <si>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</si>
  <si>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</si>
  <si>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</si>
  <si>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</si>
  <si>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</si>
  <si>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</si>
  <si>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Q1 — Topic Analysis: Which topics appear most often, and what do those topics suggest customers care about?</t>
  </si>
  <si>
    <t>Q2 — Engagement Analysis: Which posts generate the most total engagement? Do the highest-view posts also receive the highest engagement?</t>
  </si>
  <si>
    <t>Q3 — Sentiment Analysis: Which topics have the most positive, negative, neutral, or mixed sentiment?</t>
  </si>
  <si>
    <t>Q4 — Customer Support: Which posts likely require a response from CommBank, and what themes do they share?</t>
  </si>
  <si>
    <t>Q5 — Trend Analysis: Do certain topics or sentiment patterns appear more often on specific dates or days of the week?</t>
  </si>
  <si>
    <t>Tuesday and Wednesday have the highest post volume, with 11 posts each. Wednesday has the highest number of negative posts, while Saturday has the highest number of neutral posts.</t>
  </si>
  <si>
    <t>Social-media activity is more concentrated on Tuesday and Wednesday in this dataset. The variation in sentiment across days suggests that monitoring activity by day could help identify periods with higher customer interaction and potentially increased negative feedback.</t>
  </si>
  <si>
    <t>Q6 — Marketing Insight: Which formats or campaign themes appear to resonate most with audiences?</t>
  </si>
  <si>
    <t>Q7 — Product Insight: What app, NetBank, card, or service improvements are customers requesting?</t>
  </si>
  <si>
    <t>Q8 — Risk Insight: What scam or security concerns are most visible in the data?</t>
  </si>
  <si>
    <t>Task 3 — Consolidated Findings &amp;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</si>
</sst>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6">
    <font>
      <sz val="11"/>
      <name val="Carlito"/>
    </font>
    <font>
      <b/>
      <sz val="18"/>
      <color rgb="FFFFFFFF"/>
      <name val="Carlito"/>
    </font>
    <font>
      <b/>
      <sz val="11"/>
      <color rgb="FF1F4E78"/>
      <name val="Carlito"/>
    </font>
    <font>
      <b/>
      <sz val="11"/>
      <color rgb="FFFFFFFF"/>
      <name val="Carlito"/>
    </font>
    <font>
      <b/>
      <sz val="11"/>
      <name val="Carlito"/>
    </font>
    <font>
      <b/>
      <sz val="10"/>
      <name val="Arial Unicode MS"/>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center"/>
    </xf>
    <xf numFmtId="0" fontId="2" fillId="3" borderId="0" xfId="0" applyFont="1" applyFill="1"/>
    <xf numFmtId="0" fontId="0" fillId="0" borderId="0" xfId="0" applyAlignment="1">
      <alignment wrapText="1"/>
    </xf>
    <xf numFmtId="0" fontId="2" fillId="3" borderId="0" xfId="0" applyFont="1" applyFill="1" applyAlignment="1">
      <alignment wrapText="1"/>
    </xf>
    <xf numFmtId="0" fontId="3" fillId="2" borderId="0" xfId="0" applyFont="1" applyFill="1" applyAlignment="1">
      <alignment horizontal="center" vertical="center" wrapText="1"/>
    </xf>
    <xf numFmtId="164" fontId="0" fillId="0" borderId="0" xfId="0" applyNumberFormat="1" applyAlignment="1">
      <alignment wrapText="1"/>
    </xf>
    <xf numFmtId="2" fontId="0" fillId="0" borderId="0" xfId="0" applyNumberFormat="1" applyAlignment="1">
      <alignment wrapText="1"/>
    </xf>
    <xf numFmtId="3" fontId="0" fillId="0" borderId="0" xfId="0" applyNumberFormat="1" applyAlignment="1">
      <alignment wrapText="1"/>
    </xf>
    <xf numFmtId="10" fontId="0" fillId="0" borderId="0" xfId="0" applyNumberFormat="1" applyAlignment="1">
      <alignment wrapText="1"/>
    </xf>
    <xf numFmtId="0" fontId="4" fillId="0" borderId="0" xfId="0" applyFont="1"/>
    <xf numFmtId="0" fontId="4" fillId="0" borderId="0" xfId="0" applyFont="1" applyAlignment="1">
      <alignment wrapText="1"/>
    </xf>
    <xf numFmtId="0" fontId="0" fillId="0" borderId="0" xfId="0" applyAlignment="1">
      <alignment vertical="center" wrapText="1"/>
    </xf>
    <xf numFmtId="0" fontId="0" fillId="0" borderId="0" xfId="0" applyAlignment="1">
      <alignment horizontal="left" vertical="top" wrapText="1"/>
    </xf>
    <xf numFmtId="0" fontId="0" fillId="0" borderId="0" xfId="0" applyAlignment="1">
      <alignment horizontal="left" vertical="top"/>
    </xf>
    <xf numFmtId="0" fontId="4" fillId="0" borderId="0" xfId="0" applyFont="1" applyAlignment="1">
      <alignment horizontal="center" vertical="center" wrapText="1"/>
    </xf>
    <xf numFmtId="0" fontId="5" fillId="0" borderId="0" xfId="0" applyFont="1"/>
    <xf numFmtId="0" fontId="4" fillId="0" borderId="0" xfId="0" applyFont="1" applyFill="1" applyAlignment="1">
      <alignment horizontal="center" vertical="center" wrapText="1"/>
    </xf>
  </cellXfs>
  <cellStyles count="1">
    <cellStyle name="Normal" xfId="0" builtinId="0"/>
  </cellStyles>
  <dxfs count="16">
    <dxf>
      <font>
        <b/>
        <i val="0"/>
        <strike val="0"/>
        <condense val="0"/>
        <extend val="0"/>
        <outline val="0"/>
        <shadow val="0"/>
        <u val="none"/>
        <vertAlign val="baseline"/>
        <sz val="11"/>
        <color auto="1"/>
        <name val="Carlito"/>
        <scheme val="none"/>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bgColor rgb="FFFDE68A"/>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cialMediaPosts" displayName="SocialMediaPosts" ref="A1:X61">
  <autoFilter ref="A1:X61" xr:uid="{00000000-000C-0000-FFFF-FFFF00000000}">
    <filterColumn colId="6">
      <filters>
        <filter val="Fraud &amp; scams"/>
        <filter val="Security education"/>
      </filters>
    </filterColumn>
  </autoFilter>
  <sortState xmlns:xlrd2="http://schemas.microsoft.com/office/spreadsheetml/2017/richdata2" ref="A2:X61">
    <sortCondition descending="1" ref="Q2:Q61"/>
  </sortState>
  <tableColumns count="24">
    <tableColumn id="1" xr3:uid="{00000000-0010-0000-0000-000001000000}" name="post_id"/>
    <tableColumn id="2" xr3:uid="{00000000-0010-0000-0000-000002000000}" name="post_datetime"/>
    <tableColumn id="3" xr3:uid="{00000000-0010-0000-0000-000003000000}" name="post_type"/>
    <tableColumn id="4" xr3:uid="{00000000-0010-0000-0000-000004000000}" name="author_type"/>
    <tableColumn id="5" xr3:uid="{00000000-0010-0000-0000-000005000000}" name="author_follower_bucket"/>
    <tableColumn id="6" xr3:uid="{00000000-0010-0000-0000-000006000000}" name="post_text"/>
    <tableColumn id="7" xr3:uid="{00000000-0010-0000-0000-000007000000}" name="topic"/>
    <tableColumn id="8" xr3:uid="{00000000-0010-0000-0000-000008000000}" name="content_format"/>
    <tableColumn id="9" xr3:uid="{00000000-0010-0000-0000-000009000000}" name="hashtags"/>
    <tableColumn id="10" xr3:uid="{00000000-0010-0000-0000-00000A000000}" name="mentions_commbank"/>
    <tableColumn id="11" xr3:uid="{00000000-0010-0000-0000-00000B000000}" name="sentiment_label"/>
    <tableColumn id="12" xr3:uid="{00000000-0010-0000-0000-00000C000000}" name="sentiment_score"/>
    <tableColumn id="13" xr3:uid="{00000000-0010-0000-0000-00000D000000}" name="likes"/>
    <tableColumn id="14" xr3:uid="{00000000-0010-0000-0000-00000E000000}" name="replies"/>
    <tableColumn id="15" xr3:uid="{00000000-0010-0000-0000-00000F000000}" name="reposts"/>
    <tableColumn id="16" xr3:uid="{00000000-0010-0000-0000-000010000000}" name="quote_posts"/>
    <tableColumn id="17" xr3:uid="{00000000-0010-0000-0000-000011000000}" name="views"/>
    <tableColumn id="18" xr3:uid="{00000000-0010-0000-0000-000012000000}" name="link_clicks"/>
    <tableColumn id="19" xr3:uid="{00000000-0010-0000-0000-000013000000}" name="total_engagements"/>
    <tableColumn id="20" xr3:uid="{00000000-0010-0000-0000-000014000000}" name="engagement_rate"/>
    <tableColumn id="21" xr3:uid="{00000000-0010-0000-0000-000015000000}" name="day_of_week"/>
    <tableColumn id="22" xr3:uid="{00000000-0010-0000-0000-000016000000}" name="customer_intent"/>
    <tableColumn id="23" xr3:uid="{00000000-0010-0000-0000-000017000000}" name="response_needed"/>
    <tableColumn id="24" xr3:uid="{00000000-0010-0000-0000-000018000000}" name="api_field_examp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Dictionary" displayName="DataDictionary" ref="A1:D25">
  <tableColumns count="4">
    <tableColumn id="1" xr3:uid="{00000000-0010-0000-0100-000001000000}" name="Column"/>
    <tableColumn id="2" xr3:uid="{00000000-0010-0000-0100-000002000000}" name="Description"/>
    <tableColumn id="3" xr3:uid="{00000000-0010-0000-0100-000003000000}" name="Student use"/>
    <tableColumn id="4" xr3:uid="{00000000-0010-0000-0100-000004000000}" name="X/Twitter API or analytics concep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nalysisPrompts" displayName="AnalysisPrompts" ref="A1:C9">
  <tableColumns count="3">
    <tableColumn id="1" xr3:uid="{00000000-0010-0000-0200-000001000000}" name="Analysis area"/>
    <tableColumn id="2" xr3:uid="{00000000-0010-0000-0200-000002000000}" name="Question learners can answer with the dataset"/>
    <tableColumn id="3" xr3:uid="{00000000-0010-0000-0200-000003000000}" name="Relevant column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D47E55-33CC-4D85-8CC4-A6850399D99E}" name="Table5" displayName="Table5" ref="A15:B20" totalsRowShown="0" dataDxfId="15">
  <autoFilter ref="A15:B20" xr:uid="{F6D47E55-33CC-4D85-8CC4-A6850399D99E}"/>
  <tableColumns count="2">
    <tableColumn id="1" xr3:uid="{17065B65-E675-4400-AD7B-76991527F7AB}" name="Q1 Interpretation" dataDxfId="14"/>
    <tableColumn id="2" xr3:uid="{D12CC24D-D8BA-449A-8BE3-9DE29FEABEAF}" name="    "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A058B6-BF09-4F12-8953-CB6D296F2FBA}" name="Table6" displayName="Table6" ref="A1:B13" totalsRowShown="0">
  <autoFilter ref="A1:B13" xr:uid="{24A058B6-BF09-4F12-8953-CB6D296F2FBA}"/>
  <tableColumns count="2">
    <tableColumn id="1" xr3:uid="{266F1BFF-4630-4575-B12C-0C49383E51A0}" name="Q1 Topic analysis" dataDxfId="12"/>
    <tableColumn id="2" xr3:uid="{478A36B0-D012-48CA-8852-FD2BC56D786C}" name="Which topics appear most often, and what do those topics suggest customers care about?">
      <calculatedColumnFormula>COUNTIF(Social_Media_Posts!G:G,A2)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55EB5A8-11AA-4CD0-BE38-799C45D27C1D}" name="Table7" displayName="Table7" ref="A22:XFD34" totalsRowShown="0">
  <autoFilter ref="A22:XFD34" xr:uid="{455EB5A8-11AA-4CD0-BE38-799C45D27C1D}"/>
  <tableColumns count="16384">
    <tableColumn id="1" xr3:uid="{90DE5653-92F4-492F-BD90-84A373FA1BCA}" name="Q3 — Sentiment Analysis"/>
    <tableColumn id="2" xr3:uid="{7B4DE319-93F0-4D33-B9BE-9B66EE02C549}" name="Which topics have the most positive, negative, neutral, or mixed sentiment?">
      <calculatedColumnFormula>COUNTIFS(Social_Media_Posts!$G:$G,$A23,Social_Media_Posts!$K:$K,B$23)</calculatedColumnFormula>
    </tableColumn>
    <tableColumn id="3" xr3:uid="{10D7F28D-2479-492C-BC6D-5C07186454A1}" name="Column1">
      <calculatedColumnFormula>COUNTIFS(Social_Media_Posts!$G:$G,$A23,Social_Media_Posts!$K:$K,C$23)</calculatedColumnFormula>
    </tableColumn>
    <tableColumn id="4" xr3:uid="{477B309D-690B-49EF-A125-86C0CC7AC907}" name="Column2">
      <calculatedColumnFormula>COUNTIFS(Social_Media_Posts!$G:$G,$A23,Social_Media_Posts!$K:$K,D$23)</calculatedColumnFormula>
    </tableColumn>
    <tableColumn id="5" xr3:uid="{0999B865-3980-4406-9D04-5DC01DCEE458}" name="Column3">
      <calculatedColumnFormula>COUNTIFS(Social_Media_Posts!$G:$G,$A23,Social_Media_Posts!$K:$K,E$23)</calculatedColumnFormula>
    </tableColumn>
    <tableColumn id="6" xr3:uid="{CEBF10B6-4B00-4FEB-917F-376496CB9242}" name="Column4"/>
    <tableColumn id="7" xr3:uid="{1F3DFED2-3E7D-4FFE-9A02-FDFC89A83054}" name="Column5"/>
    <tableColumn id="8" xr3:uid="{C6E2C932-509F-4225-87D4-52A72E109E7B}" name="Column6"/>
    <tableColumn id="9" xr3:uid="{EAE010E2-700D-4112-A7E3-A99D020F6FBA}" name="Column7"/>
    <tableColumn id="10" xr3:uid="{39AD30F3-FEDB-486C-8814-FAF546384AFA}" name="Column8"/>
    <tableColumn id="11" xr3:uid="{D8BFD5BB-E70B-4B45-8D4F-6D91D8E80C88}" name="Column9"/>
    <tableColumn id="12" xr3:uid="{87B7A110-25A4-43A4-98C3-08960694C4D8}" name="Column10"/>
    <tableColumn id="13" xr3:uid="{2C9CEFC7-C0E4-46F3-B8BD-F005DB48B69D}" name="Column11"/>
    <tableColumn id="14" xr3:uid="{998A9F95-0884-4ECC-ABDA-B654DA43CA4F}" name="Column12"/>
    <tableColumn id="15" xr3:uid="{11F0E4BA-70AF-48DD-8629-35DE0C30176C}" name="Column13"/>
    <tableColumn id="16" xr3:uid="{7511631F-A718-42DB-9605-64BAE757E6EB}" name="Column14"/>
    <tableColumn id="17" xr3:uid="{CF1BFFEA-B44C-4F03-A8F8-E91024996B25}" name="Column15"/>
    <tableColumn id="18" xr3:uid="{239FB887-B19A-45DD-9527-F4A75F8039A0}" name="Column16"/>
    <tableColumn id="19" xr3:uid="{0C71A1B1-6A06-409D-82C9-C2C4558EE352}" name="Column17"/>
    <tableColumn id="20" xr3:uid="{7E1CDCF6-34BD-46B6-8FBC-4017296DB280}" name="Column18"/>
    <tableColumn id="21" xr3:uid="{780F5C1F-35B0-4F83-A521-CB4AAD75222A}" name="Column19"/>
    <tableColumn id="22" xr3:uid="{EF1B1D3E-306C-4314-980D-0EA6D214CA09}" name="Column20"/>
    <tableColumn id="23" xr3:uid="{B3A45268-3C95-454F-8B07-98B4D6323555}" name="Column21"/>
    <tableColumn id="24" xr3:uid="{C1A505D6-5A54-444F-8517-FF4102EC34D1}" name="Column22"/>
    <tableColumn id="25" xr3:uid="{DEFA1D27-07CB-4FDD-9179-B36BC5830FB3}" name="Column23"/>
    <tableColumn id="26" xr3:uid="{F00EDC4C-15DC-4573-8C0A-B9B99CE76D5C}" name="Column24"/>
    <tableColumn id="27" xr3:uid="{3D54AF6B-84ED-4158-A038-C768B49183D8}" name="Column25"/>
    <tableColumn id="28" xr3:uid="{F4E021FD-B2CF-4A07-8F5D-395B56CD8A14}" name="Column26"/>
    <tableColumn id="29" xr3:uid="{36AAAEC7-B917-4D43-BEBA-3832725FE601}" name="Column27"/>
    <tableColumn id="30" xr3:uid="{0818D736-8CE6-4B54-866F-F372CCBF6FBF}" name="Column28"/>
    <tableColumn id="31" xr3:uid="{1B7DC37C-3CCC-4A78-8E92-B7B7ED203E2B}" name="Column29"/>
    <tableColumn id="32" xr3:uid="{984D2D37-5C82-45E1-8FF7-F3443762A8C1}" name="Column30"/>
    <tableColumn id="33" xr3:uid="{0AE5084B-42C0-4802-9A24-38D9CE23F0A1}" name="Column31"/>
    <tableColumn id="34" xr3:uid="{FC0DD9BB-BD91-4E61-98EB-1329629DF2E1}" name="Column32"/>
    <tableColumn id="35" xr3:uid="{CB147173-17B1-4008-A783-1233663D1761}" name="Column33"/>
    <tableColumn id="36" xr3:uid="{74FA30C3-37AF-4FAD-A6A3-C0A27DE8D6EC}" name="Column34"/>
    <tableColumn id="37" xr3:uid="{AF76DAE3-2996-499B-87B6-3EBA6A94E3BC}" name="Column35"/>
    <tableColumn id="38" xr3:uid="{227BCBA1-0296-4ABE-9F2D-B3A3132B1947}" name="Column36"/>
    <tableColumn id="39" xr3:uid="{38FCC088-BA0B-4E03-8D31-BE7A49D14CE0}" name="Column37"/>
    <tableColumn id="40" xr3:uid="{7D108DD2-C531-4285-B457-CCBC81327A36}" name="Column38"/>
    <tableColumn id="41" xr3:uid="{EEF4093E-61D1-4B57-980A-62E691799B70}" name="Column39"/>
    <tableColumn id="42" xr3:uid="{6568A69B-EBF1-4C94-9ACD-9D79E99D21C8}" name="Column40"/>
    <tableColumn id="43" xr3:uid="{DF5BCA25-29F5-441C-8BBE-D139DB40B7F5}" name="Column41"/>
    <tableColumn id="44" xr3:uid="{FD04EB79-F4A4-48F1-B1E0-2AC0301D0B27}" name="Column42"/>
    <tableColumn id="45" xr3:uid="{95AA3618-18E7-41A7-928E-B7170361BAF1}" name="Column43"/>
    <tableColumn id="46" xr3:uid="{F8794069-D626-455C-8D87-D31BADFAAFFC}" name="Column44"/>
    <tableColumn id="47" xr3:uid="{7BC4A546-CDE9-43FE-AB57-F711074CDDC7}" name="Column45"/>
    <tableColumn id="48" xr3:uid="{0FDE2E09-37C2-420D-9DEE-E206C9B6751E}" name="Column46"/>
    <tableColumn id="49" xr3:uid="{E00D23B7-E6B0-4383-AA3F-0A803D6654D4}" name="Column47"/>
    <tableColumn id="50" xr3:uid="{3E7E4956-8F56-45C1-AC68-5798CD16377B}" name="Column48"/>
    <tableColumn id="51" xr3:uid="{EC676E22-A7B2-4B15-A8E8-22BB21F36422}" name="Column49"/>
    <tableColumn id="52" xr3:uid="{605007D2-6D75-40C4-823C-3B082B32D7D5}" name="Column50"/>
    <tableColumn id="53" xr3:uid="{F903EE0D-10FE-48F2-AF54-AFC8F2649DAC}" name="Column51"/>
    <tableColumn id="54" xr3:uid="{09758FC7-325D-4B33-B8B9-1EA7ECB8145B}" name="Column52"/>
    <tableColumn id="55" xr3:uid="{7B4F240A-B96E-4D1F-97C8-4038BD14035D}" name="Column53"/>
    <tableColumn id="56" xr3:uid="{F368ACF7-C7FC-42AC-B275-82BA6CCB0C78}" name="Column54"/>
    <tableColumn id="57" xr3:uid="{B131F40D-D664-4EC6-91DF-C1128AB6829B}" name="Column55"/>
    <tableColumn id="58" xr3:uid="{E0C4D4B6-726A-4D34-B436-1401FB4B4688}" name="Column56"/>
    <tableColumn id="59" xr3:uid="{1278705C-84E3-4790-9DC6-F42EC9D5CE7E}" name="Column57"/>
    <tableColumn id="60" xr3:uid="{B8AF3ADB-0EAF-49E7-83D0-F67D346482E3}" name="Column58"/>
    <tableColumn id="61" xr3:uid="{BC2557C3-8F85-4625-9430-C6ACE33DD827}" name="Column59"/>
    <tableColumn id="62" xr3:uid="{243ED7E7-3CFE-4C1F-B0BD-B1740B59564B}" name="Column60"/>
    <tableColumn id="63" xr3:uid="{5B47862D-8FF6-42E4-8CDE-6B79D306145F}" name="Column61"/>
    <tableColumn id="64" xr3:uid="{743E9338-9F66-4D47-809C-52C09A606505}" name="Column62"/>
    <tableColumn id="65" xr3:uid="{4D19AC9C-9E6C-422E-841A-2AEEECF6A141}" name="Column63"/>
    <tableColumn id="66" xr3:uid="{BD610EA6-5211-41EC-9933-AF7188304EC7}" name="Column64"/>
    <tableColumn id="67" xr3:uid="{7F087E62-AB80-43EF-8872-FDC08D80016F}" name="Column65"/>
    <tableColumn id="68" xr3:uid="{568D0564-9003-406B-98A1-FA0634C04324}" name="Column66"/>
    <tableColumn id="69" xr3:uid="{21993A9A-3990-4309-8B6C-985ECB0E9C60}" name="Column67"/>
    <tableColumn id="70" xr3:uid="{F3FB11EC-1F49-4BC6-8C67-B462FCAAED88}" name="Column68"/>
    <tableColumn id="71" xr3:uid="{0FF15E0D-0260-4E4F-B5E5-60FAF7B19032}" name="Column69"/>
    <tableColumn id="72" xr3:uid="{460A4DD0-DB72-4673-A8F7-ABD160F127B8}" name="Column70"/>
    <tableColumn id="73" xr3:uid="{10D93AD9-C1D6-4BCE-A52E-EB1E615E04B6}" name="Column71"/>
    <tableColumn id="74" xr3:uid="{A3F8892E-5EFB-40D9-8B0F-097C09CFBF48}" name="Column72"/>
    <tableColumn id="75" xr3:uid="{526646BD-CDFE-4838-BDB8-1A67BD726460}" name="Column73"/>
    <tableColumn id="76" xr3:uid="{D74086C7-72CE-4273-997C-B91A706879EA}" name="Column74"/>
    <tableColumn id="77" xr3:uid="{AAF5C9E3-38B3-414E-A9B5-F02209CB99D8}" name="Column75"/>
    <tableColumn id="78" xr3:uid="{56803CAC-FCF9-4016-872F-B4790111B20E}" name="Column76"/>
    <tableColumn id="79" xr3:uid="{35F8AE1F-C284-4F5A-AF20-9D2110FF2B78}" name="Column77"/>
    <tableColumn id="80" xr3:uid="{6333EC1F-465B-4871-9ADE-4621E84CD432}" name="Column78"/>
    <tableColumn id="81" xr3:uid="{8C502E65-BF44-4493-9B2F-DCDEFFC84BE1}" name="Column79"/>
    <tableColumn id="82" xr3:uid="{25F8079E-8DBD-4519-BAC7-E368DF8A6A8C}" name="Column80"/>
    <tableColumn id="83" xr3:uid="{41F9796A-4F40-419F-985C-0E3A0068B0F3}" name="Column81"/>
    <tableColumn id="84" xr3:uid="{9287C859-B75A-4F44-B9B6-686D4AE44144}" name="Column82"/>
    <tableColumn id="85" xr3:uid="{01E41C7D-F0F0-4283-8CC4-2A77D92752CB}" name="Column83"/>
    <tableColumn id="86" xr3:uid="{B65B7C81-4421-47E0-A5EE-BD0B5C7B9E77}" name="Column84"/>
    <tableColumn id="87" xr3:uid="{C5888C07-ACF7-4207-A9AB-A0B2141BB882}" name="Column85"/>
    <tableColumn id="88" xr3:uid="{94724C95-0C33-4994-AAF0-CF5890D2E99C}" name="Column86"/>
    <tableColumn id="89" xr3:uid="{08D5D652-6804-468A-971E-3E27917FB842}" name="Column87"/>
    <tableColumn id="90" xr3:uid="{16C3EA09-D99B-42B4-BB1B-D786B6F92F25}" name="Column88"/>
    <tableColumn id="91" xr3:uid="{C32F8F65-CFCD-4CB8-AC71-7ECC32228AEA}" name="Column89"/>
    <tableColumn id="92" xr3:uid="{B9E2E1AA-E5CD-4928-97AE-77CC234196EF}" name="Column90"/>
    <tableColumn id="93" xr3:uid="{1B56C4F1-4AEE-4684-A544-01E5833DE7E7}" name="Column91"/>
    <tableColumn id="94" xr3:uid="{B12C4180-78CB-42C6-B61D-9B6E830C5821}" name="Column92"/>
    <tableColumn id="95" xr3:uid="{6C3DB3B1-0D72-4FBF-A495-8879E045AE5E}" name="Column93"/>
    <tableColumn id="96" xr3:uid="{0F90C6F8-D771-4BC3-9983-3A595AD90E9A}" name="Column94"/>
    <tableColumn id="97" xr3:uid="{F7984F5D-80D1-439B-B61E-D718C1AA25FB}" name="Column95"/>
    <tableColumn id="98" xr3:uid="{84FE3B8C-EA46-4F98-8C7C-6726BE462B0F}" name="Column96"/>
    <tableColumn id="99" xr3:uid="{413F66C5-FA14-4E85-ACB9-9B0AF180A5E4}" name="Column97"/>
    <tableColumn id="100" xr3:uid="{DBD3D518-8AF3-4D77-B2C7-56AD446BE238}" name="Column98"/>
    <tableColumn id="101" xr3:uid="{CBC4FF4A-9E50-496F-B838-315D5D71DFD1}" name="Column99"/>
    <tableColumn id="102" xr3:uid="{D3C100E0-0614-4D9B-A647-7A4A7BF26FDE}" name="Column100"/>
    <tableColumn id="103" xr3:uid="{DC3258F4-62E7-4312-BBCD-D76108873E9E}" name="Column101"/>
    <tableColumn id="104" xr3:uid="{72C5B1C1-0B6A-4458-9544-F7362B144EBB}" name="Column102"/>
    <tableColumn id="105" xr3:uid="{704FD7C5-D415-4462-BB04-75910968E97B}" name="Column103"/>
    <tableColumn id="106" xr3:uid="{D3FEB378-EB3F-4E9D-A8C1-B66485E9BDA7}" name="Column104"/>
    <tableColumn id="107" xr3:uid="{899A32A9-65FE-4141-BC46-793ECD19ADE1}" name="Column105"/>
    <tableColumn id="108" xr3:uid="{A25ADEC8-6D4A-48F5-8B6A-E972DEF60FD7}" name="Column106"/>
    <tableColumn id="109" xr3:uid="{4F78E499-3A4D-4446-91D9-01A5282F77C9}" name="Column107"/>
    <tableColumn id="110" xr3:uid="{C4F801A1-79FF-494B-8188-4B89D180CB31}" name="Column108"/>
    <tableColumn id="111" xr3:uid="{46CD57BA-778F-466C-B79F-232F7BF04A28}" name="Column109"/>
    <tableColumn id="112" xr3:uid="{A095CEF3-2F45-4DF4-BA59-22F27F9E0E22}" name="Column110"/>
    <tableColumn id="113" xr3:uid="{59D18FF1-CCF1-4B02-B62C-621401A367A6}" name="Column111"/>
    <tableColumn id="114" xr3:uid="{DB9E3BFD-9565-4F09-A47A-28ACBFDAEDDA}" name="Column112"/>
    <tableColumn id="115" xr3:uid="{4AA6DD2D-4FF5-4FE7-A42A-E896DB85153C}" name="Column113"/>
    <tableColumn id="116" xr3:uid="{9357E3EB-76EA-4E57-A8EE-2E67177ED06D}" name="Column114"/>
    <tableColumn id="117" xr3:uid="{21DD2951-542E-4EB9-95EF-699BC260AE7E}" name="Column115"/>
    <tableColumn id="118" xr3:uid="{3BEAF73A-C409-4BF9-A5B3-0814229FAC7E}" name="Column116"/>
    <tableColumn id="119" xr3:uid="{6D040A16-7185-43B3-8E3A-BBA0918E98E1}" name="Column117"/>
    <tableColumn id="120" xr3:uid="{E6161361-D5CA-41B4-8E85-944F99D0BD75}" name="Column118"/>
    <tableColumn id="121" xr3:uid="{8C4B78D0-E257-4F3C-8A6A-D49EFFE42D60}" name="Column119"/>
    <tableColumn id="122" xr3:uid="{9F38D8B4-61FA-4407-8ED9-457F775162A7}" name="Column120"/>
    <tableColumn id="123" xr3:uid="{3A17B952-0CC7-49E3-A83D-EDE9FEF1649F}" name="Column121"/>
    <tableColumn id="124" xr3:uid="{D7DA6C11-686F-4C02-92FA-ABFD23E36537}" name="Column122"/>
    <tableColumn id="125" xr3:uid="{6BFDEDD4-0152-44EB-BEFE-C81352BA8264}" name="Column123"/>
    <tableColumn id="126" xr3:uid="{D77EAF27-2EF5-42A6-BAFE-8E8D785E525C}" name="Column124"/>
    <tableColumn id="127" xr3:uid="{4097AD3C-4BA2-41E5-9DC3-04DF412BE77C}" name="Column125"/>
    <tableColumn id="128" xr3:uid="{2B91D4DB-26F0-4C4D-A120-25FEDD16E574}" name="Column126"/>
    <tableColumn id="129" xr3:uid="{9FC719EF-D80D-4BA4-B37E-05047535B94D}" name="Column127"/>
    <tableColumn id="130" xr3:uid="{2F534EA3-582E-4626-9EA8-53B9032ED3CD}" name="Column128"/>
    <tableColumn id="131" xr3:uid="{538B5020-F4AF-45F0-AE5C-D0F19BD50094}" name="Column129"/>
    <tableColumn id="132" xr3:uid="{3FEA4B56-74C7-4CCF-A14A-51D76125D658}" name="Column130"/>
    <tableColumn id="133" xr3:uid="{CC19C16A-A0D8-4E49-85F7-048F9F3DC20F}" name="Column131"/>
    <tableColumn id="134" xr3:uid="{55489585-5430-40F8-8A39-6F49FB66AE32}" name="Column132"/>
    <tableColumn id="135" xr3:uid="{59C51B2B-4FDA-4DD9-A85D-3363CCC05740}" name="Column133"/>
    <tableColumn id="136" xr3:uid="{4416A208-BDE9-4AEB-A1AF-9A829F9C8F2D}" name="Column134"/>
    <tableColumn id="137" xr3:uid="{E17D80DC-71CC-4B8F-BB3F-23AE33E03E25}" name="Column135"/>
    <tableColumn id="138" xr3:uid="{91AA695A-7F4D-428C-A2E1-D4A47C050741}" name="Column136"/>
    <tableColumn id="139" xr3:uid="{8225576D-560B-43F0-AE67-C132AAFEE2F3}" name="Column137"/>
    <tableColumn id="140" xr3:uid="{22AFF3BE-14FC-4E64-BB5A-4AE4C4940E2A}" name="Column138"/>
    <tableColumn id="141" xr3:uid="{C673B10F-7102-4A2E-86D3-983732D6F95A}" name="Column139"/>
    <tableColumn id="142" xr3:uid="{6C47D119-C57D-4055-A6B5-13499FEA8C53}" name="Column140"/>
    <tableColumn id="143" xr3:uid="{1EA2E10C-6A6F-4A9D-B0B0-5470BBFA2A2E}" name="Column141"/>
    <tableColumn id="144" xr3:uid="{C7F17A96-A10A-4962-B276-7A2FC26C5CE9}" name="Column142"/>
    <tableColumn id="145" xr3:uid="{00FDA2A0-BBEE-4148-A8DE-CD003C029552}" name="Column143"/>
    <tableColumn id="146" xr3:uid="{9DBF462E-DCC9-48E5-BF13-85335647FF0F}" name="Column144"/>
    <tableColumn id="147" xr3:uid="{61E3B406-0DD6-4CCC-A9E1-0F0E1F3FACDF}" name="Column145"/>
    <tableColumn id="148" xr3:uid="{FF71C843-8833-4F5D-8FCF-15DEA0089206}" name="Column146"/>
    <tableColumn id="149" xr3:uid="{2A71A2B2-779B-4167-98AD-7E0C7624FCA8}" name="Column147"/>
    <tableColumn id="150" xr3:uid="{18A6DAFB-8451-49BF-BBB0-3B3E17C80FD3}" name="Column148"/>
    <tableColumn id="151" xr3:uid="{3BAFFA1D-E091-4899-B4AC-4433CEE6D35D}" name="Column149"/>
    <tableColumn id="152" xr3:uid="{6754F2D4-3116-4C33-AF8C-85670F027DDF}" name="Column150"/>
    <tableColumn id="153" xr3:uid="{5E574100-153D-4DC1-B286-889414A7865E}" name="Column151"/>
    <tableColumn id="154" xr3:uid="{691D9C63-F68A-45C8-A25A-D2D39E0764DB}" name="Column152"/>
    <tableColumn id="155" xr3:uid="{99EEEEAF-798D-462C-B74E-84B83E9669DA}" name="Column153"/>
    <tableColumn id="156" xr3:uid="{D1A77973-E07F-4B0B-9D33-41088B6B3CBE}" name="Column154"/>
    <tableColumn id="157" xr3:uid="{EDB8E20B-ABD4-444C-9C71-764691958C6A}" name="Column155"/>
    <tableColumn id="158" xr3:uid="{3E9520BE-74D6-4BCF-B122-368C9DA87C1F}" name="Column156"/>
    <tableColumn id="159" xr3:uid="{A1D88589-E3C0-4F82-A104-19A40D265945}" name="Column157"/>
    <tableColumn id="160" xr3:uid="{A7F7EA5F-5D9C-45C2-97E0-2D927A104D29}" name="Column158"/>
    <tableColumn id="161" xr3:uid="{9C6C0EDA-72AA-4481-A69E-4ACA8337ECA8}" name="Column159"/>
    <tableColumn id="162" xr3:uid="{09210BB8-E77B-462B-96CE-FFF43866F7D5}" name="Column160"/>
    <tableColumn id="163" xr3:uid="{A7F90591-7A60-4292-90CA-825273B71A27}" name="Column161"/>
    <tableColumn id="164" xr3:uid="{C17EFA45-518D-45FB-996C-026D1626794E}" name="Column162"/>
    <tableColumn id="165" xr3:uid="{51779E60-45BD-48A8-8DE8-D314D89F0661}" name="Column163"/>
    <tableColumn id="166" xr3:uid="{4BD6FF97-9CDA-46AA-B785-DB8DE9EFE1A5}" name="Column164"/>
    <tableColumn id="167" xr3:uid="{22B0549A-9DC6-4040-BAC2-09848FB105A1}" name="Column165"/>
    <tableColumn id="168" xr3:uid="{09C38B91-310A-4F3F-B8B5-D6306B909DFB}" name="Column166"/>
    <tableColumn id="169" xr3:uid="{286683DE-98BE-4FD7-9B81-9C654EF278AC}" name="Column167"/>
    <tableColumn id="170" xr3:uid="{9BD3725C-9FF4-498D-8DE9-27D66369DEBF}" name="Column168"/>
    <tableColumn id="171" xr3:uid="{F7B278D3-56E2-497C-B132-7B899C90C180}" name="Column169"/>
    <tableColumn id="172" xr3:uid="{12457C9C-6C11-443D-996B-EBE3831C1D72}" name="Column170"/>
    <tableColumn id="173" xr3:uid="{606C9255-9D8C-4137-8029-08E69FD8194D}" name="Column171"/>
    <tableColumn id="174" xr3:uid="{1D080736-CF56-4157-B191-8BA73D27C057}" name="Column172"/>
    <tableColumn id="175" xr3:uid="{406033DE-09BD-43B7-A549-C99A8E163147}" name="Column173"/>
    <tableColumn id="176" xr3:uid="{18689643-5957-421D-B41B-1A8946DFE81D}" name="Column174"/>
    <tableColumn id="177" xr3:uid="{E583361D-41ED-4556-AD9B-9CED9471E217}" name="Column175"/>
    <tableColumn id="178" xr3:uid="{8D40A9D0-4503-487D-9F1B-C42C77F49F64}" name="Column176"/>
    <tableColumn id="179" xr3:uid="{C8C0DC23-0EB9-4403-B7B4-241DAE668AE1}" name="Column177"/>
    <tableColumn id="180" xr3:uid="{05B887CD-7D15-47B1-AD89-269D832102F7}" name="Column178"/>
    <tableColumn id="181" xr3:uid="{B35EC5D3-B657-4026-B89D-915D93272BF7}" name="Column179"/>
    <tableColumn id="182" xr3:uid="{B3ABBB47-7DD8-4239-A83C-28E90E08F523}" name="Column180"/>
    <tableColumn id="183" xr3:uid="{5531A8A4-7025-4C31-AC02-F40DF40EF2E6}" name="Column181"/>
    <tableColumn id="184" xr3:uid="{CA02AAE7-2AF0-4C12-BA08-FD48A9424267}" name="Column182"/>
    <tableColumn id="185" xr3:uid="{544620B9-5662-48B6-923B-586A11C20FEB}" name="Column183"/>
    <tableColumn id="186" xr3:uid="{F1BEE860-F6ED-4844-8226-6A4A4ACD1DF8}" name="Column184"/>
    <tableColumn id="187" xr3:uid="{D39A8A28-1718-463F-9E2B-52320113A07D}" name="Column185"/>
    <tableColumn id="188" xr3:uid="{A92916E9-27A9-4388-A0BC-1EF4AEC99955}" name="Column186"/>
    <tableColumn id="189" xr3:uid="{BF98C997-2813-4075-9FE0-41DFEC99CF39}" name="Column187"/>
    <tableColumn id="190" xr3:uid="{58015D62-86CE-4C8B-B5D7-EAA99FD601E0}" name="Column188"/>
    <tableColumn id="191" xr3:uid="{B12ABDA2-10FC-4A84-9408-41238CA4EF3A}" name="Column189"/>
    <tableColumn id="192" xr3:uid="{5F1C48A3-A0AE-4EC7-976A-894935FEDEA0}" name="Column190"/>
    <tableColumn id="193" xr3:uid="{C8DCC16A-2AE4-444E-8EA4-CCE93DD7057D}" name="Column191"/>
    <tableColumn id="194" xr3:uid="{A079B720-2F76-4B8B-9C04-1918C42DF212}" name="Column192"/>
    <tableColumn id="195" xr3:uid="{1D6C4B6E-B30D-4107-B67B-E81AEA1A35E8}" name="Column193"/>
    <tableColumn id="196" xr3:uid="{3E8BBEB0-4866-4195-94E9-A3FC8A2D1936}" name="Column194"/>
    <tableColumn id="197" xr3:uid="{8B2DA275-763C-4D15-92D8-33629494FEED}" name="Column195"/>
    <tableColumn id="198" xr3:uid="{E915D33F-BABE-4ECD-9F54-A2A75767B224}" name="Column196"/>
    <tableColumn id="199" xr3:uid="{42A2201F-0F6E-41B4-9C7A-16DEB5A2E00B}" name="Column197"/>
    <tableColumn id="200" xr3:uid="{C92AA880-6D16-4D0C-A2AC-12DDD0AA9688}" name="Column198"/>
    <tableColumn id="201" xr3:uid="{F824CCD1-D5D0-41C0-A0D5-83353CE2DDD0}" name="Column199"/>
    <tableColumn id="202" xr3:uid="{D5440168-E2BD-4327-A7D3-FE1700C3567F}" name="Column200"/>
    <tableColumn id="203" xr3:uid="{ECF82479-ED76-45C6-A322-3A3C2CFD664D}" name="Column201"/>
    <tableColumn id="204" xr3:uid="{034912EF-5FC1-494C-B5B6-CEBA9196F789}" name="Column202"/>
    <tableColumn id="205" xr3:uid="{F4426B0B-459E-432B-B46C-2F81E7587421}" name="Column203"/>
    <tableColumn id="206" xr3:uid="{72EE9F14-AD4F-43EB-8827-EDED763085D1}" name="Column204"/>
    <tableColumn id="207" xr3:uid="{2E7A0FC6-8794-46CB-A9C5-6D441EA9190C}" name="Column205"/>
    <tableColumn id="208" xr3:uid="{823528D0-3DBC-4190-B0A8-DBA07F42FAAD}" name="Column206"/>
    <tableColumn id="209" xr3:uid="{C6061A74-2DF4-4747-8622-E30D92149E3E}" name="Column207"/>
    <tableColumn id="210" xr3:uid="{BB491891-AA9A-46F8-BE17-204802D73E1C}" name="Column208"/>
    <tableColumn id="211" xr3:uid="{6A58A588-B342-41B2-AF09-DE7EA23A30FB}" name="Column209"/>
    <tableColumn id="212" xr3:uid="{EF0001AB-54CC-4E66-9428-360D5521E991}" name="Column210"/>
    <tableColumn id="213" xr3:uid="{EB3B443D-A088-4185-8AC8-FC2640F76231}" name="Column211"/>
    <tableColumn id="214" xr3:uid="{E8EF1DCC-EB26-45AB-9432-55E5BF217A11}" name="Column212"/>
    <tableColumn id="215" xr3:uid="{1CE5D0E5-2B07-46FB-999C-F44E84398FE8}" name="Column213"/>
    <tableColumn id="216" xr3:uid="{B6586B1A-9992-4E18-AAFB-0A5E82FD554C}" name="Column214"/>
    <tableColumn id="217" xr3:uid="{60793B52-5C95-4CD5-AC10-7C7436764274}" name="Column215"/>
    <tableColumn id="218" xr3:uid="{56417137-1EE3-4CA7-B8E5-33E887745A65}" name="Column216"/>
    <tableColumn id="219" xr3:uid="{D3D12936-4842-48D5-AF95-D290127F9066}" name="Column217"/>
    <tableColumn id="220" xr3:uid="{A9568FFC-9261-4C92-BEC0-5C6D97449D3A}" name="Column218"/>
    <tableColumn id="221" xr3:uid="{D56EB39A-5377-4CD4-8608-947AAD01CD72}" name="Column219"/>
    <tableColumn id="222" xr3:uid="{1D22C834-1076-4B1B-B5F0-5C8ED92E6347}" name="Column220"/>
    <tableColumn id="223" xr3:uid="{53367B85-4EB0-4524-BAAB-A4972CA60AEF}" name="Column221"/>
    <tableColumn id="224" xr3:uid="{746F14D6-E8B7-44B5-95D5-7FDD978D3828}" name="Column222"/>
    <tableColumn id="225" xr3:uid="{052A4E4E-8F3D-4035-A638-855AFB825C1D}" name="Column223"/>
    <tableColumn id="226" xr3:uid="{175F3C00-D2EA-4E30-BC97-9FC7538E3191}" name="Column224"/>
    <tableColumn id="227" xr3:uid="{9518D053-2BD3-4634-A5A9-BE0310D1BE55}" name="Column225"/>
    <tableColumn id="228" xr3:uid="{26A59C16-1479-4BB3-B21E-AF9AC2B8AF7B}" name="Column226"/>
    <tableColumn id="229" xr3:uid="{98C22CDF-5633-418F-8E3D-6A41A5A22FCD}" name="Column227"/>
    <tableColumn id="230" xr3:uid="{C4C2208A-B335-4221-B79A-D579122A5C34}" name="Column228"/>
    <tableColumn id="231" xr3:uid="{1A8BFD53-0120-4613-87AD-70203323E9D9}" name="Column229"/>
    <tableColumn id="232" xr3:uid="{30C6C962-7CEC-48DA-B0D5-418A64CC6543}" name="Column230"/>
    <tableColumn id="233" xr3:uid="{2F7EA72A-3023-417A-8262-E2E1CD80D8B3}" name="Column231"/>
    <tableColumn id="234" xr3:uid="{12C942E0-0BA5-400F-8ED8-0776862162C4}" name="Column232"/>
    <tableColumn id="235" xr3:uid="{347B7995-9CF9-4D18-839B-E82A982C875E}" name="Column233"/>
    <tableColumn id="236" xr3:uid="{05B8BFB7-E9E2-4CAD-AA72-2EB0B93F6A49}" name="Column234"/>
    <tableColumn id="237" xr3:uid="{E0C0EFE2-7CF8-4F95-A1EF-CC18149A8684}" name="Column235"/>
    <tableColumn id="238" xr3:uid="{2B279136-243A-4ECE-B5A0-35B83452E7EB}" name="Column236"/>
    <tableColumn id="239" xr3:uid="{108ACD8F-4CD9-4C49-8991-00C7E71B8D38}" name="Column237"/>
    <tableColumn id="240" xr3:uid="{CA6F0F83-7C88-4AA8-9290-35F64805AB1B}" name="Column238"/>
    <tableColumn id="241" xr3:uid="{AB20A7C3-42F5-4E50-A4E3-06FCEB7F65B7}" name="Column239"/>
    <tableColumn id="242" xr3:uid="{CDEB6B61-EF8E-449B-89CB-BA31DEEF3FE4}" name="Column240"/>
    <tableColumn id="243" xr3:uid="{C64622BB-B59B-4BD1-9E19-9D4C78C85498}" name="Column241"/>
    <tableColumn id="244" xr3:uid="{ADC82732-D3A1-4F21-8740-045B977153B2}" name="Column242"/>
    <tableColumn id="245" xr3:uid="{47A2D29B-797F-446B-8DB8-57E6829A6B57}" name="Column243"/>
    <tableColumn id="246" xr3:uid="{7EEC75DE-7790-48F7-A5AF-C87C63565948}" name="Column244"/>
    <tableColumn id="247" xr3:uid="{738B179F-38BC-4FC0-B555-7AA79FAE6A3A}" name="Column245"/>
    <tableColumn id="248" xr3:uid="{EF0564C1-8C50-415D-84AF-52426B7681A7}" name="Column246"/>
    <tableColumn id="249" xr3:uid="{4552DE2C-881A-4599-A5AA-30EDCAB8CA88}" name="Column247"/>
    <tableColumn id="250" xr3:uid="{E241B86F-A4C5-49D5-9225-A893F9F3953F}" name="Column248"/>
    <tableColumn id="251" xr3:uid="{F9BAE607-676F-4866-91BB-7E64A15C321E}" name="Column249"/>
    <tableColumn id="252" xr3:uid="{D3FA2CB3-11FF-48F4-9B6D-62057F691E47}" name="Column250"/>
    <tableColumn id="253" xr3:uid="{A0174796-46BA-4090-BACF-88EB349E88A8}" name="Column251"/>
    <tableColumn id="254" xr3:uid="{62AE5499-272F-49DD-81F0-65CF37B6F671}" name="Column252"/>
    <tableColumn id="255" xr3:uid="{F426A2A9-766E-4496-B2B3-F5AAC1BA7DD2}" name="Column253"/>
    <tableColumn id="256" xr3:uid="{9B01FE46-D827-4138-826D-90D1803FC261}" name="Column254"/>
    <tableColumn id="257" xr3:uid="{08C89764-7081-43EC-9557-D4650C3C6E07}" name="Column255"/>
    <tableColumn id="258" xr3:uid="{D175A709-ADD6-45EC-ABFD-D288EF9A93EA}" name="Column256"/>
    <tableColumn id="259" xr3:uid="{E611D7D5-530C-4798-AEDB-46D07253352E}" name="Column257"/>
    <tableColumn id="260" xr3:uid="{155F4180-6018-4B41-802E-315D57AE1674}" name="Column258"/>
    <tableColumn id="261" xr3:uid="{37EFE8B4-FBAB-4B6B-9CE8-B603C1E8B7D2}" name="Column259"/>
    <tableColumn id="262" xr3:uid="{13A9D22C-6BDC-45E8-AF15-208BE3C2970F}" name="Column260"/>
    <tableColumn id="263" xr3:uid="{B5192AAB-F422-4E89-843B-CF192E866F10}" name="Column261"/>
    <tableColumn id="264" xr3:uid="{EB493C53-3748-43C4-BBAE-8C7959C2C58D}" name="Column262"/>
    <tableColumn id="265" xr3:uid="{EC1F68EF-0FE8-4989-9303-3948EE7E8392}" name="Column263"/>
    <tableColumn id="266" xr3:uid="{23B9F479-96EC-44A4-B9D6-7B2CE29E3B9A}" name="Column264"/>
    <tableColumn id="267" xr3:uid="{AEDBDF40-B60B-4924-B026-83FE252E818A}" name="Column265"/>
    <tableColumn id="268" xr3:uid="{B5CB1F35-5CDF-4180-81DA-8E3987BA8D1E}" name="Column266"/>
    <tableColumn id="269" xr3:uid="{86E70B7C-84CD-48F2-A491-F608CE0879DF}" name="Column267"/>
    <tableColumn id="270" xr3:uid="{B99C249B-AA9C-4536-A2E7-7D918060EB65}" name="Column268"/>
    <tableColumn id="271" xr3:uid="{F148D4D4-20A3-44FC-9172-5B980AF9C35C}" name="Column269"/>
    <tableColumn id="272" xr3:uid="{6C52D507-2391-4715-827F-D171F51E8D73}" name="Column270"/>
    <tableColumn id="273" xr3:uid="{42B9AA97-448D-4B3F-9B3B-CE8E901AF6FB}" name="Column271"/>
    <tableColumn id="274" xr3:uid="{7D41F277-B503-487E-8181-CE6FCC273AA3}" name="Column272"/>
    <tableColumn id="275" xr3:uid="{9BF755B0-94D7-445D-9761-0D4347FC7CAE}" name="Column273"/>
    <tableColumn id="276" xr3:uid="{2CFA52D8-A146-42EB-8450-57435DBB1CFE}" name="Column274"/>
    <tableColumn id="277" xr3:uid="{6200D35A-748A-4D78-A9FC-CE9BEF5A9D87}" name="Column275"/>
    <tableColumn id="278" xr3:uid="{16AF6AD4-BE10-4176-A3C8-AA8B5B1D2BA7}" name="Column276"/>
    <tableColumn id="279" xr3:uid="{57F4D364-CA2B-4E7A-A4EA-64164EAD5E60}" name="Column277"/>
    <tableColumn id="280" xr3:uid="{6275A521-9448-4FF4-8AF8-253C012535FA}" name="Column278"/>
    <tableColumn id="281" xr3:uid="{1F4EB2A7-F76B-44B3-825C-F925BA2BD39D}" name="Column279"/>
    <tableColumn id="282" xr3:uid="{9A62142F-0B28-4DD9-9E54-105F604345D3}" name="Column280"/>
    <tableColumn id="283" xr3:uid="{DB08669D-1918-4616-B889-17BF9B7A2ADC}" name="Column281"/>
    <tableColumn id="284" xr3:uid="{4C8386CB-0366-4865-B518-A34CD43B96F0}" name="Column282"/>
    <tableColumn id="285" xr3:uid="{24721F12-A60B-4F56-8EBD-A0251659DB60}" name="Column283"/>
    <tableColumn id="286" xr3:uid="{66DE9AE7-9CF1-4267-A2B8-137BED5BBFFD}" name="Column284"/>
    <tableColumn id="287" xr3:uid="{C91981EC-6769-4182-831F-7C6C69CFE54C}" name="Column285"/>
    <tableColumn id="288" xr3:uid="{93DE16DC-0AE6-4635-9972-52CBFBE20D7C}" name="Column286"/>
    <tableColumn id="289" xr3:uid="{243FD68E-9F28-4601-B038-D4DF9E0CBCB0}" name="Column287"/>
    <tableColumn id="290" xr3:uid="{21875D28-113C-4BCB-BA14-308532A1E0D8}" name="Column288"/>
    <tableColumn id="291" xr3:uid="{927FB178-4DD1-45B6-88CC-EF65CA4BA88D}" name="Column289"/>
    <tableColumn id="292" xr3:uid="{B755CCB5-0F93-4F27-9D00-9F406E69A0E3}" name="Column290"/>
    <tableColumn id="293" xr3:uid="{6E70C89F-3B8E-4F77-9556-EB96773A952F}" name="Column291"/>
    <tableColumn id="294" xr3:uid="{9983F1FC-A48B-46B9-ABD6-84DC485B2520}" name="Column292"/>
    <tableColumn id="295" xr3:uid="{2DCE063F-E997-4127-A070-41126E0E44A1}" name="Column293"/>
    <tableColumn id="296" xr3:uid="{EB3274C1-3199-4329-B978-7C88ED3C0275}" name="Column294"/>
    <tableColumn id="297" xr3:uid="{B3AF3505-8128-4317-B4D7-E3CDC1201239}" name="Column295"/>
    <tableColumn id="298" xr3:uid="{37FA98AD-5438-4BDC-BAF1-BA9D90295047}" name="Column296"/>
    <tableColumn id="299" xr3:uid="{1BB7D6CE-8D9D-4EC3-860C-B0F1E46F38B5}" name="Column297"/>
    <tableColumn id="300" xr3:uid="{6DC8BD46-4BAB-4041-AB21-177B2B928FBB}" name="Column298"/>
    <tableColumn id="301" xr3:uid="{7370B996-92F6-43BB-B9C3-E4929D084B5B}" name="Column299"/>
    <tableColumn id="302" xr3:uid="{CDAA3904-C304-42A1-BA23-9902342C3FCC}" name="Column300"/>
    <tableColumn id="303" xr3:uid="{79161A96-4D6D-4247-AB05-1EE473137EAB}" name="Column301"/>
    <tableColumn id="304" xr3:uid="{ABB3503A-95AA-4BDF-9F3A-3157433549B0}" name="Column302"/>
    <tableColumn id="305" xr3:uid="{A54A2B10-9956-4D5B-A903-E03B85583143}" name="Column303"/>
    <tableColumn id="306" xr3:uid="{03B09D13-1319-478F-B75F-5F75CC0FD983}" name="Column304"/>
    <tableColumn id="307" xr3:uid="{504C0979-297D-4690-9D40-3D6567F89F5D}" name="Column305"/>
    <tableColumn id="308" xr3:uid="{406B3556-BBB0-47BA-943E-42F4476849A4}" name="Column306"/>
    <tableColumn id="309" xr3:uid="{EF6D7B16-EEFD-4B2C-9FDD-9CFF5E9E678D}" name="Column307"/>
    <tableColumn id="310" xr3:uid="{9AB64464-BB0E-4797-8B54-DEC6AFFF3C36}" name="Column308"/>
    <tableColumn id="311" xr3:uid="{5C447983-736D-4F0D-AEE3-9B398E05B36E}" name="Column309"/>
    <tableColumn id="312" xr3:uid="{7084F23D-C8A2-46F6-88B7-AA87E561FF67}" name="Column310"/>
    <tableColumn id="313" xr3:uid="{EED49136-92FC-441F-9098-4826BC2D924F}" name="Column311"/>
    <tableColumn id="314" xr3:uid="{3F7EDD76-4D94-4404-8D9A-21E280291B1B}" name="Column312"/>
    <tableColumn id="315" xr3:uid="{220FC646-9C98-45A9-9717-109BE31DA29B}" name="Column313"/>
    <tableColumn id="316" xr3:uid="{C968400D-F3CB-4E7C-B366-50E645EA1883}" name="Column314"/>
    <tableColumn id="317" xr3:uid="{4CDCE2C2-DEFB-4E5F-91D9-3C92C0116B72}" name="Column315"/>
    <tableColumn id="318" xr3:uid="{A1F71EB3-1713-4840-AAD0-D369204C5213}" name="Column316"/>
    <tableColumn id="319" xr3:uid="{BBE6A754-A9A1-49F3-A838-030AAB111584}" name="Column317"/>
    <tableColumn id="320" xr3:uid="{B7002AB8-FF24-4EAF-96A6-F43533145781}" name="Column318"/>
    <tableColumn id="321" xr3:uid="{3A56DB92-D32E-4E38-B8F8-14008F5BBA8D}" name="Column319"/>
    <tableColumn id="322" xr3:uid="{9E97BD46-B2E9-498A-A90B-65E67D26E287}" name="Column320"/>
    <tableColumn id="323" xr3:uid="{14C9E6CC-5F6C-4435-AB29-FD08F3648B0E}" name="Column321"/>
    <tableColumn id="324" xr3:uid="{9BDFE92F-8725-433A-B7B2-3F1B51306D6A}" name="Column322"/>
    <tableColumn id="325" xr3:uid="{BFCC3E80-362A-4205-9830-5332619644DD}" name="Column323"/>
    <tableColumn id="326" xr3:uid="{0E553648-12B8-455A-A97D-48A6E006345E}" name="Column324"/>
    <tableColumn id="327" xr3:uid="{AE6C4113-7941-4B10-BB00-B781485E3FBC}" name="Column325"/>
    <tableColumn id="328" xr3:uid="{C080C02B-1A1C-4EC8-9418-1B88FE62A722}" name="Column326"/>
    <tableColumn id="329" xr3:uid="{200515B3-A00A-45AD-BD81-C9CB561FDC55}" name="Column327"/>
    <tableColumn id="330" xr3:uid="{B831829A-6B29-4F1A-A2FB-E7164F411F18}" name="Column328"/>
    <tableColumn id="331" xr3:uid="{D30FC6E1-D92D-41A8-856B-EE190178B9D1}" name="Column329"/>
    <tableColumn id="332" xr3:uid="{F72ED552-9DAC-4EE2-8225-51A643500A1F}" name="Column330"/>
    <tableColumn id="333" xr3:uid="{570FD7B2-4A17-4DD6-9EB6-74D48DD2F397}" name="Column331"/>
    <tableColumn id="334" xr3:uid="{CCC3418F-D8B5-4EAE-B3CB-112A2295F7A3}" name="Column332"/>
    <tableColumn id="335" xr3:uid="{689014A1-DEC9-40D2-AE71-F6B8121BB62D}" name="Column333"/>
    <tableColumn id="336" xr3:uid="{231708FC-5A7E-4960-93F5-4E1A1907BCA7}" name="Column334"/>
    <tableColumn id="337" xr3:uid="{A88D7094-D0FB-452F-BF14-7A66802161AB}" name="Column335"/>
    <tableColumn id="338" xr3:uid="{B959CF74-45DF-4C71-9D74-AFB4ACD42BF7}" name="Column336"/>
    <tableColumn id="339" xr3:uid="{60A633BF-FE2C-4DA9-9D3C-301D5FB482DB}" name="Column337"/>
    <tableColumn id="340" xr3:uid="{2F9BC97C-3EA8-4339-8557-C766257E574D}" name="Column338"/>
    <tableColumn id="341" xr3:uid="{0005427C-6349-446D-B722-D8BE45B8135B}" name="Column339"/>
    <tableColumn id="342" xr3:uid="{129F063D-71A9-436B-BED5-D3B5EE46F1B5}" name="Column340"/>
    <tableColumn id="343" xr3:uid="{08DB9CD1-54C2-48DA-B885-CF9A32AA2719}" name="Column341"/>
    <tableColumn id="344" xr3:uid="{D8207173-6649-4359-821F-E1132D9B690D}" name="Column342"/>
    <tableColumn id="345" xr3:uid="{BEF4B67B-26B8-47B9-BFF0-58F2D103E5BE}" name="Column343"/>
    <tableColumn id="346" xr3:uid="{F65A56FD-6B1D-4AD4-B55E-775D55D40AFA}" name="Column344"/>
    <tableColumn id="347" xr3:uid="{D142673C-E2D7-4A1D-80DD-922751262D26}" name="Column345"/>
    <tableColumn id="348" xr3:uid="{CC87B93D-4206-453F-B64B-A3B6EE349A6F}" name="Column346"/>
    <tableColumn id="349" xr3:uid="{F4CC0EEB-8608-4B05-8E41-D8F7A7AC58B8}" name="Column347"/>
    <tableColumn id="350" xr3:uid="{06B51306-EE22-4F1F-BECA-1E17FD0E8145}" name="Column348"/>
    <tableColumn id="351" xr3:uid="{1EC7CF97-105D-400B-91C8-20CA73A83AF0}" name="Column349"/>
    <tableColumn id="352" xr3:uid="{44E2D9BD-5A08-4F56-BFF5-9661435CE538}" name="Column350"/>
    <tableColumn id="353" xr3:uid="{52195595-2840-4D81-B531-086E4A400A99}" name="Column351"/>
    <tableColumn id="354" xr3:uid="{CCAA9686-5BAE-46C8-922F-2C831DF60DC5}" name="Column352"/>
    <tableColumn id="355" xr3:uid="{8EA52771-BD7D-4CDA-9C6C-0B80B0B2B42B}" name="Column353"/>
    <tableColumn id="356" xr3:uid="{453F31CB-CBBF-4406-A58B-E2BEE58BCE93}" name="Column354"/>
    <tableColumn id="357" xr3:uid="{28427FC0-6967-4723-9D21-800009C27103}" name="Column355"/>
    <tableColumn id="358" xr3:uid="{7520860E-9DB3-4438-BF63-98F0A76C38D0}" name="Column356"/>
    <tableColumn id="359" xr3:uid="{216B24E0-A835-4F97-AC99-518565A2F105}" name="Column357"/>
    <tableColumn id="360" xr3:uid="{6D62A8E3-8BF1-4BD5-B0F7-7B709D45BBF3}" name="Column358"/>
    <tableColumn id="361" xr3:uid="{D585B390-4445-4150-9BEE-5DB10F7AB10F}" name="Column359"/>
    <tableColumn id="362" xr3:uid="{DC2AACC8-4B7B-4F76-AB23-D245DF1B6A7D}" name="Column360"/>
    <tableColumn id="363" xr3:uid="{953E1F9B-3C91-4282-B8B9-D8DF067D3383}" name="Column361"/>
    <tableColumn id="364" xr3:uid="{17F122E9-48E3-46D7-9A17-5A68A865FD71}" name="Column362"/>
    <tableColumn id="365" xr3:uid="{1BA53644-0E70-44B9-BC58-B9ABBDB34A3B}" name="Column363"/>
    <tableColumn id="366" xr3:uid="{5B3CFB20-2A5C-47D6-8C57-A0EC188A3403}" name="Column364"/>
    <tableColumn id="367" xr3:uid="{49A4C8FA-7C27-4308-AB7E-0298F5BB9644}" name="Column365"/>
    <tableColumn id="368" xr3:uid="{03095B7C-CC75-4ED2-9426-6C276AD12A32}" name="Column366"/>
    <tableColumn id="369" xr3:uid="{D1BDB94D-4D40-47D2-8EA5-91D93358DE7A}" name="Column367"/>
    <tableColumn id="370" xr3:uid="{81D0CA18-9DAE-4426-8B7F-BEA23B783BF1}" name="Column368"/>
    <tableColumn id="371" xr3:uid="{3304E99D-E8DB-4A4F-A52F-FE4AEE7DD2B2}" name="Column369"/>
    <tableColumn id="372" xr3:uid="{FE34F054-D184-4979-ADB9-FD3A5DAB0E3C}" name="Column370"/>
    <tableColumn id="373" xr3:uid="{574B2745-809C-45BC-AD09-E7251C275020}" name="Column371"/>
    <tableColumn id="374" xr3:uid="{23947416-2F36-4256-ACD6-BF57DEE5B3BC}" name="Column372"/>
    <tableColumn id="375" xr3:uid="{5FB534E8-B8AC-4C77-9DAA-5B2850105771}" name="Column373"/>
    <tableColumn id="376" xr3:uid="{EFC6049A-F17C-4F81-A5DA-2790452E6B62}" name="Column374"/>
    <tableColumn id="377" xr3:uid="{0128D100-093C-40A9-A781-E25B3EBA6738}" name="Column375"/>
    <tableColumn id="378" xr3:uid="{41D56329-655C-4BBC-A4C6-805A7E6494B9}" name="Column376"/>
    <tableColumn id="379" xr3:uid="{A12AA971-F83F-4E59-B2DE-876597FC59E2}" name="Column377"/>
    <tableColumn id="380" xr3:uid="{CED396DB-657A-436B-A33A-41ED278E1364}" name="Column378"/>
    <tableColumn id="381" xr3:uid="{1A0172EB-5E7D-42FC-8A12-D94237D3DE72}" name="Column379"/>
    <tableColumn id="382" xr3:uid="{D265821B-B1E4-4ACF-976A-C789B42A4A56}" name="Column380"/>
    <tableColumn id="383" xr3:uid="{CF54DD19-5C22-4573-B2F5-23BE1F71B63C}" name="Column381"/>
    <tableColumn id="384" xr3:uid="{CE0A3263-639D-44F5-B43A-F4C01D3394C2}" name="Column382"/>
    <tableColumn id="385" xr3:uid="{F78D084B-8802-49FA-8C26-768F79AB9AF4}" name="Column383"/>
    <tableColumn id="386" xr3:uid="{AA41F516-D978-4FB2-98FA-50E01E115BD0}" name="Column384"/>
    <tableColumn id="387" xr3:uid="{09B9B0C2-A61E-4602-AEE8-68ACEDAA466F}" name="Column385"/>
    <tableColumn id="388" xr3:uid="{4FE12037-E954-4F46-9245-E676B182CD08}" name="Column386"/>
    <tableColumn id="389" xr3:uid="{8BB4FBAD-E303-4FFA-AB03-74A6A012DE56}" name="Column387"/>
    <tableColumn id="390" xr3:uid="{69D9DB99-E3D9-406D-8965-491C467158DB}" name="Column388"/>
    <tableColumn id="391" xr3:uid="{BAF06298-23F7-48AD-8B56-A8095737B683}" name="Column389"/>
    <tableColumn id="392" xr3:uid="{DF5B12E7-C63F-4134-8D3B-BDFE7885BE8E}" name="Column390"/>
    <tableColumn id="393" xr3:uid="{F65539F4-0423-4095-9119-771FBF584150}" name="Column391"/>
    <tableColumn id="394" xr3:uid="{D149E9C2-3E17-4324-8057-4CE1101FBD64}" name="Column392"/>
    <tableColumn id="395" xr3:uid="{4B1203FC-D21A-4475-9090-80410A42DD08}" name="Column393"/>
    <tableColumn id="396" xr3:uid="{DFC3A077-E8A6-4AA3-9909-50A6BCB846E9}" name="Column394"/>
    <tableColumn id="397" xr3:uid="{0C29EA55-529D-4DC2-926B-C5556235C84E}" name="Column395"/>
    <tableColumn id="398" xr3:uid="{7438871A-ECBF-4751-BCB2-58CEC8F6EBF0}" name="Column396"/>
    <tableColumn id="399" xr3:uid="{9DF30FB7-60B3-4BC0-B164-5D187E9FF11D}" name="Column397"/>
    <tableColumn id="400" xr3:uid="{4E2EC164-F8D9-4A86-8E01-0F88EACE2C53}" name="Column398"/>
    <tableColumn id="401" xr3:uid="{C265CC86-8CD5-4813-A8CC-161AD59016A9}" name="Column399"/>
    <tableColumn id="402" xr3:uid="{B480B3B1-762E-4566-AC50-F43A0AFAEADE}" name="Column400"/>
    <tableColumn id="403" xr3:uid="{F7DF1298-0BFE-497A-9CBC-5B6B8D9958A1}" name="Column401"/>
    <tableColumn id="404" xr3:uid="{E5A27FB3-51D1-4C30-908A-E0B8D9B62085}" name="Column402"/>
    <tableColumn id="405" xr3:uid="{1F83192F-2FE3-455D-8E79-B805A2DBBA49}" name="Column403"/>
    <tableColumn id="406" xr3:uid="{CD99031D-353C-4812-9E6D-63C0E8063612}" name="Column404"/>
    <tableColumn id="407" xr3:uid="{2CA458AB-1D49-488C-BEC5-34CAAA2E6CE9}" name="Column405"/>
    <tableColumn id="408" xr3:uid="{087EA089-A771-49C0-B277-1224E2AD1489}" name="Column406"/>
    <tableColumn id="409" xr3:uid="{0C45D939-75F9-4DE0-8999-8BA18ADFCDCC}" name="Column407"/>
    <tableColumn id="410" xr3:uid="{667C3B89-F67B-48B1-BF0F-F51F4AFA7781}" name="Column408"/>
    <tableColumn id="411" xr3:uid="{A9C75695-D351-45B3-BF32-CFC3A40D7F53}" name="Column409"/>
    <tableColumn id="412" xr3:uid="{23F20751-4210-4726-8B6B-81D9C9611473}" name="Column410"/>
    <tableColumn id="413" xr3:uid="{B686A69B-061A-4521-89CA-26E223D54C48}" name="Column411"/>
    <tableColumn id="414" xr3:uid="{D6BE24C3-B19A-4423-8720-8706CA68D148}" name="Column412"/>
    <tableColumn id="415" xr3:uid="{F80F7E2A-7D62-4863-A7E8-3761949AD50A}" name="Column413"/>
    <tableColumn id="416" xr3:uid="{90D77F18-87FA-49D6-AF45-B48793D743D4}" name="Column414"/>
    <tableColumn id="417" xr3:uid="{2CE7FE4E-FF44-4397-9688-6F7662A67D0A}" name="Column415"/>
    <tableColumn id="418" xr3:uid="{D73C45FB-FD6A-4AA7-AD36-2510646A9DC6}" name="Column416"/>
    <tableColumn id="419" xr3:uid="{53B3C41C-9071-454C-94C9-C386D4B1AC22}" name="Column417"/>
    <tableColumn id="420" xr3:uid="{0DA6B2E1-993B-411F-8E37-B37491AC2DB4}" name="Column418"/>
    <tableColumn id="421" xr3:uid="{E4069515-6B69-4432-92F5-64EE943BAC94}" name="Column419"/>
    <tableColumn id="422" xr3:uid="{A9BEBACC-CCCE-4CDC-9444-76F9D7BD5F6D}" name="Column420"/>
    <tableColumn id="423" xr3:uid="{AC0FBC26-591A-41A9-86EB-4EF69C71250F}" name="Column421"/>
    <tableColumn id="424" xr3:uid="{566BDB87-7B40-4BBD-983A-563B5C9C1348}" name="Column422"/>
    <tableColumn id="425" xr3:uid="{DAF628F9-CBC0-4508-A2F0-1497E2E56589}" name="Column423"/>
    <tableColumn id="426" xr3:uid="{ADAF8D2E-11F7-4F57-B6E8-ED93151809E6}" name="Column424"/>
    <tableColumn id="427" xr3:uid="{2C706907-06A0-4AE3-B8D1-E5769DD31ACE}" name="Column425"/>
    <tableColumn id="428" xr3:uid="{26A2B195-2DDD-46FB-92AE-55F1FB37C409}" name="Column426"/>
    <tableColumn id="429" xr3:uid="{019B4720-14E6-4FBB-904B-297329BA42EF}" name="Column427"/>
    <tableColumn id="430" xr3:uid="{102E001E-F30E-470B-B2D7-7BE8AFAB01E1}" name="Column428"/>
    <tableColumn id="431" xr3:uid="{619E0178-84EE-433C-A36B-D08DC2DD3640}" name="Column429"/>
    <tableColumn id="432" xr3:uid="{B27BF8DC-F127-44C2-98B0-B4D4F0670C96}" name="Column430"/>
    <tableColumn id="433" xr3:uid="{903AADE4-EEAD-4DBA-BF41-0B81562DDF74}" name="Column431"/>
    <tableColumn id="434" xr3:uid="{41334435-2CB8-420F-9D76-B7BD73415B1B}" name="Column432"/>
    <tableColumn id="435" xr3:uid="{F6F7ED31-2061-42B6-ADC9-16459FB6EE41}" name="Column433"/>
    <tableColumn id="436" xr3:uid="{84B446C3-4DC6-424A-92F2-7A2EC2FA8991}" name="Column434"/>
    <tableColumn id="437" xr3:uid="{DF1CB28D-E5CA-4D8C-9090-239C5B14454A}" name="Column435"/>
    <tableColumn id="438" xr3:uid="{9DFFBDAE-28EA-487D-894D-7A32CE270989}" name="Column436"/>
    <tableColumn id="439" xr3:uid="{EAAC3E71-30BE-4FA3-90B9-6005054D7A66}" name="Column437"/>
    <tableColumn id="440" xr3:uid="{F6FA18B2-26B2-431A-A04E-549C2E9CBB58}" name="Column438"/>
    <tableColumn id="441" xr3:uid="{96496BA3-5A8A-44C5-AE7B-A0494A9FD647}" name="Column439"/>
    <tableColumn id="442" xr3:uid="{6217810C-A959-48B7-A7AC-5AE88805D72F}" name="Column440"/>
    <tableColumn id="443" xr3:uid="{D35FE20E-0034-4ABD-9F51-2430EEED554F}" name="Column441"/>
    <tableColumn id="444" xr3:uid="{628AF166-D9B9-4A94-B346-27FE4C0F125D}" name="Column442"/>
    <tableColumn id="445" xr3:uid="{6117BB43-559F-4242-A6ED-C966CB29DBF6}" name="Column443"/>
    <tableColumn id="446" xr3:uid="{9363C242-3029-4AEA-B0E3-4E5A1A69F6DC}" name="Column444"/>
    <tableColumn id="447" xr3:uid="{023E5A2D-3706-4EC1-919F-ABFF29721F0F}" name="Column445"/>
    <tableColumn id="448" xr3:uid="{CE7F9FF8-F04E-4A9B-B334-49B07353FC49}" name="Column446"/>
    <tableColumn id="449" xr3:uid="{2755E6F8-1387-411D-BB0D-EBE5EBC90CC7}" name="Column447"/>
    <tableColumn id="450" xr3:uid="{0049C64E-FBA5-41E1-838E-1F8BF035E839}" name="Column448"/>
    <tableColumn id="451" xr3:uid="{6B99DF93-D16F-4ADC-AC69-159ABB3751C2}" name="Column449"/>
    <tableColumn id="452" xr3:uid="{D2A07D97-A700-4B7A-9E8D-72B1C5CB930F}" name="Column450"/>
    <tableColumn id="453" xr3:uid="{2440EDAA-427A-4C88-9516-8C3DEBBA4581}" name="Column451"/>
    <tableColumn id="454" xr3:uid="{548C57B0-B059-41FE-B75B-BFC3C0990F5E}" name="Column452"/>
    <tableColumn id="455" xr3:uid="{F54143DE-5CEF-46B7-9700-B3F85FA86F6C}" name="Column453"/>
    <tableColumn id="456" xr3:uid="{5ACA6F3B-F713-4B03-826D-5FF24D2F7F62}" name="Column454"/>
    <tableColumn id="457" xr3:uid="{5EAA6422-A00D-467A-B706-3C6272B4450F}" name="Column455"/>
    <tableColumn id="458" xr3:uid="{10C49D0F-DFAB-441E-998A-0323FE050C16}" name="Column456"/>
    <tableColumn id="459" xr3:uid="{C707663F-345E-4951-AAC7-C9FA04F9D281}" name="Column457"/>
    <tableColumn id="460" xr3:uid="{35D2A355-7B25-411C-84D2-1520618F0728}" name="Column458"/>
    <tableColumn id="461" xr3:uid="{54B6478F-8F9C-4A50-A7A8-F582ABDC4D94}" name="Column459"/>
    <tableColumn id="462" xr3:uid="{699B4BAB-984E-4147-8587-40223C1AC7CE}" name="Column460"/>
    <tableColumn id="463" xr3:uid="{46DD96F1-6EA4-4F5F-A53C-1D3C159D6520}" name="Column461"/>
    <tableColumn id="464" xr3:uid="{E156251C-7A2A-4D7B-9F4C-EC0D8F9C22CB}" name="Column462"/>
    <tableColumn id="465" xr3:uid="{06328B7D-38DC-4D13-9C78-181D621CFF50}" name="Column463"/>
    <tableColumn id="466" xr3:uid="{06CA5A46-9AF2-4FB8-A8B9-C8D054906DF4}" name="Column464"/>
    <tableColumn id="467" xr3:uid="{EC593D70-C6CD-4A90-8101-B5B67B897F23}" name="Column465"/>
    <tableColumn id="468" xr3:uid="{52DA0CED-60B0-4D12-B04C-AE050CD3DF7A}" name="Column466"/>
    <tableColumn id="469" xr3:uid="{111906F9-9E73-4B42-9B43-6D755C74E471}" name="Column467"/>
    <tableColumn id="470" xr3:uid="{62556F1A-7B06-46B6-A437-D12224FA645E}" name="Column468"/>
    <tableColumn id="471" xr3:uid="{3594BD94-7254-4FF5-B704-E78AFC04D089}" name="Column469"/>
    <tableColumn id="472" xr3:uid="{D7684C83-F7D4-4EC1-A735-6F57F43AD4BB}" name="Column470"/>
    <tableColumn id="473" xr3:uid="{B280AF2E-6EDD-44B2-8C7A-F0B7A5753C23}" name="Column471"/>
    <tableColumn id="474" xr3:uid="{9174BA3D-5865-4303-AC93-44FFD8F5B866}" name="Column472"/>
    <tableColumn id="475" xr3:uid="{D7D0AB99-B615-48A3-83E3-993110D4870F}" name="Column473"/>
    <tableColumn id="476" xr3:uid="{9C497A20-E368-4C70-959F-4A7C82FC179A}" name="Column474"/>
    <tableColumn id="477" xr3:uid="{7E8A13A8-9564-40D4-8EA7-9DE797038145}" name="Column475"/>
    <tableColumn id="478" xr3:uid="{6A1CE5F8-D9DA-4EDE-9798-306B066690C1}" name="Column476"/>
    <tableColumn id="479" xr3:uid="{C014DB6C-2746-406E-853E-618FAD572D77}" name="Column477"/>
    <tableColumn id="480" xr3:uid="{0947B084-7FD9-4D79-9232-320CA3BA9EE3}" name="Column478"/>
    <tableColumn id="481" xr3:uid="{C07FC5F7-947E-4D01-A71D-C540DF9A96C0}" name="Column479"/>
    <tableColumn id="482" xr3:uid="{182C8198-1BC0-4A37-9245-351E98C2E831}" name="Column480"/>
    <tableColumn id="483" xr3:uid="{B4CA22ED-6133-4CFF-A269-E47539887125}" name="Column481"/>
    <tableColumn id="484" xr3:uid="{4C1A40F2-FDAE-4932-9B3F-13AC418433D5}" name="Column482"/>
    <tableColumn id="485" xr3:uid="{27A24914-B9D7-48D8-948A-72C67A4FEA1A}" name="Column483"/>
    <tableColumn id="486" xr3:uid="{B4A42711-219E-4F05-A0B1-A0E13E5943D3}" name="Column484"/>
    <tableColumn id="487" xr3:uid="{58C4996E-25BE-4FA7-B39D-422612A576B6}" name="Column485"/>
    <tableColumn id="488" xr3:uid="{52FE2E1C-FF47-49CE-A624-DC846155069A}" name="Column486"/>
    <tableColumn id="489" xr3:uid="{DB016BE7-CFBA-4218-A1F6-C6A0547D1501}" name="Column487"/>
    <tableColumn id="490" xr3:uid="{332EBEA1-81D2-434A-B881-D5EBD8B6ABD0}" name="Column488"/>
    <tableColumn id="491" xr3:uid="{3687D731-AF42-416B-B014-CCEC68644546}" name="Column489"/>
    <tableColumn id="492" xr3:uid="{6FB371D3-6113-466E-ABFB-ADAE8673C395}" name="Column490"/>
    <tableColumn id="493" xr3:uid="{2439D2AB-74D1-4F05-9089-7EC10862468E}" name="Column491"/>
    <tableColumn id="494" xr3:uid="{819A83CC-6BE1-4171-8DBB-3808EBAC3C17}" name="Column492"/>
    <tableColumn id="495" xr3:uid="{D11A5940-D0EA-4EEF-B435-51786E770598}" name="Column493"/>
    <tableColumn id="496" xr3:uid="{C8126ED8-01BA-493C-97AE-99E85C757063}" name="Column494"/>
    <tableColumn id="497" xr3:uid="{D97C7DCD-04E0-459D-A583-CBD6087E9726}" name="Column495"/>
    <tableColumn id="498" xr3:uid="{C8D6F5E2-AABB-48DB-9854-F125612F0DB6}" name="Column496"/>
    <tableColumn id="499" xr3:uid="{1E006681-353A-4DD1-A185-6948C8299D6B}" name="Column497"/>
    <tableColumn id="500" xr3:uid="{A86FBB54-6A87-46DD-9CB1-3296DBBEA23E}" name="Column498"/>
    <tableColumn id="501" xr3:uid="{B52AF3AE-4970-4BE1-A162-5F5037F6D427}" name="Column499"/>
    <tableColumn id="502" xr3:uid="{C439385C-6CF0-43B9-B5FA-9C7C259B94F1}" name="Column500"/>
    <tableColumn id="503" xr3:uid="{9987B2F0-21DB-46BD-9875-4BD09B8439C1}" name="Column501"/>
    <tableColumn id="504" xr3:uid="{9CC4EB62-CCDB-4E96-BBA2-E7F3A6ED970F}" name="Column502"/>
    <tableColumn id="505" xr3:uid="{29F1CC42-E587-4CAA-AB78-542914F4758E}" name="Column503"/>
    <tableColumn id="506" xr3:uid="{F894ED38-8985-4EB5-B132-DE5E25C4DDFF}" name="Column504"/>
    <tableColumn id="507" xr3:uid="{04FE2A26-0E04-4982-8347-8E2EEF7DC68E}" name="Column505"/>
    <tableColumn id="508" xr3:uid="{CAEBBA7A-D691-4152-8BFC-2C69CB80718E}" name="Column506"/>
    <tableColumn id="509" xr3:uid="{0942B681-3DEA-451F-9666-068BF3801FDF}" name="Column507"/>
    <tableColumn id="510" xr3:uid="{CF3E88A9-77B9-4802-8F9F-0B5159BC6725}" name="Column508"/>
    <tableColumn id="511" xr3:uid="{F4D0A5FD-ACA2-4CF4-8AF8-6BF0199DB67B}" name="Column509"/>
    <tableColumn id="512" xr3:uid="{C14A5A84-4018-4D7E-BC39-8FFCB2E7B5A3}" name="Column510"/>
    <tableColumn id="513" xr3:uid="{C967C121-5A02-433B-A81E-49AA838DB973}" name="Column511"/>
    <tableColumn id="514" xr3:uid="{C3B4C12F-1D54-4C2A-BE75-C7071AA59F10}" name="Column512"/>
    <tableColumn id="515" xr3:uid="{D31F1786-E311-4973-8A6C-5E484B5A4C36}" name="Column513"/>
    <tableColumn id="516" xr3:uid="{170B6361-A1F8-44C3-8153-6B8E293505A9}" name="Column514"/>
    <tableColumn id="517" xr3:uid="{B9AA44C0-62AB-40D8-8EE2-0AE46D49C71A}" name="Column515"/>
    <tableColumn id="518" xr3:uid="{9CAD8D53-58D2-4C97-A8A0-35467B73FD59}" name="Column516"/>
    <tableColumn id="519" xr3:uid="{4DDF37A0-6E50-46B1-9185-ABE4CEC5ED09}" name="Column517"/>
    <tableColumn id="520" xr3:uid="{7AA3E68B-7808-48AA-A2A8-60AA8FFF38FC}" name="Column518"/>
    <tableColumn id="521" xr3:uid="{328C4139-3334-4B7A-B98C-E65804243F2F}" name="Column519"/>
    <tableColumn id="522" xr3:uid="{0D484008-C050-41E7-9932-33FEE96CA7DF}" name="Column520"/>
    <tableColumn id="523" xr3:uid="{AF179A3E-AE79-411B-80FC-5B6168F07B6E}" name="Column521"/>
    <tableColumn id="524" xr3:uid="{75AFA325-B089-4377-A150-A596C860B24C}" name="Column522"/>
    <tableColumn id="525" xr3:uid="{8DD40482-C1A1-4BFF-AAB4-FCBD1F214E5C}" name="Column523"/>
    <tableColumn id="526" xr3:uid="{D8F42429-7D1E-4C51-A15B-2316D322B4D8}" name="Column524"/>
    <tableColumn id="527" xr3:uid="{E45A9662-1AF4-485A-A85A-3EAA566C34E8}" name="Column525"/>
    <tableColumn id="528" xr3:uid="{6E68FE72-265D-4046-AFDF-E34F4F91B2FF}" name="Column526"/>
    <tableColumn id="529" xr3:uid="{CF5F53A6-6BC4-4073-9777-B47DF8C85703}" name="Column527"/>
    <tableColumn id="530" xr3:uid="{2002D1FE-B9F8-46BD-90E5-A08953F1FEFF}" name="Column528"/>
    <tableColumn id="531" xr3:uid="{841D38E2-44DE-4F58-9B34-2A93618BDB15}" name="Column529"/>
    <tableColumn id="532" xr3:uid="{45D05630-8833-4B8C-9DBD-228D1F6B1019}" name="Column530"/>
    <tableColumn id="533" xr3:uid="{5A576F36-6C7A-44CB-AE7C-3491E9F30B2E}" name="Column531"/>
    <tableColumn id="534" xr3:uid="{B7BE42B0-5810-4082-B686-DA571E4CE4F7}" name="Column532"/>
    <tableColumn id="535" xr3:uid="{D1D0B087-19EE-4920-9726-9342CB46DDAD}" name="Column533"/>
    <tableColumn id="536" xr3:uid="{300B136B-EB59-4CC8-85EA-05C4A7C7DC9D}" name="Column534"/>
    <tableColumn id="537" xr3:uid="{CB361E46-E2D0-4581-AC62-F26FC8CA26B4}" name="Column535"/>
    <tableColumn id="538" xr3:uid="{0B591522-8D1B-4806-A9EC-B1DDDDCB2D67}" name="Column536"/>
    <tableColumn id="539" xr3:uid="{157D7ADC-4A8F-43ED-BD6B-A83B8AF81BF7}" name="Column537"/>
    <tableColumn id="540" xr3:uid="{997EDE42-0BC9-4026-9EFB-8705C1673C74}" name="Column538"/>
    <tableColumn id="541" xr3:uid="{13466FF6-4532-47C4-A1A2-3CB27032BC3D}" name="Column539"/>
    <tableColumn id="542" xr3:uid="{09CF5FD4-6821-4E2F-8335-AF22ACCD47A1}" name="Column540"/>
    <tableColumn id="543" xr3:uid="{5C888199-C245-406E-BFA5-43AE24B959E8}" name="Column541"/>
    <tableColumn id="544" xr3:uid="{7B63B94D-CA05-4B58-B1E4-73B16530A548}" name="Column542"/>
    <tableColumn id="545" xr3:uid="{70CE0C11-B142-418C-8701-3ABF846A230D}" name="Column543"/>
    <tableColumn id="546" xr3:uid="{26B8C36A-D6D1-4CC5-9650-B6C1EB5A047E}" name="Column544"/>
    <tableColumn id="547" xr3:uid="{6F5944E9-E2E1-4C47-9B88-6BE0F434E300}" name="Column545"/>
    <tableColumn id="548" xr3:uid="{6AC120C9-5873-45C3-B5F6-11EF88286ACF}" name="Column546"/>
    <tableColumn id="549" xr3:uid="{ED1A785A-28C6-4609-AF7D-969ABA75F0BD}" name="Column547"/>
    <tableColumn id="550" xr3:uid="{3E551656-0FA2-4B7A-934B-FE4141282D2A}" name="Column548"/>
    <tableColumn id="551" xr3:uid="{CDC0B90F-92A0-4D1E-9E33-40750FC66265}" name="Column549"/>
    <tableColumn id="552" xr3:uid="{F8EE7D01-0971-41A3-9449-F7C91DACB852}" name="Column550"/>
    <tableColumn id="553" xr3:uid="{84C87844-0A36-4919-A189-155DBF5838F5}" name="Column551"/>
    <tableColumn id="554" xr3:uid="{86235B66-2075-4E47-B29D-5CEE28062EC9}" name="Column552"/>
    <tableColumn id="555" xr3:uid="{87A964A0-6C5C-4498-BC41-5BED3EE530A8}" name="Column553"/>
    <tableColumn id="556" xr3:uid="{5C2B2EE5-E080-4E34-9ADB-110A179CFD3F}" name="Column554"/>
    <tableColumn id="557" xr3:uid="{F14F4D88-4BAC-4EFF-B01C-C2BE79C372B9}" name="Column555"/>
    <tableColumn id="558" xr3:uid="{8AFA184E-2D43-4A09-B9C8-46715D43E2E1}" name="Column556"/>
    <tableColumn id="559" xr3:uid="{60227758-0FB1-4AA1-8105-756C105AB431}" name="Column557"/>
    <tableColumn id="560" xr3:uid="{9D88DDCA-3FE1-4A34-8936-2D69C685F117}" name="Column558"/>
    <tableColumn id="561" xr3:uid="{CDC54EFE-6C88-423A-A35D-7FDA9F0CA0F1}" name="Column559"/>
    <tableColumn id="562" xr3:uid="{BE00ABFE-22A5-40F2-B65A-880051B1478F}" name="Column560"/>
    <tableColumn id="563" xr3:uid="{25E26CCE-2837-455E-AE29-EED6E75E70B9}" name="Column561"/>
    <tableColumn id="564" xr3:uid="{671ABC69-BBCF-4953-8545-1EAD4FD1BD69}" name="Column562"/>
    <tableColumn id="565" xr3:uid="{B5BF484A-6A1F-4186-94A9-1EA8F012E30B}" name="Column563"/>
    <tableColumn id="566" xr3:uid="{B2E3EA17-CE5D-46C4-A6B4-C60D5C9CD6CD}" name="Column564"/>
    <tableColumn id="567" xr3:uid="{7D19203A-951D-4B53-8A0D-D016DB4F2A54}" name="Column565"/>
    <tableColumn id="568" xr3:uid="{57BD4BBB-55A3-40CE-9827-EA8BEF52AF23}" name="Column566"/>
    <tableColumn id="569" xr3:uid="{BFD5DADE-0434-4A59-997D-EFA008DB862E}" name="Column567"/>
    <tableColumn id="570" xr3:uid="{549AAEAF-24F7-4A6B-A140-98EB1B01C777}" name="Column568"/>
    <tableColumn id="571" xr3:uid="{075B00AE-76D2-4698-B785-64CB0A283076}" name="Column569"/>
    <tableColumn id="572" xr3:uid="{D7734A4A-33DB-49CB-8109-1B426D925402}" name="Column570"/>
    <tableColumn id="573" xr3:uid="{B1128897-EBA1-40B9-8CBE-AD3507CB3E91}" name="Column571"/>
    <tableColumn id="574" xr3:uid="{F32D231C-3CB4-4A9E-A12D-69BCB7C235B7}" name="Column572"/>
    <tableColumn id="575" xr3:uid="{1A40767F-3F74-40E3-ADE8-2D29948B8AF1}" name="Column573"/>
    <tableColumn id="576" xr3:uid="{510CEDF3-9393-4CFB-AE65-A139975501DD}" name="Column574"/>
    <tableColumn id="577" xr3:uid="{20B00B45-16DB-449A-84BE-7107191716FE}" name="Column575"/>
    <tableColumn id="578" xr3:uid="{804A0935-C7A2-4004-B32C-344E15833AEC}" name="Column576"/>
    <tableColumn id="579" xr3:uid="{76C30B87-B5E2-4826-A81D-5FE157A4795A}" name="Column577"/>
    <tableColumn id="580" xr3:uid="{2AF66268-4A8F-4862-A302-E90143D9E1FD}" name="Column578"/>
    <tableColumn id="581" xr3:uid="{B46B0307-2977-4E77-BE6D-5C498EFD5588}" name="Column579"/>
    <tableColumn id="582" xr3:uid="{3AB2C150-1A40-4AAD-AF39-9DDAABFBA67A}" name="Column580"/>
    <tableColumn id="583" xr3:uid="{E1C3FEB6-3F61-4996-BE7E-B31A617B31C7}" name="Column581"/>
    <tableColumn id="584" xr3:uid="{A77D37C2-DDA6-4490-82EF-421FB879A61F}" name="Column582"/>
    <tableColumn id="585" xr3:uid="{CF0B33FF-31E8-4B73-8472-371149CE60D0}" name="Column583"/>
    <tableColumn id="586" xr3:uid="{A10336DA-FA32-4113-94C4-591A5D9FF0D9}" name="Column584"/>
    <tableColumn id="587" xr3:uid="{3848A70B-2494-47B3-9072-30C8949C12C3}" name="Column585"/>
    <tableColumn id="588" xr3:uid="{FA869671-D83B-4103-A888-A1C79D53FCDA}" name="Column586"/>
    <tableColumn id="589" xr3:uid="{56ED1C26-D898-4DD5-B4E3-2DADCE084F89}" name="Column587"/>
    <tableColumn id="590" xr3:uid="{442F634A-3582-4959-9813-31FA305B45AB}" name="Column588"/>
    <tableColumn id="591" xr3:uid="{49DAAE36-2E05-451B-A4CF-5F4E61FAF252}" name="Column589"/>
    <tableColumn id="592" xr3:uid="{2F79487F-E892-4D30-8E20-B2FDFEDC1F1A}" name="Column590"/>
    <tableColumn id="593" xr3:uid="{7973434A-83D0-4A42-BFAF-A7740007E8CE}" name="Column591"/>
    <tableColumn id="594" xr3:uid="{EB683D82-6E04-4817-8A4D-90DF333AB1AE}" name="Column592"/>
    <tableColumn id="595" xr3:uid="{98796E8C-0113-494A-A580-356C5EA751AD}" name="Column593"/>
    <tableColumn id="596" xr3:uid="{9CBA1B8E-ADF0-4B68-ADE1-EBB39D98AD80}" name="Column594"/>
    <tableColumn id="597" xr3:uid="{E6982603-0CEB-422C-ADE4-005CCB03664A}" name="Column595"/>
    <tableColumn id="598" xr3:uid="{EB3302C7-D860-4941-A30A-C36AEF2247C6}" name="Column596"/>
    <tableColumn id="599" xr3:uid="{907DA786-3F92-4568-9E20-5BF733C6F87C}" name="Column597"/>
    <tableColumn id="600" xr3:uid="{7C87DB88-0801-43B3-94A8-3BCBC67A08B6}" name="Column598"/>
    <tableColumn id="601" xr3:uid="{86CE39C1-9AD9-43C7-8808-F98C490BB87A}" name="Column599"/>
    <tableColumn id="602" xr3:uid="{BAF14D4C-CEC6-406E-8210-3F2DF56E9CE4}" name="Column600"/>
    <tableColumn id="603" xr3:uid="{08249C2F-AD30-447C-A509-705B4B147853}" name="Column601"/>
    <tableColumn id="604" xr3:uid="{5B50E3D4-4489-463A-B7F0-5653FBE665C0}" name="Column602"/>
    <tableColumn id="605" xr3:uid="{8CC890DD-6A65-45D5-B3BB-9D257E1D3303}" name="Column603"/>
    <tableColumn id="606" xr3:uid="{BC2D69E7-C0EA-410E-86E4-FC8611EBA0FF}" name="Column604"/>
    <tableColumn id="607" xr3:uid="{107C081F-C662-49C8-A652-C0E7370E5101}" name="Column605"/>
    <tableColumn id="608" xr3:uid="{E27AB160-D27B-4510-92F5-0EA86C82D71B}" name="Column606"/>
    <tableColumn id="609" xr3:uid="{8A21765A-DC3D-40B7-BB91-75CB243C3102}" name="Column607"/>
    <tableColumn id="610" xr3:uid="{C240A3F1-9172-48C6-98B0-0FC800D0FBC2}" name="Column608"/>
    <tableColumn id="611" xr3:uid="{80F31E63-0AA1-4551-9788-9E623111CAAA}" name="Column609"/>
    <tableColumn id="612" xr3:uid="{0D5A5601-5AF5-41BA-A1B7-669EDF28B3C9}" name="Column610"/>
    <tableColumn id="613" xr3:uid="{876F4219-8F81-46D1-A156-30E3F87991E6}" name="Column611"/>
    <tableColumn id="614" xr3:uid="{EE64E6BD-692A-456D-AD53-FEEF28040CF6}" name="Column612"/>
    <tableColumn id="615" xr3:uid="{3FDB7616-C07E-4E8F-8F3E-9E5F55A1F5D8}" name="Column613"/>
    <tableColumn id="616" xr3:uid="{A6DC8668-737C-4FF5-AB50-48F1C615FFC9}" name="Column614"/>
    <tableColumn id="617" xr3:uid="{004A50B6-7464-4DA9-917E-99780202101F}" name="Column615"/>
    <tableColumn id="618" xr3:uid="{5EBB3E54-9FAB-4EEB-A2CD-017260133720}" name="Column616"/>
    <tableColumn id="619" xr3:uid="{E1EDCFD1-5B95-4AA0-84B9-2D5AAD1D136C}" name="Column617"/>
    <tableColumn id="620" xr3:uid="{E1ADB61F-6F10-4566-B981-7343E8A1A91A}" name="Column618"/>
    <tableColumn id="621" xr3:uid="{74D3E502-184E-4138-9134-882AB44A3AE7}" name="Column619"/>
    <tableColumn id="622" xr3:uid="{0811A68F-BD97-4597-BCB0-619B14E1A9EB}" name="Column620"/>
    <tableColumn id="623" xr3:uid="{D074FA3E-7941-41AC-B85D-D05C7AA7E737}" name="Column621"/>
    <tableColumn id="624" xr3:uid="{222218A7-A93E-4559-9A50-DBC6C58B0CD0}" name="Column622"/>
    <tableColumn id="625" xr3:uid="{AF2B3F94-089B-498D-A6A8-150C00629A1F}" name="Column623"/>
    <tableColumn id="626" xr3:uid="{45990C22-D6BC-4497-9DD2-BD01DA27824B}" name="Column624"/>
    <tableColumn id="627" xr3:uid="{ECD87E3B-ED07-4AF2-8D51-6695AFB207C8}" name="Column625"/>
    <tableColumn id="628" xr3:uid="{FF8C5637-FC86-4DFA-9D87-5F0483FD6205}" name="Column626"/>
    <tableColumn id="629" xr3:uid="{4C330DBD-A32D-49B7-B399-3635EEA921AC}" name="Column627"/>
    <tableColumn id="630" xr3:uid="{6E0576E3-2728-4ADC-981D-38E524F598CF}" name="Column628"/>
    <tableColumn id="631" xr3:uid="{7DF92ABE-7A29-4297-8AB4-8032641786DA}" name="Column629"/>
    <tableColumn id="632" xr3:uid="{B4E4BDD0-3C80-4946-BAFB-CD23DAA77C3E}" name="Column630"/>
    <tableColumn id="633" xr3:uid="{10ED1F7F-11B8-4E1E-9CB5-59A0890D9F3C}" name="Column631"/>
    <tableColumn id="634" xr3:uid="{5D4DBC92-DE68-4E32-8AFA-5895FFE67AE0}" name="Column632"/>
    <tableColumn id="635" xr3:uid="{3401A366-FFCB-4A7B-A5BB-AD9A49324561}" name="Column633"/>
    <tableColumn id="636" xr3:uid="{D86EB8EE-D011-4B1C-BA8F-98B4B531853A}" name="Column634"/>
    <tableColumn id="637" xr3:uid="{CB874C71-A53F-4AA4-946E-57B0E414927E}" name="Column635"/>
    <tableColumn id="638" xr3:uid="{15521A35-9C15-4641-9347-BF28D3D9B44B}" name="Column636"/>
    <tableColumn id="639" xr3:uid="{FDAD5837-F642-4582-8D4B-5247BDE3A9A5}" name="Column637"/>
    <tableColumn id="640" xr3:uid="{E6D0704E-1CE1-4E02-B7FE-7F55F771BE76}" name="Column638"/>
    <tableColumn id="641" xr3:uid="{E7113951-91D0-4AEA-91F9-0F579E687E0D}" name="Column639"/>
    <tableColumn id="642" xr3:uid="{4B29D6C1-EF3B-45EC-AB57-4CBFDDE9D361}" name="Column640"/>
    <tableColumn id="643" xr3:uid="{5F73FFB6-938C-41E7-9899-8741AAC8417E}" name="Column641"/>
    <tableColumn id="644" xr3:uid="{336D806F-FD7D-4898-84B4-64698698D2D8}" name="Column642"/>
    <tableColumn id="645" xr3:uid="{C9190E00-0C17-453C-9FE4-F0655823EBB1}" name="Column643"/>
    <tableColumn id="646" xr3:uid="{757A62E4-609A-4349-A757-8BD9FA10A1A8}" name="Column644"/>
    <tableColumn id="647" xr3:uid="{C1461716-C56B-42CB-997D-D6DA7BE8852C}" name="Column645"/>
    <tableColumn id="648" xr3:uid="{11443C85-1011-4DE8-98CF-996BCA5D329F}" name="Column646"/>
    <tableColumn id="649" xr3:uid="{268AA3C8-8340-48BE-92E1-40DF69F82EE9}" name="Column647"/>
    <tableColumn id="650" xr3:uid="{6855713F-3F34-4505-A871-0729AA9CD403}" name="Column648"/>
    <tableColumn id="651" xr3:uid="{732B08AA-1540-463A-9B71-9627C8CAF4B1}" name="Column649"/>
    <tableColumn id="652" xr3:uid="{FF7D81D7-8B1F-4E8F-801F-384D87C883C7}" name="Column650"/>
    <tableColumn id="653" xr3:uid="{D35BCE6F-390F-46AA-B799-B116FAD48952}" name="Column651"/>
    <tableColumn id="654" xr3:uid="{66235B14-AAFB-4995-A7A2-8E47CF64721D}" name="Column652"/>
    <tableColumn id="655" xr3:uid="{A3B55725-537F-4E4A-A8C1-6FC7FBD36AFB}" name="Column653"/>
    <tableColumn id="656" xr3:uid="{1AA19CFF-6679-46FF-AF27-7E45CC820CD6}" name="Column654"/>
    <tableColumn id="657" xr3:uid="{7A48707F-CBAD-41D1-B324-A2204E059D6E}" name="Column655"/>
    <tableColumn id="658" xr3:uid="{3AAE6444-7B0E-40CA-AFDC-F90008E5A9F7}" name="Column656"/>
    <tableColumn id="659" xr3:uid="{0FDEC512-0AAE-464B-A30D-C8DAEB471BF8}" name="Column657"/>
    <tableColumn id="660" xr3:uid="{15A8D564-CD35-4B5D-A766-D75FCD87A51F}" name="Column658"/>
    <tableColumn id="661" xr3:uid="{AA8E1183-DA3C-4C18-B028-45CAB8E977C1}" name="Column659"/>
    <tableColumn id="662" xr3:uid="{4DA2030E-8261-4DED-BBA1-73D6F96F7DE7}" name="Column660"/>
    <tableColumn id="663" xr3:uid="{887FB94B-3A9B-4A6F-834E-8B97DD3AD086}" name="Column661"/>
    <tableColumn id="664" xr3:uid="{2A24E6AC-47D8-433C-804E-FF578A5CA9C9}" name="Column662"/>
    <tableColumn id="665" xr3:uid="{E016B1CE-C616-471C-939C-514908FBB46A}" name="Column663"/>
    <tableColumn id="666" xr3:uid="{665F28A2-7314-4BC3-8AA7-DD44D00577BD}" name="Column664"/>
    <tableColumn id="667" xr3:uid="{AFB74ABB-336A-4A3B-A76D-2029D19A46A0}" name="Column665"/>
    <tableColumn id="668" xr3:uid="{8F1CA28A-D434-4D90-857E-F20EDBDF6C1D}" name="Column666"/>
    <tableColumn id="669" xr3:uid="{4748CF92-512A-4E0B-8368-1A09F1CF6400}" name="Column667"/>
    <tableColumn id="670" xr3:uid="{B0388246-6092-4E69-8F04-17E8C77C4350}" name="Column668"/>
    <tableColumn id="671" xr3:uid="{E9D32416-C33E-4D3B-811F-C3499697524F}" name="Column669"/>
    <tableColumn id="672" xr3:uid="{F0BC8A8D-EC53-4D8C-B658-71F19ED5280E}" name="Column670"/>
    <tableColumn id="673" xr3:uid="{9B12C465-BE9A-4940-BAA0-24316C96A8EC}" name="Column671"/>
    <tableColumn id="674" xr3:uid="{20C88F8E-CB1C-48AA-8EE8-1D2EF82C38F0}" name="Column672"/>
    <tableColumn id="675" xr3:uid="{ACA05D36-D139-402A-8776-AB724ABEE031}" name="Column673"/>
    <tableColumn id="676" xr3:uid="{32A56000-423B-44EE-BD6E-3A336D20DD38}" name="Column674"/>
    <tableColumn id="677" xr3:uid="{3541442C-AE38-4BAD-9F90-3BC5714EE39E}" name="Column675"/>
    <tableColumn id="678" xr3:uid="{ED806D6D-BF3D-42FE-A6CA-E414FCC4A04E}" name="Column676"/>
    <tableColumn id="679" xr3:uid="{90F0FAFF-BD4E-44DD-9ACD-24E9D40113FB}" name="Column677"/>
    <tableColumn id="680" xr3:uid="{CA855A3D-A51A-4A4F-82C9-3EFA9822723E}" name="Column678"/>
    <tableColumn id="681" xr3:uid="{1AA35D42-EAA7-479D-98C6-C88581ED92D7}" name="Column679"/>
    <tableColumn id="682" xr3:uid="{BB804E16-A179-4DDF-91BF-25D4CE98594F}" name="Column680"/>
    <tableColumn id="683" xr3:uid="{3E8484C2-4078-4F23-B209-9E1488BF79A8}" name="Column681"/>
    <tableColumn id="684" xr3:uid="{C33BA38B-620E-4F1F-B3C9-2DCFB00CDB46}" name="Column682"/>
    <tableColumn id="685" xr3:uid="{9996E133-99A3-414E-8A0B-EA0819DD7896}" name="Column683"/>
    <tableColumn id="686" xr3:uid="{1A2F044B-5EA1-4646-90FB-ACBD02547F46}" name="Column684"/>
    <tableColumn id="687" xr3:uid="{62C367CE-F851-4DA4-8E9D-BB5F67526ABA}" name="Column685"/>
    <tableColumn id="688" xr3:uid="{1C53B7E9-DA00-4151-A672-C36321D448F8}" name="Column686"/>
    <tableColumn id="689" xr3:uid="{4E95ED81-6AA4-41F2-8AC4-F92ECABD96C7}" name="Column687"/>
    <tableColumn id="690" xr3:uid="{ECA7ECE9-3964-4559-85FD-D60534C793BB}" name="Column688"/>
    <tableColumn id="691" xr3:uid="{CFF1D6D9-9349-4868-AAD0-A3F65FFDD0A6}" name="Column689"/>
    <tableColumn id="692" xr3:uid="{8561F560-56E2-4942-8406-9462A87EF2C1}" name="Column690"/>
    <tableColumn id="693" xr3:uid="{377A1F8B-693D-452D-99D8-A9BBA35B6659}" name="Column691"/>
    <tableColumn id="694" xr3:uid="{4A63A47E-EBAF-4E22-B2C7-48A23D9377FA}" name="Column692"/>
    <tableColumn id="695" xr3:uid="{6C87B571-F2DD-4B21-B212-9EF97F7EF1A0}" name="Column693"/>
    <tableColumn id="696" xr3:uid="{0631D773-5C53-41AD-8E95-608F755ADD1C}" name="Column694"/>
    <tableColumn id="697" xr3:uid="{A7C030A8-364C-4E3A-AB82-11C2DA4BE17C}" name="Column695"/>
    <tableColumn id="698" xr3:uid="{1F14A170-BE98-4B23-BEF1-75D99B03D8DF}" name="Column696"/>
    <tableColumn id="699" xr3:uid="{0C601280-94C7-4C04-92F8-2B79231A65D2}" name="Column697"/>
    <tableColumn id="700" xr3:uid="{0C3F2A05-8277-4843-9395-6E0DD9BBAE79}" name="Column698"/>
    <tableColumn id="701" xr3:uid="{5D1ABCE4-9DE7-4523-B0FE-5CBDDB93DA96}" name="Column699"/>
    <tableColumn id="702" xr3:uid="{8A3AD8FB-C952-4692-BE4E-768EE7B5ECF2}" name="Column700"/>
    <tableColumn id="703" xr3:uid="{1E18E89D-1BC9-4B45-87ED-3302B8D027B8}" name="Column701"/>
    <tableColumn id="704" xr3:uid="{5F50708C-F968-42E0-88BC-C998E7C8CB71}" name="Column702"/>
    <tableColumn id="705" xr3:uid="{88595A9C-2F72-448F-BDEA-CB45E11F1BEF}" name="Column703"/>
    <tableColumn id="706" xr3:uid="{2CC31D67-04BF-4433-B172-596A20E1218B}" name="Column704"/>
    <tableColumn id="707" xr3:uid="{FF171EF4-D7D8-4E3B-873E-1FB85FDB2960}" name="Column705"/>
    <tableColumn id="708" xr3:uid="{E905B293-3969-42F8-8C20-9AEE3AF00214}" name="Column706"/>
    <tableColumn id="709" xr3:uid="{9AEC142B-2D4E-41C6-B3D9-F2DDE2686AB5}" name="Column707"/>
    <tableColumn id="710" xr3:uid="{FBA45662-4C64-411C-806D-9548C1633C2A}" name="Column708"/>
    <tableColumn id="711" xr3:uid="{329D9216-779F-4807-B8B3-312E11040EE7}" name="Column709"/>
    <tableColumn id="712" xr3:uid="{AD8522BD-967F-4441-BF4D-A562BC6740B0}" name="Column710"/>
    <tableColumn id="713" xr3:uid="{EC56F63C-A584-4AB7-BD7F-EEAB641DD696}" name="Column711"/>
    <tableColumn id="714" xr3:uid="{0303EFCB-8E0D-443E-B3F6-ED3CC6EAAB43}" name="Column712"/>
    <tableColumn id="715" xr3:uid="{4AF19139-F0A9-408B-B3C6-9EE5F3E7CE62}" name="Column713"/>
    <tableColumn id="716" xr3:uid="{9D17E5F5-8E2A-474D-8628-B20676B4B87E}" name="Column714"/>
    <tableColumn id="717" xr3:uid="{2284997E-81BA-48F0-8AD2-E45148541BC2}" name="Column715"/>
    <tableColumn id="718" xr3:uid="{CEAC4C38-9560-462B-8765-7B47918D1E15}" name="Column716"/>
    <tableColumn id="719" xr3:uid="{B91BC19A-CF9B-41BC-BC42-DC54A17DE9E5}" name="Column717"/>
    <tableColumn id="720" xr3:uid="{0955CF70-D891-4698-96C1-F717F790703C}" name="Column718"/>
    <tableColumn id="721" xr3:uid="{739C627D-7A9D-4F59-84E8-310D657B7671}" name="Column719"/>
    <tableColumn id="722" xr3:uid="{30738E72-9FEF-4B65-BC53-05C3CD25D075}" name="Column720"/>
    <tableColumn id="723" xr3:uid="{6D4C6480-6121-4521-B5F6-26CDDFFC6FD6}" name="Column721"/>
    <tableColumn id="724" xr3:uid="{AC9257F5-B818-46A7-BC2B-015D38A17557}" name="Column722"/>
    <tableColumn id="725" xr3:uid="{E547E96A-53A9-43A3-90B0-A8BF73C053A1}" name="Column723"/>
    <tableColumn id="726" xr3:uid="{575A2C6F-F806-4E25-82AA-EBD4C1B35A64}" name="Column724"/>
    <tableColumn id="727" xr3:uid="{D61BCE07-90E7-464F-A001-6B626C7BD3C6}" name="Column725"/>
    <tableColumn id="728" xr3:uid="{63A878E1-B496-4CCB-80E1-C5E9E5476394}" name="Column726"/>
    <tableColumn id="729" xr3:uid="{FE21237E-7C91-436F-A600-6E4F75B420C9}" name="Column727"/>
    <tableColumn id="730" xr3:uid="{9566BB74-AC1E-4E3C-86C2-CFAAA8633DF1}" name="Column728"/>
    <tableColumn id="731" xr3:uid="{F4716957-4BCB-4E3B-9AF5-A57DD67C0A95}" name="Column729"/>
    <tableColumn id="732" xr3:uid="{DE239C83-0D95-488F-8046-468981DAF78B}" name="Column730"/>
    <tableColumn id="733" xr3:uid="{7EADD7F7-F54D-49EF-83FA-5E1A4B6C6CB3}" name="Column731"/>
    <tableColumn id="734" xr3:uid="{3E4C8A8D-18FE-417B-BC23-72DAFD7B2BF9}" name="Column732"/>
    <tableColumn id="735" xr3:uid="{F1286BCC-039F-4A28-AAE0-F17BBB6D2564}" name="Column733"/>
    <tableColumn id="736" xr3:uid="{4FE0FA61-F236-4E4F-889E-A1CF768D6C41}" name="Column734"/>
    <tableColumn id="737" xr3:uid="{2F9A78AA-28E8-4FA3-ADD6-35809100A4EF}" name="Column735"/>
    <tableColumn id="738" xr3:uid="{A0D7ECE3-E3CD-480D-B4BD-DB12C96CB7F0}" name="Column736"/>
    <tableColumn id="739" xr3:uid="{CDEF921E-F629-4492-9C09-3D68BDC155D0}" name="Column737"/>
    <tableColumn id="740" xr3:uid="{941199BC-B2CD-4A4B-88FC-ADA1E4CCEDDC}" name="Column738"/>
    <tableColumn id="741" xr3:uid="{EB0E39AB-34DB-418B-AC99-22977785E1B6}" name="Column739"/>
    <tableColumn id="742" xr3:uid="{5D9BBDF1-1E5A-4EBD-BB2A-71300EDE0EAB}" name="Column740"/>
    <tableColumn id="743" xr3:uid="{065A1AAE-10A1-4CF0-BD5F-542282942A53}" name="Column741"/>
    <tableColumn id="744" xr3:uid="{F15EA84A-9278-45B3-8124-2512340B0CE4}" name="Column742"/>
    <tableColumn id="745" xr3:uid="{7A85F7A1-AFF2-454E-8830-070351AFFAF6}" name="Column743"/>
    <tableColumn id="746" xr3:uid="{ACB09E12-E4B7-469A-BBB5-E94F1BF4234F}" name="Column744"/>
    <tableColumn id="747" xr3:uid="{C5394AF0-4D25-4BF6-AFF7-4B51B0CC81C4}" name="Column745"/>
    <tableColumn id="748" xr3:uid="{E695EA1C-6D01-46C0-AE44-D6130A5829B4}" name="Column746"/>
    <tableColumn id="749" xr3:uid="{8156136D-D0F6-4A9D-AE29-34E124F17FED}" name="Column747"/>
    <tableColumn id="750" xr3:uid="{F5D16217-6095-46C5-8EEB-D12792ABA100}" name="Column748"/>
    <tableColumn id="751" xr3:uid="{5A76415E-B0C7-4BD7-8E53-F6FDA9CD3568}" name="Column749"/>
    <tableColumn id="752" xr3:uid="{930C0B30-0CCD-47DB-9B9A-F16633355E4E}" name="Column750"/>
    <tableColumn id="753" xr3:uid="{109CAE80-436B-44C6-BF25-EB578550D367}" name="Column751"/>
    <tableColumn id="754" xr3:uid="{2895B9BC-785C-419C-828E-211D0C68DD77}" name="Column752"/>
    <tableColumn id="755" xr3:uid="{2F37BDF2-0326-4626-BBA4-615AEA4BBEA3}" name="Column753"/>
    <tableColumn id="756" xr3:uid="{9D5BB80D-3CEE-40EB-94AB-FEED1E8CD49E}" name="Column754"/>
    <tableColumn id="757" xr3:uid="{111373F8-2914-4E82-8003-DF883F021E6B}" name="Column755"/>
    <tableColumn id="758" xr3:uid="{809F428F-DECF-4608-987F-94C3BB8CF50B}" name="Column756"/>
    <tableColumn id="759" xr3:uid="{85B7984A-A5CC-45B5-B936-325FA4D924DB}" name="Column757"/>
    <tableColumn id="760" xr3:uid="{6F27F5D0-A3A3-444A-8F1D-9D211FDD80F4}" name="Column758"/>
    <tableColumn id="761" xr3:uid="{1697329C-FE72-4FD8-A9DF-B2709927D21D}" name="Column759"/>
    <tableColumn id="762" xr3:uid="{FFDCCC8F-B187-466E-909D-9E2800AC7C6D}" name="Column760"/>
    <tableColumn id="763" xr3:uid="{95E92BC7-87C6-4562-8D41-17C8512BBBC9}" name="Column761"/>
    <tableColumn id="764" xr3:uid="{9A43783D-8727-44BF-BEC3-0B0D4F9DCBD5}" name="Column762"/>
    <tableColumn id="765" xr3:uid="{489DE3F3-20CC-4B70-BB31-5DED1EB45CE4}" name="Column763"/>
    <tableColumn id="766" xr3:uid="{13766476-C042-4A07-9236-351B058EB2B0}" name="Column764"/>
    <tableColumn id="767" xr3:uid="{C6283058-C5AD-4F64-A3BD-A5E78F13B139}" name="Column765"/>
    <tableColumn id="768" xr3:uid="{B7427E7F-1218-470D-81AB-F35D2F0060ED}" name="Column766"/>
    <tableColumn id="769" xr3:uid="{52330103-29D9-4420-BCAD-FF8DDEFA4BF5}" name="Column767"/>
    <tableColumn id="770" xr3:uid="{45E60CE8-A608-4C3C-ABE7-126017826CC4}" name="Column768"/>
    <tableColumn id="771" xr3:uid="{7F0AC817-BBFB-488C-AC98-6604956D568B}" name="Column769"/>
    <tableColumn id="772" xr3:uid="{A573A20A-4E8D-4125-838C-E628B8F69EB0}" name="Column770"/>
    <tableColumn id="773" xr3:uid="{C1206B25-6AFF-4682-A79E-AE79838F08B3}" name="Column771"/>
    <tableColumn id="774" xr3:uid="{455536F0-F51B-4E19-A4CB-532A94745724}" name="Column772"/>
    <tableColumn id="775" xr3:uid="{32DE2C50-9BE2-4327-A35D-F4857E8B77DA}" name="Column773"/>
    <tableColumn id="776" xr3:uid="{8FF67AF4-D080-466E-94F1-B3D0F4676F04}" name="Column774"/>
    <tableColumn id="777" xr3:uid="{8619996B-2CF2-4259-90A3-A476DDA374D8}" name="Column775"/>
    <tableColumn id="778" xr3:uid="{1AB82D43-94FC-4CFD-B8B9-A3541F2BC5EF}" name="Column776"/>
    <tableColumn id="779" xr3:uid="{69BD24AE-5E6C-47A1-BE61-4C5551066D3E}" name="Column777"/>
    <tableColumn id="780" xr3:uid="{AD6696B3-64B1-4F20-8BCD-BD72BD5F18AF}" name="Column778"/>
    <tableColumn id="781" xr3:uid="{0FD5EB05-B84A-49CD-81D3-748FB849F476}" name="Column779"/>
    <tableColumn id="782" xr3:uid="{58710BAD-791B-4A89-AD3B-1E662A8A9985}" name="Column780"/>
    <tableColumn id="783" xr3:uid="{AF03C5A8-2450-4D0C-9E8A-CD02771BD1A5}" name="Column781"/>
    <tableColumn id="784" xr3:uid="{44A1DA98-F2AE-40D6-98CA-733F13C8A1CA}" name="Column782"/>
    <tableColumn id="785" xr3:uid="{F0358458-0E9E-413D-8896-27E2F55C45EF}" name="Column783"/>
    <tableColumn id="786" xr3:uid="{CA16FB60-5FBA-4E3D-8F06-AA83799D2A67}" name="Column784"/>
    <tableColumn id="787" xr3:uid="{80D2A63A-86C0-4716-A56C-59EA4F6CAE38}" name="Column785"/>
    <tableColumn id="788" xr3:uid="{65BF7475-E2C3-4123-BAAE-76F5EAB77A34}" name="Column786"/>
    <tableColumn id="789" xr3:uid="{004B1065-115F-484D-B959-A9AE05AF9181}" name="Column787"/>
    <tableColumn id="790" xr3:uid="{07CD14C6-39A2-4138-92A3-16B6ECD5DAAA}" name="Column788"/>
    <tableColumn id="791" xr3:uid="{BC2C8947-B4DD-4187-B344-2F9A49C8830C}" name="Column789"/>
    <tableColumn id="792" xr3:uid="{18DCD045-EFDC-4C3F-8896-28E5E7C30187}" name="Column790"/>
    <tableColumn id="793" xr3:uid="{6893B970-62BA-42B1-B7EA-B8BFBEED38E8}" name="Column791"/>
    <tableColumn id="794" xr3:uid="{FB25E9A7-11C6-44D8-9E7F-D9807F5250C4}" name="Column792"/>
    <tableColumn id="795" xr3:uid="{8B70972A-0F02-42EC-B7D0-71E3B4954A07}" name="Column793"/>
    <tableColumn id="796" xr3:uid="{B372A204-B2A0-4242-A155-A061D27C37A8}" name="Column794"/>
    <tableColumn id="797" xr3:uid="{D95FFC89-1F63-4937-9359-BBBD00F95D03}" name="Column795"/>
    <tableColumn id="798" xr3:uid="{E9F7A0CC-FA55-4831-899E-1C3F6336941B}" name="Column796"/>
    <tableColumn id="799" xr3:uid="{DA4FB219-4B41-4649-B776-F4659A83A888}" name="Column797"/>
    <tableColumn id="800" xr3:uid="{F1442A3C-796F-43F7-8248-552285033FB9}" name="Column798"/>
    <tableColumn id="801" xr3:uid="{4DAD284D-A4F8-4EDF-93FF-E60172311480}" name="Column799"/>
    <tableColumn id="802" xr3:uid="{01AE5AE3-9FE2-468C-B865-85AD4DC3D176}" name="Column800"/>
    <tableColumn id="803" xr3:uid="{400D5274-4876-4435-B90D-BB0C51A77062}" name="Column801"/>
    <tableColumn id="804" xr3:uid="{AE2A40A9-5AE9-415E-87CF-4FA272B0B0D3}" name="Column802"/>
    <tableColumn id="805" xr3:uid="{048D270A-7C5C-49BA-9842-659A84A51539}" name="Column803"/>
    <tableColumn id="806" xr3:uid="{D1B3E3CC-3736-4010-BD66-528A74D5559C}" name="Column804"/>
    <tableColumn id="807" xr3:uid="{99FA0383-16E2-4D9F-9739-1EBABFF74DC1}" name="Column805"/>
    <tableColumn id="808" xr3:uid="{D693088A-09F1-4E2B-BD3F-58323A53ECC3}" name="Column806"/>
    <tableColumn id="809" xr3:uid="{F1955BF0-851D-48F2-A1D5-C10245DB0B4E}" name="Column807"/>
    <tableColumn id="810" xr3:uid="{7289ED3C-4F64-491C-9307-552BBCBB52B5}" name="Column808"/>
    <tableColumn id="811" xr3:uid="{AE00E660-21F0-4832-BB21-DC00AF521789}" name="Column809"/>
    <tableColumn id="812" xr3:uid="{3CACAFA0-60E7-462D-B9F1-3F3F333BB11F}" name="Column810"/>
    <tableColumn id="813" xr3:uid="{7D996BFD-5C3F-44B4-8298-DDC79A6E6D8D}" name="Column811"/>
    <tableColumn id="814" xr3:uid="{FFA848FF-C4E6-495E-9B05-5571D6D0E1A0}" name="Column812"/>
    <tableColumn id="815" xr3:uid="{6CD03960-CAEB-4AEB-9623-755C0023C3B3}" name="Column813"/>
    <tableColumn id="816" xr3:uid="{02F9B4DD-685A-49B1-BE22-13EBA3B11044}" name="Column814"/>
    <tableColumn id="817" xr3:uid="{8CC573BE-A829-4BFC-ADD1-3421D0243437}" name="Column815"/>
    <tableColumn id="818" xr3:uid="{0D338101-6BA3-476C-AD72-B6A3C8FC1C50}" name="Column816"/>
    <tableColumn id="819" xr3:uid="{10A5FBFA-D930-4D44-B1CB-17C92BC179A7}" name="Column817"/>
    <tableColumn id="820" xr3:uid="{BC8525AE-690F-4258-98B7-1C9698201623}" name="Column818"/>
    <tableColumn id="821" xr3:uid="{2352DA2C-2612-4BA0-9400-89056544AB13}" name="Column819"/>
    <tableColumn id="822" xr3:uid="{2EB04FC7-3DB9-48C3-917D-6D768BC59DBA}" name="Column820"/>
    <tableColumn id="823" xr3:uid="{9D1E08FF-0CD7-4A0F-8343-CDD88D1E6626}" name="Column821"/>
    <tableColumn id="824" xr3:uid="{02C481F5-C251-4841-8455-CA568E0CD689}" name="Column822"/>
    <tableColumn id="825" xr3:uid="{77D4C939-EB26-47F7-82EF-3A5B6B1ED016}" name="Column823"/>
    <tableColumn id="826" xr3:uid="{B53BE37D-2897-4285-9131-D91308D6D9E8}" name="Column824"/>
    <tableColumn id="827" xr3:uid="{BA56D631-3912-495D-A7A7-121E40AC2963}" name="Column825"/>
    <tableColumn id="828" xr3:uid="{E0060DAC-FC7C-476E-A393-D4B751F6016D}" name="Column826"/>
    <tableColumn id="829" xr3:uid="{B06D8E92-8663-4373-BBB6-096ED2C1E119}" name="Column827"/>
    <tableColumn id="830" xr3:uid="{8123C2B8-AB80-4DE4-93B8-BFB5DE74791D}" name="Column828"/>
    <tableColumn id="831" xr3:uid="{52FD13AE-E04E-4A75-961A-7804066C5D3B}" name="Column829"/>
    <tableColumn id="832" xr3:uid="{59C5889F-E99C-47D9-8AB5-6EFA0A3535ED}" name="Column830"/>
    <tableColumn id="833" xr3:uid="{B3A33B65-B144-4DC7-9D21-DF9D9DC9B0AC}" name="Column831"/>
    <tableColumn id="834" xr3:uid="{DC98F6C0-68D3-450B-A929-37A98E6E644A}" name="Column832"/>
    <tableColumn id="835" xr3:uid="{C0CB88CB-0870-4C9B-A5FA-D945A8DBE96E}" name="Column833"/>
    <tableColumn id="836" xr3:uid="{2BFBAF15-DF01-4F3E-A1B3-050DA7F4DA6F}" name="Column834"/>
    <tableColumn id="837" xr3:uid="{9938E625-5687-4B83-A693-03BB98C7FA14}" name="Column835"/>
    <tableColumn id="838" xr3:uid="{5E4BE04C-B0B1-4953-8967-EDF8640A5B60}" name="Column836"/>
    <tableColumn id="839" xr3:uid="{C7195F3C-2BB1-4AD0-8462-65A3A97E01B0}" name="Column837"/>
    <tableColumn id="840" xr3:uid="{C0DFDF1C-E79F-485D-BFCB-923B4F644F87}" name="Column838"/>
    <tableColumn id="841" xr3:uid="{05B5E74A-7194-46AA-816C-30F0844C8A76}" name="Column839"/>
    <tableColumn id="842" xr3:uid="{9CCE4179-CCEB-4298-ACE4-ED4A2A871ED4}" name="Column840"/>
    <tableColumn id="843" xr3:uid="{E585337E-13E2-4195-B64C-142FA34E4DD5}" name="Column841"/>
    <tableColumn id="844" xr3:uid="{D7F9E6F4-EB8B-4D24-BA20-FA4CE3EC1F3B}" name="Column842"/>
    <tableColumn id="845" xr3:uid="{C082D775-6933-4CF9-8E6F-F56A2114A0DC}" name="Column843"/>
    <tableColumn id="846" xr3:uid="{B58EE13C-F18B-4FEB-9C22-00876FBE5C12}" name="Column844"/>
    <tableColumn id="847" xr3:uid="{B7E299E1-B92E-418A-AD24-394881497504}" name="Column845"/>
    <tableColumn id="848" xr3:uid="{6658C1C3-21CC-4CB7-BDFC-3D4EB81D164D}" name="Column846"/>
    <tableColumn id="849" xr3:uid="{FA18985B-177A-461A-BA52-C943A9519E56}" name="Column847"/>
    <tableColumn id="850" xr3:uid="{4BBFBEC6-C08D-4E12-BFF3-AD8DF117A4B8}" name="Column848"/>
    <tableColumn id="851" xr3:uid="{C1ADCEBA-A25E-4450-A45B-B9D3489367F6}" name="Column849"/>
    <tableColumn id="852" xr3:uid="{D3FA48A9-510A-4E22-9608-BD451B4811C0}" name="Column850"/>
    <tableColumn id="853" xr3:uid="{07405129-FAAA-4576-A7F7-C1054DC44D2B}" name="Column851"/>
    <tableColumn id="854" xr3:uid="{23662F29-DD56-4A79-B817-EBB077392BFD}" name="Column852"/>
    <tableColumn id="855" xr3:uid="{FFF2F0BA-DA61-4866-865F-0C80F6232C91}" name="Column853"/>
    <tableColumn id="856" xr3:uid="{EA906BD0-79DF-4E5B-82DD-824A5A32173C}" name="Column854"/>
    <tableColumn id="857" xr3:uid="{3E76235A-9896-4345-8744-2559EEE7EA13}" name="Column855"/>
    <tableColumn id="858" xr3:uid="{D46BE712-FD6D-49EE-B6E0-B088635C2FB8}" name="Column856"/>
    <tableColumn id="859" xr3:uid="{39ED8E7A-77E7-450F-9F3F-D4220E62F0ED}" name="Column857"/>
    <tableColumn id="860" xr3:uid="{BF0CB2E9-A599-4AA3-9B39-0964D604B74D}" name="Column858"/>
    <tableColumn id="861" xr3:uid="{E48277E4-B1CD-4A8B-BC2E-B511266B31EC}" name="Column859"/>
    <tableColumn id="862" xr3:uid="{E74BF807-C2CD-4AF9-A45D-EC46692B16D6}" name="Column860"/>
    <tableColumn id="863" xr3:uid="{5E8C6B69-08C5-4C82-919B-CE2869D5E1BA}" name="Column861"/>
    <tableColumn id="864" xr3:uid="{20E1D092-E08B-4FFE-9CA3-D7B5FDEBDB34}" name="Column862"/>
    <tableColumn id="865" xr3:uid="{6DE1C42C-0568-4E5B-86A9-20DB562F439F}" name="Column863"/>
    <tableColumn id="866" xr3:uid="{6BC82AB1-692D-4B5C-859F-7CFA3A490B24}" name="Column864"/>
    <tableColumn id="867" xr3:uid="{206EE842-E1ED-41C2-B544-17B105295D8A}" name="Column865"/>
    <tableColumn id="868" xr3:uid="{9043DE90-D7D2-4A8B-A657-C228773ED618}" name="Column866"/>
    <tableColumn id="869" xr3:uid="{638C59DD-C022-4B39-8EAA-F71B211D9653}" name="Column867"/>
    <tableColumn id="870" xr3:uid="{74CE874A-D162-471F-8A34-0C04F97C74E7}" name="Column868"/>
    <tableColumn id="871" xr3:uid="{E0760241-4B18-4E32-9BBA-70EF930F74BB}" name="Column869"/>
    <tableColumn id="872" xr3:uid="{905EE477-E3CA-4E48-ADC9-5C5855C25BBF}" name="Column870"/>
    <tableColumn id="873" xr3:uid="{A50B360B-75BA-4494-976C-7D087E321C61}" name="Column871"/>
    <tableColumn id="874" xr3:uid="{4E4A0C4F-E86F-4FC6-A34D-89982FD28D7C}" name="Column872"/>
    <tableColumn id="875" xr3:uid="{2C57E3CF-199F-4D5F-A92A-774D53BEF07D}" name="Column873"/>
    <tableColumn id="876" xr3:uid="{3A7E0303-4B90-42F0-BE2C-5D986F6F6109}" name="Column874"/>
    <tableColumn id="877" xr3:uid="{0917FF15-96F8-46A7-84D6-33EB526FEC95}" name="Column875"/>
    <tableColumn id="878" xr3:uid="{44F69253-55B7-476A-A3BD-9E8A8702AF9B}" name="Column876"/>
    <tableColumn id="879" xr3:uid="{EDB54A99-D2DF-4753-8205-FD1ACF6622C3}" name="Column877"/>
    <tableColumn id="880" xr3:uid="{68494A77-5B5C-46FC-BF2F-92D4906AA8F7}" name="Column878"/>
    <tableColumn id="881" xr3:uid="{BFD9F66E-097A-4763-B2A9-2C655E96442D}" name="Column879"/>
    <tableColumn id="882" xr3:uid="{4703B852-A3D4-4202-909A-D2B106A82370}" name="Column880"/>
    <tableColumn id="883" xr3:uid="{07045EB9-38DB-4AC7-A81A-E1F350F41DF2}" name="Column881"/>
    <tableColumn id="884" xr3:uid="{52101040-2374-4D10-8FD1-7FDD59813CDD}" name="Column882"/>
    <tableColumn id="885" xr3:uid="{81CCC411-167D-47D1-8C45-C4509FD7A9CE}" name="Column883"/>
    <tableColumn id="886" xr3:uid="{F3CAF80A-E933-4284-BDBF-039AEF92CFB5}" name="Column884"/>
    <tableColumn id="887" xr3:uid="{9A0F9F08-8B52-4960-B799-E93C1825C174}" name="Column885"/>
    <tableColumn id="888" xr3:uid="{E8682341-BBAC-440F-9402-64CD84CBB3BC}" name="Column886"/>
    <tableColumn id="889" xr3:uid="{0544EC65-F960-4AED-9C12-BA74034715FC}" name="Column887"/>
    <tableColumn id="890" xr3:uid="{25E19D07-E8BF-478F-AA6C-5982F8197075}" name="Column888"/>
    <tableColumn id="891" xr3:uid="{CEA37B87-E3D0-4C4D-A9FD-FCB9C1A236A4}" name="Column889"/>
    <tableColumn id="892" xr3:uid="{EE0DF0E0-E59D-40F5-9B43-C7621858B1B4}" name="Column890"/>
    <tableColumn id="893" xr3:uid="{E8067EE4-7A97-4041-AC83-1302E71A8EE0}" name="Column891"/>
    <tableColumn id="894" xr3:uid="{81D4CBD5-95E7-48B0-8B6F-DB3F6740565C}" name="Column892"/>
    <tableColumn id="895" xr3:uid="{41FA0605-4003-4383-8848-DFAAC0D28B0B}" name="Column893"/>
    <tableColumn id="896" xr3:uid="{835D2E48-1C95-4053-AC28-F7FE4367B4B3}" name="Column894"/>
    <tableColumn id="897" xr3:uid="{46657DF1-D162-423F-9F2B-1B7A3737FF44}" name="Column895"/>
    <tableColumn id="898" xr3:uid="{D0A8C377-A1D9-4047-994D-81C76A05BFA0}" name="Column896"/>
    <tableColumn id="899" xr3:uid="{DC02C17F-80E6-4018-A472-EBD8D61735F9}" name="Column897"/>
    <tableColumn id="900" xr3:uid="{C7084136-131F-43C3-8B62-B551771A520B}" name="Column898"/>
    <tableColumn id="901" xr3:uid="{072E4EEE-6163-4F70-8753-A18FB4B92B2F}" name="Column899"/>
    <tableColumn id="902" xr3:uid="{252379ED-7FBB-4571-9B7C-4AFA0BEEED38}" name="Column900"/>
    <tableColumn id="903" xr3:uid="{B7D7FC8B-518A-4CE5-BC2F-18AE364A7183}" name="Column901"/>
    <tableColumn id="904" xr3:uid="{B3871203-17AC-4FAE-BB3A-8E437225DCE0}" name="Column902"/>
    <tableColumn id="905" xr3:uid="{FE46A43C-BF6A-4172-9473-74DD70D6E5FD}" name="Column903"/>
    <tableColumn id="906" xr3:uid="{9206FB40-BEEF-4E8C-8FF7-688D3C591DC1}" name="Column904"/>
    <tableColumn id="907" xr3:uid="{51597D73-FDB8-470F-9ED2-D5B265B4ABEC}" name="Column905"/>
    <tableColumn id="908" xr3:uid="{4303F1D7-326F-4D8E-90B1-8D490D4622AA}" name="Column906"/>
    <tableColumn id="909" xr3:uid="{F7CCE4ED-98BD-4F9C-A1FE-B55582758244}" name="Column907"/>
    <tableColumn id="910" xr3:uid="{5833FB77-C8E8-49A6-B14E-98DD2337893F}" name="Column908"/>
    <tableColumn id="911" xr3:uid="{D40A107B-9342-43C6-9319-71FB0BBFC6A0}" name="Column909"/>
    <tableColumn id="912" xr3:uid="{478F2D36-6577-46D9-A2CC-0A94AE8D4323}" name="Column910"/>
    <tableColumn id="913" xr3:uid="{6BAFE0F5-E51E-4574-B750-9D4D36D75730}" name="Column911"/>
    <tableColumn id="914" xr3:uid="{DEE1D9EF-DFE0-4E17-B507-9FA45186E77C}" name="Column912"/>
    <tableColumn id="915" xr3:uid="{740FF26C-CB9A-4817-9723-46567DD04778}" name="Column913"/>
    <tableColumn id="916" xr3:uid="{5AB0A8D7-A536-4BDC-9C3A-D5D0304BC618}" name="Column914"/>
    <tableColumn id="917" xr3:uid="{0F25581C-7609-4246-9A09-7F434FC9C915}" name="Column915"/>
    <tableColumn id="918" xr3:uid="{F952F3E0-297F-4FA7-93B4-6CC5AD1DB757}" name="Column916"/>
    <tableColumn id="919" xr3:uid="{B6277811-A4CE-472E-AA08-E5E4079F0EFB}" name="Column917"/>
    <tableColumn id="920" xr3:uid="{2E4EB73A-BA99-4B8E-970E-838FCD1F1F68}" name="Column918"/>
    <tableColumn id="921" xr3:uid="{DDEC7BBA-EBCB-49B0-9BB7-88EEAC4B8EA8}" name="Column919"/>
    <tableColumn id="922" xr3:uid="{A5DCC27D-8A1C-476C-98EA-ECA4BB7A07F3}" name="Column920"/>
    <tableColumn id="923" xr3:uid="{C56267EA-1D58-46F8-8A0B-D93AE4FDBBD7}" name="Column921"/>
    <tableColumn id="924" xr3:uid="{586DD2BF-1DF0-4C5F-8A5B-5402ECF87CEF}" name="Column922"/>
    <tableColumn id="925" xr3:uid="{7B541CD3-21C3-44C5-938F-E9323F510DFE}" name="Column923"/>
    <tableColumn id="926" xr3:uid="{19CCDFD5-9DC7-4861-8785-676CFEAB53FE}" name="Column924"/>
    <tableColumn id="927" xr3:uid="{22CDA3DB-7396-49AA-9380-13E84C75F75B}" name="Column925"/>
    <tableColumn id="928" xr3:uid="{DD337C93-83AE-4727-A68D-B56EDD438243}" name="Column926"/>
    <tableColumn id="929" xr3:uid="{2B4C1DA6-EDE7-4252-80AB-05DBEDA78444}" name="Column927"/>
    <tableColumn id="930" xr3:uid="{ECD6A44A-70BC-4617-8419-FABD3D1FD54B}" name="Column928"/>
    <tableColumn id="931" xr3:uid="{2A9258C7-8CDF-4974-B58A-F521A3F27BCD}" name="Column929"/>
    <tableColumn id="932" xr3:uid="{A8654A4B-40DB-49D9-9B70-A1479957FC0E}" name="Column930"/>
    <tableColumn id="933" xr3:uid="{04B47202-2793-4A0A-B53B-A21821854FF9}" name="Column931"/>
    <tableColumn id="934" xr3:uid="{313B840C-4823-4C93-9FF5-45A3910C4FC2}" name="Column932"/>
    <tableColumn id="935" xr3:uid="{5C60E2CD-A9BE-4DE4-BBD8-13A0ED38EDD9}" name="Column933"/>
    <tableColumn id="936" xr3:uid="{B6E11092-42D3-4B49-8F3A-F13129BD8441}" name="Column934"/>
    <tableColumn id="937" xr3:uid="{15C3FE44-95A9-41C0-BCF1-AC795398228A}" name="Column935"/>
    <tableColumn id="938" xr3:uid="{60720BBE-A18D-4BF9-9707-7E8BB2F5141E}" name="Column936"/>
    <tableColumn id="939" xr3:uid="{EF9B0648-DCBC-4D95-B239-27E4A4C4AF7E}" name="Column937"/>
    <tableColumn id="940" xr3:uid="{E0A6CA6A-D76C-4854-BB32-5B9957250CB1}" name="Column938"/>
    <tableColumn id="941" xr3:uid="{A1DA5299-FF71-43D6-A830-0F5149D8169E}" name="Column939"/>
    <tableColumn id="942" xr3:uid="{B063ABB0-2D7A-49B7-BBC9-B8327BE3E28B}" name="Column940"/>
    <tableColumn id="943" xr3:uid="{58DA244C-A10A-41BB-B0A9-F475EB201D95}" name="Column941"/>
    <tableColumn id="944" xr3:uid="{E2D4AEBC-3E65-4E16-B935-F43DEED8C3E5}" name="Column942"/>
    <tableColumn id="945" xr3:uid="{FCD89F05-6A50-4471-9A48-9F1F51DC5196}" name="Column943"/>
    <tableColumn id="946" xr3:uid="{A80FBD42-DB1C-44DA-A010-82741DAA38E3}" name="Column944"/>
    <tableColumn id="947" xr3:uid="{97364774-4EC1-4C10-AAAC-8D896DA43973}" name="Column945"/>
    <tableColumn id="948" xr3:uid="{B823785C-1F24-4A55-8BCB-85803911EAE3}" name="Column946"/>
    <tableColumn id="949" xr3:uid="{7DF98DB7-67C9-4DE9-9849-61FF2BC78006}" name="Column947"/>
    <tableColumn id="950" xr3:uid="{C9387D11-D389-4546-BECE-5E4DDE648805}" name="Column948"/>
    <tableColumn id="951" xr3:uid="{FEE51B52-7929-4FED-8F07-D4C6F7732EE2}" name="Column949"/>
    <tableColumn id="952" xr3:uid="{3106C467-0064-46BC-AD5B-388D197DA6B6}" name="Column950"/>
    <tableColumn id="953" xr3:uid="{81300061-E076-425D-A234-848D6BBEE7A2}" name="Column951"/>
    <tableColumn id="954" xr3:uid="{3A68EAA2-6E5A-471A-A404-9F876D5727EE}" name="Column952"/>
    <tableColumn id="955" xr3:uid="{5B4AEA87-00A8-49A8-A575-D171492E047B}" name="Column953"/>
    <tableColumn id="956" xr3:uid="{1AA48412-EC1B-4C53-B985-15487B52354C}" name="Column954"/>
    <tableColumn id="957" xr3:uid="{EED26C36-0CBA-4733-A785-AC548ACE6777}" name="Column955"/>
    <tableColumn id="958" xr3:uid="{7CF6E1D2-D8B7-4F9F-8C58-479B64A2174C}" name="Column956"/>
    <tableColumn id="959" xr3:uid="{7E85A698-3043-4F34-9A2B-28BCD0388FE0}" name="Column957"/>
    <tableColumn id="960" xr3:uid="{71A02C1F-5AF4-454E-8940-B968F3240DB6}" name="Column958"/>
    <tableColumn id="961" xr3:uid="{ACC33A67-F5B2-440C-A12B-E708AF523E65}" name="Column959"/>
    <tableColumn id="962" xr3:uid="{E877DD34-2512-4B29-ABC9-249EF08D2860}" name="Column960"/>
    <tableColumn id="963" xr3:uid="{6F936D38-635E-4521-8675-0B67DE11A1D3}" name="Column961"/>
    <tableColumn id="964" xr3:uid="{49E8A2B0-CCA5-43D5-BBA4-1F562B950278}" name="Column962"/>
    <tableColumn id="965" xr3:uid="{F31C7EA4-D74C-4C31-B762-217AD5111918}" name="Column963"/>
    <tableColumn id="966" xr3:uid="{81F94143-C8B1-40D6-A363-8F236E15A09A}" name="Column964"/>
    <tableColumn id="967" xr3:uid="{37A03D8E-F70E-40BB-9863-01028FFF5333}" name="Column965"/>
    <tableColumn id="968" xr3:uid="{D753EF63-A67B-42C2-9C92-64A045E84676}" name="Column966"/>
    <tableColumn id="969" xr3:uid="{FEE93F51-5A1C-45CA-8316-5A988201E5E7}" name="Column967"/>
    <tableColumn id="970" xr3:uid="{4E99812F-8EC7-4155-AB29-4294847CBC37}" name="Column968"/>
    <tableColumn id="971" xr3:uid="{C8E4742D-EBCD-483E-BDA6-97EBD241E832}" name="Column969"/>
    <tableColumn id="972" xr3:uid="{AC009195-8D43-45CF-B6F1-B160C18C468A}" name="Column970"/>
    <tableColumn id="973" xr3:uid="{84A3F39F-646A-4669-9EE5-C771135366A8}" name="Column971"/>
    <tableColumn id="974" xr3:uid="{446737D0-86C6-4F51-8FEB-E63600EBB7FB}" name="Column972"/>
    <tableColumn id="975" xr3:uid="{D5593845-0F3C-4353-AAB3-99BA84515E7A}" name="Column973"/>
    <tableColumn id="976" xr3:uid="{9DE66BE7-04AD-41C2-9D58-BEAF8EA64616}" name="Column974"/>
    <tableColumn id="977" xr3:uid="{AD1E6513-3E27-43F5-A04A-BF69C46345A4}" name="Column975"/>
    <tableColumn id="978" xr3:uid="{0F5B3A51-4F2D-46D7-95A7-516B797FF539}" name="Column976"/>
    <tableColumn id="979" xr3:uid="{AB0950B5-9B0B-4B52-A98D-F6AA338FD539}" name="Column977"/>
    <tableColumn id="980" xr3:uid="{12F5B4E3-8D6F-41FE-BAA0-B7EFDD6B81F9}" name="Column978"/>
    <tableColumn id="981" xr3:uid="{CC1CBBCA-51D6-4F90-83B7-2619314AAC36}" name="Column979"/>
    <tableColumn id="982" xr3:uid="{98413C10-A59A-4F37-95FA-56553BCCDB10}" name="Column980"/>
    <tableColumn id="983" xr3:uid="{E2A025DF-AC86-4123-9612-9211676E9F6B}" name="Column981"/>
    <tableColumn id="984" xr3:uid="{71234A5A-05BE-416E-BACB-A836D368755A}" name="Column982"/>
    <tableColumn id="985" xr3:uid="{8FA4EADF-E52F-46D3-BC66-FFE7940FA3AE}" name="Column983"/>
    <tableColumn id="986" xr3:uid="{CF28BFCF-67E8-4F8F-B59B-503CF3B8ADB9}" name="Column984"/>
    <tableColumn id="987" xr3:uid="{6BF9CC01-FFCF-4063-85A5-A54A7EDB2B56}" name="Column985"/>
    <tableColumn id="988" xr3:uid="{30E1D25C-13CF-4745-B7AD-2F22A8273991}" name="Column986"/>
    <tableColumn id="989" xr3:uid="{E377EC4E-977B-4F1A-9728-94B177696746}" name="Column987"/>
    <tableColumn id="990" xr3:uid="{D76A4507-C4FD-47EA-A304-2BC8B772F6E3}" name="Column988"/>
    <tableColumn id="991" xr3:uid="{011EE404-8192-4BC7-B1A7-17DA20BFE42A}" name="Column989"/>
    <tableColumn id="992" xr3:uid="{3473879E-6C7E-416C-BCFE-C751AAD3FD56}" name="Column990"/>
    <tableColumn id="993" xr3:uid="{224831D1-0C0F-41EF-968A-132DF5168088}" name="Column991"/>
    <tableColumn id="994" xr3:uid="{80416BCC-06E8-49DD-866C-582EB416344C}" name="Column992"/>
    <tableColumn id="995" xr3:uid="{E299C43B-E796-4AE6-85F1-671F54D4ADF8}" name="Column993"/>
    <tableColumn id="996" xr3:uid="{722A0A53-E342-40EF-8BDA-4679EB28D180}" name="Column994"/>
    <tableColumn id="997" xr3:uid="{074CB7FB-6887-4E2E-B06E-D1CF6BDBD371}" name="Column995"/>
    <tableColumn id="998" xr3:uid="{B012D176-E8C2-44B0-BF6F-DC8688F3EA1C}" name="Column996"/>
    <tableColumn id="999" xr3:uid="{D40E14AE-1B2D-4A32-857D-DA1414E26882}" name="Column997"/>
    <tableColumn id="1000" xr3:uid="{891AA4CD-2CB2-4EC5-B577-6D55400AADAD}" name="Column998"/>
    <tableColumn id="1001" xr3:uid="{CB6CB9DC-1175-4844-B2E4-77803AB7CE78}" name="Column999"/>
    <tableColumn id="1002" xr3:uid="{9D3002B7-52C9-4E08-AEA7-74791B4141A6}" name="Column1000"/>
    <tableColumn id="1003" xr3:uid="{1C1887B1-2C6F-43F4-9F81-CF685ED9881B}" name="Column1001"/>
    <tableColumn id="1004" xr3:uid="{2335CC00-BC92-4C0B-8B82-59D31B50DBF7}" name="Column1002"/>
    <tableColumn id="1005" xr3:uid="{1E093C55-3855-4BFA-8670-902DA0EB5DA9}" name="Column1003"/>
    <tableColumn id="1006" xr3:uid="{FB4B33AB-69DF-48C0-850B-6E3229FACE9E}" name="Column1004"/>
    <tableColumn id="1007" xr3:uid="{D79FE209-F3AB-4AD2-A8E4-FD4E0CB0CF0C}" name="Column1005"/>
    <tableColumn id="1008" xr3:uid="{236688AB-6A03-45DB-842A-48946B90C32E}" name="Column1006"/>
    <tableColumn id="1009" xr3:uid="{303CB9CB-7572-4686-B134-67BC8AF70036}" name="Column1007"/>
    <tableColumn id="1010" xr3:uid="{2E1FB49F-8971-441A-BF87-B531712D44ED}" name="Column1008"/>
    <tableColumn id="1011" xr3:uid="{D302C4B1-B291-4808-B345-FD720EBA0BE6}" name="Column1009"/>
    <tableColumn id="1012" xr3:uid="{FAE6DB43-1D83-48DB-B688-84DDBEF84472}" name="Column1010"/>
    <tableColumn id="1013" xr3:uid="{C24E2746-6BBE-47EE-883E-9207FF65F7E4}" name="Column1011"/>
    <tableColumn id="1014" xr3:uid="{F4912DE9-6632-40D0-A64A-808DE684329D}" name="Column1012"/>
    <tableColumn id="1015" xr3:uid="{3103A9CF-0485-40DB-9839-C7ADF86942DB}" name="Column1013"/>
    <tableColumn id="1016" xr3:uid="{27A7237C-EAF1-4D9D-A58E-C1213189E2BC}" name="Column1014"/>
    <tableColumn id="1017" xr3:uid="{E3B45AE1-1BF3-4A56-A985-786F47BFFD55}" name="Column1015"/>
    <tableColumn id="1018" xr3:uid="{D1DE41CF-D148-42F2-A515-488C8768851D}" name="Column1016"/>
    <tableColumn id="1019" xr3:uid="{401BD888-6834-4C68-942E-AF22A2D09CB2}" name="Column1017"/>
    <tableColumn id="1020" xr3:uid="{53B07783-A823-47D6-BA3E-63E4840802A0}" name="Column1018"/>
    <tableColumn id="1021" xr3:uid="{83C38D7D-81AE-43AD-B28B-AD750B2A663B}" name="Column1019"/>
    <tableColumn id="1022" xr3:uid="{1C1CC1E9-299D-4114-AD06-58C5466739CF}" name="Column1020"/>
    <tableColumn id="1023" xr3:uid="{6C74F5B7-EDB0-4D63-B8D0-8933993764CC}" name="Column1021"/>
    <tableColumn id="1024" xr3:uid="{84628732-CF20-4461-83AB-D3AD03B2D968}" name="Column1022"/>
    <tableColumn id="1025" xr3:uid="{07168D1F-25BC-434E-9DB0-59ABD5E73395}" name="Column1023"/>
    <tableColumn id="1026" xr3:uid="{8C68B83A-D0EA-4B95-A0F1-E0E27B7634CA}" name="Column1024"/>
    <tableColumn id="1027" xr3:uid="{6080D17D-0B9C-4D68-AE9C-0101928B1006}" name="Column1025"/>
    <tableColumn id="1028" xr3:uid="{2943B800-A78B-4660-85E8-FF18E236938B}" name="Column1026"/>
    <tableColumn id="1029" xr3:uid="{2E6F01D6-D808-48A1-8246-3D44F29633A4}" name="Column1027"/>
    <tableColumn id="1030" xr3:uid="{7646607F-9A83-4B0C-967C-B828ECF4B4B4}" name="Column1028"/>
    <tableColumn id="1031" xr3:uid="{E96BEABE-8A0A-4DBB-8F10-299DEFC69417}" name="Column1029"/>
    <tableColumn id="1032" xr3:uid="{FDBF8CBD-1C0C-4DEF-A1F9-809E1E6A9F83}" name="Column1030"/>
    <tableColumn id="1033" xr3:uid="{944222A2-CE3C-4982-80A6-D48AE61BA6A3}" name="Column1031"/>
    <tableColumn id="1034" xr3:uid="{5A61F27A-33D0-458E-899C-02732661DE2A}" name="Column1032"/>
    <tableColumn id="1035" xr3:uid="{AF00DA07-2EA6-4A46-95E0-40FC78C6F0D6}" name="Column1033"/>
    <tableColumn id="1036" xr3:uid="{2F94E2EF-98D2-4A1B-BD4B-4BD78DB2808D}" name="Column1034"/>
    <tableColumn id="1037" xr3:uid="{4F1DE103-105E-4170-856E-B03B66A20F2B}" name="Column1035"/>
    <tableColumn id="1038" xr3:uid="{C48A62C7-BBDF-4331-A13C-0DC3F813E958}" name="Column1036"/>
    <tableColumn id="1039" xr3:uid="{3A9D401E-0E97-4AB2-B9D7-2D4B13331D18}" name="Column1037"/>
    <tableColumn id="1040" xr3:uid="{D9B6A39D-CCE0-4A36-AD4C-C1E1A4085AEF}" name="Column1038"/>
    <tableColumn id="1041" xr3:uid="{16DEC1B6-E5EA-41D4-839E-AB47153D53D0}" name="Column1039"/>
    <tableColumn id="1042" xr3:uid="{DAF229A4-DFA5-433B-BF9B-96E5A8533B5E}" name="Column1040"/>
    <tableColumn id="1043" xr3:uid="{1DBEA274-2F3D-4864-8FD4-7D85FCB6907A}" name="Column1041"/>
    <tableColumn id="1044" xr3:uid="{F139705A-EC3A-4898-A53C-85752C0B29FE}" name="Column1042"/>
    <tableColumn id="1045" xr3:uid="{B424A2E9-4194-449F-92B5-686CFA428B72}" name="Column1043"/>
    <tableColumn id="1046" xr3:uid="{B3A50827-13E4-42B2-81F6-8274A3B38849}" name="Column1044"/>
    <tableColumn id="1047" xr3:uid="{77FEFC06-A0A3-489D-99D6-A9FD4845C7A8}" name="Column1045"/>
    <tableColumn id="1048" xr3:uid="{C9F1021E-C295-4F88-A80C-D783DC89DE64}" name="Column1046"/>
    <tableColumn id="1049" xr3:uid="{17640688-865E-4705-A19C-3EABDAFB0256}" name="Column1047"/>
    <tableColumn id="1050" xr3:uid="{2A87C097-8561-4644-9AD2-24B7A8558121}" name="Column1048"/>
    <tableColumn id="1051" xr3:uid="{C4DD9867-A639-4A27-9584-2A45F4930035}" name="Column1049"/>
    <tableColumn id="1052" xr3:uid="{8E42D245-3727-400C-9A4C-A22165A1814E}" name="Column1050"/>
    <tableColumn id="1053" xr3:uid="{1CC0ADE6-D9E8-4A3F-801D-4151B3F323C8}" name="Column1051"/>
    <tableColumn id="1054" xr3:uid="{D44ECD48-BE09-47FC-BAE8-2E1F634B8468}" name="Column1052"/>
    <tableColumn id="1055" xr3:uid="{DF0D775D-08EA-4B5C-92B9-55E6EA2B9C6A}" name="Column1053"/>
    <tableColumn id="1056" xr3:uid="{5409A777-2869-4597-BE91-D475A16D1ADC}" name="Column1054"/>
    <tableColumn id="1057" xr3:uid="{F29BEE7B-ADD1-4A4C-9126-CE655A6FE884}" name="Column1055"/>
    <tableColumn id="1058" xr3:uid="{93D6FA15-E508-499E-84AD-B93115A70CFF}" name="Column1056"/>
    <tableColumn id="1059" xr3:uid="{6AEF8980-9CB3-40B3-ABA0-210E7156C75A}" name="Column1057"/>
    <tableColumn id="1060" xr3:uid="{89EE7A02-827E-4903-B593-EBE2AB442D6E}" name="Column1058"/>
    <tableColumn id="1061" xr3:uid="{D9C4A344-8B6C-4B71-AD97-46613990AB87}" name="Column1059"/>
    <tableColumn id="1062" xr3:uid="{4305162D-626D-4297-88B4-E62EC61CF7D5}" name="Column1060"/>
    <tableColumn id="1063" xr3:uid="{08DA7F87-090D-4FA8-B815-48C68707BBB9}" name="Column1061"/>
    <tableColumn id="1064" xr3:uid="{4BACDD10-A372-4AFB-9014-600C393B51FB}" name="Column1062"/>
    <tableColumn id="1065" xr3:uid="{E225852E-A6BC-48F6-B43B-F5B57BE149DE}" name="Column1063"/>
    <tableColumn id="1066" xr3:uid="{599E60F9-5693-4070-8CAB-89C9971F954A}" name="Column1064"/>
    <tableColumn id="1067" xr3:uid="{7D96D9BC-5CA0-4773-A2DF-2EBACC85B4ED}" name="Column1065"/>
    <tableColumn id="1068" xr3:uid="{2EA0D826-A4C0-4295-9059-C2EDD910CC32}" name="Column1066"/>
    <tableColumn id="1069" xr3:uid="{0C3DAF2E-6549-41DB-B10D-58BA656965EF}" name="Column1067"/>
    <tableColumn id="1070" xr3:uid="{655762D1-9E08-4301-B663-93484CB00380}" name="Column1068"/>
    <tableColumn id="1071" xr3:uid="{36BF7D99-2D34-4B1B-B75A-D863B00790AE}" name="Column1069"/>
    <tableColumn id="1072" xr3:uid="{9D5C1593-BF9E-439E-9BD4-C1FE08784DA8}" name="Column1070"/>
    <tableColumn id="1073" xr3:uid="{D039F075-6730-4DCA-A07B-2242DAD89E1C}" name="Column1071"/>
    <tableColumn id="1074" xr3:uid="{09576CC1-6705-49A5-A1FE-CDCBC966D420}" name="Column1072"/>
    <tableColumn id="1075" xr3:uid="{93A44490-560D-4758-894C-B0CA990EE3A3}" name="Column1073"/>
    <tableColumn id="1076" xr3:uid="{A2362E5D-42EC-4766-B236-49A7065BF6A8}" name="Column1074"/>
    <tableColumn id="1077" xr3:uid="{FC12841F-C2F2-4A95-88B7-364A82982E5C}" name="Column1075"/>
    <tableColumn id="1078" xr3:uid="{A4BBB8A3-CA2A-499D-AA1F-9C0C896DA8ED}" name="Column1076"/>
    <tableColumn id="1079" xr3:uid="{7850925F-F548-47FB-B59B-239128309A7E}" name="Column1077"/>
    <tableColumn id="1080" xr3:uid="{265D88E5-791B-4284-8B90-FE32A4169A8F}" name="Column1078"/>
    <tableColumn id="1081" xr3:uid="{C104CA32-B7B9-4A5A-A1DC-CE9D2EFD264F}" name="Column1079"/>
    <tableColumn id="1082" xr3:uid="{A0EBD1B5-C026-4D05-AE4E-EBCF0A26F5A5}" name="Column1080"/>
    <tableColumn id="1083" xr3:uid="{A1C239A2-7D8F-4F38-93D2-7788AF020005}" name="Column1081"/>
    <tableColumn id="1084" xr3:uid="{E1860C8F-72DE-448D-93D5-ABFC55D6FE3D}" name="Column1082"/>
    <tableColumn id="1085" xr3:uid="{2753A311-F1B4-4E76-B781-DA47F10CE671}" name="Column1083"/>
    <tableColumn id="1086" xr3:uid="{39BBE1DB-2B27-4B0F-8443-5B5C0C3F1595}" name="Column1084"/>
    <tableColumn id="1087" xr3:uid="{D5723742-536F-43B2-B531-69004C33BE4E}" name="Column1085"/>
    <tableColumn id="1088" xr3:uid="{8A187ACD-9E9A-4354-8935-E4AC936EFAF2}" name="Column1086"/>
    <tableColumn id="1089" xr3:uid="{E0346FA2-0BE9-4889-AB9E-BEA2BADE0EA4}" name="Column1087"/>
    <tableColumn id="1090" xr3:uid="{47A77574-745C-4379-975D-48330C2DD083}" name="Column1088"/>
    <tableColumn id="1091" xr3:uid="{B2C65570-F7FF-40D2-9AD1-7AE463FC501F}" name="Column1089"/>
    <tableColumn id="1092" xr3:uid="{2571E634-7CFA-40A4-88E3-9B5ECFBD55FC}" name="Column1090"/>
    <tableColumn id="1093" xr3:uid="{C442916E-027A-4B83-B972-4BADE33B4C02}" name="Column1091"/>
    <tableColumn id="1094" xr3:uid="{F4D2F866-8A71-45B6-9DAB-91E358A3577A}" name="Column1092"/>
    <tableColumn id="1095" xr3:uid="{E27CAD87-7C24-416C-AC05-8E6FD3540249}" name="Column1093"/>
    <tableColumn id="1096" xr3:uid="{2786E689-4D45-4A91-A381-2503BA5FE009}" name="Column1094"/>
    <tableColumn id="1097" xr3:uid="{E2541296-2725-47DE-9821-6CDBBB1D414F}" name="Column1095"/>
    <tableColumn id="1098" xr3:uid="{970561C4-235D-40F7-B3E0-0040DEF53857}" name="Column1096"/>
    <tableColumn id="1099" xr3:uid="{A804AAAF-4270-4BD5-8BC0-5F81F30203F3}" name="Column1097"/>
    <tableColumn id="1100" xr3:uid="{E0CAAF6C-59CA-40A3-B9FB-C7B6D742BF02}" name="Column1098"/>
    <tableColumn id="1101" xr3:uid="{226DA26E-7060-417A-A93B-883E77FD2D98}" name="Column1099"/>
    <tableColumn id="1102" xr3:uid="{498A825A-E588-4D0B-A09D-E1C6AF8A8992}" name="Column1100"/>
    <tableColumn id="1103" xr3:uid="{1BBF1C4B-88A4-4650-8786-7B0642AB3287}" name="Column1101"/>
    <tableColumn id="1104" xr3:uid="{DD578D1E-ECEC-49EC-83EC-F5CD8CD7B2F6}" name="Column1102"/>
    <tableColumn id="1105" xr3:uid="{D5F31BBD-5832-4B3F-AE06-E4DDD2B469AB}" name="Column1103"/>
    <tableColumn id="1106" xr3:uid="{DC1C31EA-B778-4980-9A61-A4347168846F}" name="Column1104"/>
    <tableColumn id="1107" xr3:uid="{CC2BE12C-C939-4643-A2CB-E83A40FC8983}" name="Column1105"/>
    <tableColumn id="1108" xr3:uid="{25F515FB-499F-45ED-B33F-BD999946D804}" name="Column1106"/>
    <tableColumn id="1109" xr3:uid="{DDD6222E-6CDA-4653-9217-8D6D833DD870}" name="Column1107"/>
    <tableColumn id="1110" xr3:uid="{DD1B5DA4-1D65-4195-A982-FF3DA4BF835B}" name="Column1108"/>
    <tableColumn id="1111" xr3:uid="{EEAF9700-FABA-4C86-BB40-67F37938C773}" name="Column1109"/>
    <tableColumn id="1112" xr3:uid="{A38B03C3-B5BF-4C43-B315-D5E5F170F41F}" name="Column1110"/>
    <tableColumn id="1113" xr3:uid="{B665B3C9-60C5-4152-AF0D-E1C9EB364F8A}" name="Column1111"/>
    <tableColumn id="1114" xr3:uid="{AA7C19F8-B0DB-45C7-B8EA-95B520968719}" name="Column1112"/>
    <tableColumn id="1115" xr3:uid="{21EBD79B-9164-4699-80C2-95E4A11636DE}" name="Column1113"/>
    <tableColumn id="1116" xr3:uid="{03EAD136-B506-4595-943E-53D8E832DA53}" name="Column1114"/>
    <tableColumn id="1117" xr3:uid="{C6AD8A99-E0BF-4E08-B8A0-300140458378}" name="Column1115"/>
    <tableColumn id="1118" xr3:uid="{821F61CF-2B53-460B-862D-0E99ABBE0F9C}" name="Column1116"/>
    <tableColumn id="1119" xr3:uid="{3C0A6000-8C0F-4F7C-A49E-971D9FDAFE52}" name="Column1117"/>
    <tableColumn id="1120" xr3:uid="{9CF2F358-C0E8-4B48-8BD1-DCCD3A2BF8AA}" name="Column1118"/>
    <tableColumn id="1121" xr3:uid="{66A6A88E-7A27-4A41-A32F-9F07006880C9}" name="Column1119"/>
    <tableColumn id="1122" xr3:uid="{6C688913-8CD0-4C63-9165-8C0B82FFCB35}" name="Column1120"/>
    <tableColumn id="1123" xr3:uid="{10A04E60-52B5-4727-AD59-1E439F485553}" name="Column1121"/>
    <tableColumn id="1124" xr3:uid="{2C31B5CE-EE42-47FF-9B7E-0242907184F7}" name="Column1122"/>
    <tableColumn id="1125" xr3:uid="{ABCBD80C-CF02-480F-9096-8269265E92A9}" name="Column1123"/>
    <tableColumn id="1126" xr3:uid="{37FCEF57-670B-4697-A27A-739D605F98A2}" name="Column1124"/>
    <tableColumn id="1127" xr3:uid="{62E40406-C5B7-4046-926D-702A67382FB2}" name="Column1125"/>
    <tableColumn id="1128" xr3:uid="{4CF4478D-0A86-430D-AB6A-D8CB30B6CEF2}" name="Column1126"/>
    <tableColumn id="1129" xr3:uid="{CC353C6F-D956-4A80-8E04-48C2C64014B7}" name="Column1127"/>
    <tableColumn id="1130" xr3:uid="{2A299BB5-E147-4E2D-88A0-1FB97011B366}" name="Column1128"/>
    <tableColumn id="1131" xr3:uid="{DC8D0C90-CE05-4AAA-8F77-D065CF13559A}" name="Column1129"/>
    <tableColumn id="1132" xr3:uid="{309489EE-F9D0-4932-B739-99991B10BB68}" name="Column1130"/>
    <tableColumn id="1133" xr3:uid="{6083BD45-9932-4DCB-87D4-2193D75F35B9}" name="Column1131"/>
    <tableColumn id="1134" xr3:uid="{7B71BC9B-70A2-434C-B8AC-B2CBFC028D14}" name="Column1132"/>
    <tableColumn id="1135" xr3:uid="{54B1E8E5-67D7-4B45-8D32-3BA9011C964C}" name="Column1133"/>
    <tableColumn id="1136" xr3:uid="{83A09815-9E8C-48E9-BC8D-7AA396F7FDDD}" name="Column1134"/>
    <tableColumn id="1137" xr3:uid="{A72F4731-DCD1-4295-A5EA-1B56847A7340}" name="Column1135"/>
    <tableColumn id="1138" xr3:uid="{D4161921-F44D-491D-BC93-CC42B0F4196D}" name="Column1136"/>
    <tableColumn id="1139" xr3:uid="{AC4665F2-856C-4F34-B3A4-D82F54C60892}" name="Column1137"/>
    <tableColumn id="1140" xr3:uid="{412FBDA9-DBD0-44AF-B2FE-CB2B87015DFA}" name="Column1138"/>
    <tableColumn id="1141" xr3:uid="{41D027D9-8E8B-48B6-BABA-0D70CEE248B6}" name="Column1139"/>
    <tableColumn id="1142" xr3:uid="{6873AB37-D2B9-41C7-BFFB-A14925E3FADD}" name="Column1140"/>
    <tableColumn id="1143" xr3:uid="{1B8FB498-50D8-4400-81E8-1A5633F3A011}" name="Column1141"/>
    <tableColumn id="1144" xr3:uid="{3F51BBE2-7C5A-43E0-860D-995910C06328}" name="Column1142"/>
    <tableColumn id="1145" xr3:uid="{C073F795-0792-472F-B819-FC6A4AC3BCCF}" name="Column1143"/>
    <tableColumn id="1146" xr3:uid="{67EB147F-6D4D-4809-B3CA-19ECACEC170A}" name="Column1144"/>
    <tableColumn id="1147" xr3:uid="{C6B11C33-A4FB-4E72-A9B4-698682754C31}" name="Column1145"/>
    <tableColumn id="1148" xr3:uid="{99BD3335-A708-4090-9053-19EBF0C8A5C0}" name="Column1146"/>
    <tableColumn id="1149" xr3:uid="{35EA995A-FE05-4592-85AE-C1563C2C6134}" name="Column1147"/>
    <tableColumn id="1150" xr3:uid="{03824E52-1D8A-4ED9-AD4F-F6F04B42152D}" name="Column1148"/>
    <tableColumn id="1151" xr3:uid="{85ED0EA3-E2AA-47C9-8B47-66737A3F34D7}" name="Column1149"/>
    <tableColumn id="1152" xr3:uid="{F2FEFFAB-F23C-4493-AC5D-D54298A467BA}" name="Column1150"/>
    <tableColumn id="1153" xr3:uid="{579511EE-64F1-4D2E-B689-D060DC168B57}" name="Column1151"/>
    <tableColumn id="1154" xr3:uid="{28DD5E26-63BA-4DD9-85E2-A7225F0858C1}" name="Column1152"/>
    <tableColumn id="1155" xr3:uid="{12679FBD-0EDA-471A-81DD-7D973F11E6DE}" name="Column1153"/>
    <tableColumn id="1156" xr3:uid="{1D95B782-FD43-416D-A406-6E3B1318656B}" name="Column1154"/>
    <tableColumn id="1157" xr3:uid="{9D497561-026F-4CB0-A858-1371DF79D135}" name="Column1155"/>
    <tableColumn id="1158" xr3:uid="{AC367839-C0E6-49DC-B9DB-15E5473FC9CB}" name="Column1156"/>
    <tableColumn id="1159" xr3:uid="{86BA2D1F-6A6C-49AF-9E8E-F4DFB07571E8}" name="Column1157"/>
    <tableColumn id="1160" xr3:uid="{0D7B7571-6130-4E14-96DD-2C387D606C4D}" name="Column1158"/>
    <tableColumn id="1161" xr3:uid="{E4B58FDD-1909-4ED4-9E68-E300099B3736}" name="Column1159"/>
    <tableColumn id="1162" xr3:uid="{02F21D3C-7C75-4B1D-BF8E-EB0678564F9E}" name="Column1160"/>
    <tableColumn id="1163" xr3:uid="{2571778F-BFD9-402C-9BDA-DB9A52EE6F2A}" name="Column1161"/>
    <tableColumn id="1164" xr3:uid="{BA9E6B1D-E49B-470A-B398-0616C6D9D01C}" name="Column1162"/>
    <tableColumn id="1165" xr3:uid="{DED26E32-1F9E-405B-A10A-1A0A8285E75B}" name="Column1163"/>
    <tableColumn id="1166" xr3:uid="{06F90422-336E-4095-82E8-59EAD57B0AFF}" name="Column1164"/>
    <tableColumn id="1167" xr3:uid="{05EE30CE-7B7E-4024-93A8-1A9514E66381}" name="Column1165"/>
    <tableColumn id="1168" xr3:uid="{CF119BF8-2B45-405A-995B-C3E1922158E7}" name="Column1166"/>
    <tableColumn id="1169" xr3:uid="{992EF569-D0C4-414F-8ED5-3A1517EDE311}" name="Column1167"/>
    <tableColumn id="1170" xr3:uid="{F8A2D005-5858-4312-92EF-B208A02A3DF1}" name="Column1168"/>
    <tableColumn id="1171" xr3:uid="{CB0FE474-E2E4-42FB-8319-4F5D94EAE2CA}" name="Column1169"/>
    <tableColumn id="1172" xr3:uid="{901CE70C-7D24-4CEE-8365-021839D90A04}" name="Column1170"/>
    <tableColumn id="1173" xr3:uid="{17AFD353-910D-421A-A48E-78D7A7C9BEE6}" name="Column1171"/>
    <tableColumn id="1174" xr3:uid="{5FA1CB3F-BAAD-489F-A566-D9E3E78669CD}" name="Column1172"/>
    <tableColumn id="1175" xr3:uid="{FC3AA672-2680-4AB4-B8F3-E6EBF43D3D9C}" name="Column1173"/>
    <tableColumn id="1176" xr3:uid="{845048A8-B08D-4209-9011-3E426507C58E}" name="Column1174"/>
    <tableColumn id="1177" xr3:uid="{38CD60E6-93D1-4F84-B1E2-FBDDCB14F063}" name="Column1175"/>
    <tableColumn id="1178" xr3:uid="{0EAB827C-E536-4167-8A24-E22359EBEB70}" name="Column1176"/>
    <tableColumn id="1179" xr3:uid="{63686459-2CAC-4FD6-A73B-E1A8877DA4E3}" name="Column1177"/>
    <tableColumn id="1180" xr3:uid="{059768C1-B372-41E7-9C1E-4A4501811082}" name="Column1178"/>
    <tableColumn id="1181" xr3:uid="{F8F09EC4-1A61-4732-8C41-403EACC58AA1}" name="Column1179"/>
    <tableColumn id="1182" xr3:uid="{0E296DC2-5729-4568-AB89-DFE6CFACBE09}" name="Column1180"/>
    <tableColumn id="1183" xr3:uid="{4CD1A069-07A4-43D7-ABBB-6CEC7D996D37}" name="Column1181"/>
    <tableColumn id="1184" xr3:uid="{46EC30BA-1CA2-4582-AD7A-059B53E583E4}" name="Column1182"/>
    <tableColumn id="1185" xr3:uid="{B568265C-E431-422A-B892-7277E002A126}" name="Column1183"/>
    <tableColumn id="1186" xr3:uid="{5C5CD8D4-DAC3-48AC-9E94-A44A30E001D6}" name="Column1184"/>
    <tableColumn id="1187" xr3:uid="{73A398BF-DEE7-434D-9BE9-BAB3126D4A94}" name="Column1185"/>
    <tableColumn id="1188" xr3:uid="{47D3FD2D-11C5-4993-A17A-935503AABB90}" name="Column1186"/>
    <tableColumn id="1189" xr3:uid="{B4659181-A624-4050-9C79-80974D58849A}" name="Column1187"/>
    <tableColumn id="1190" xr3:uid="{7094BE3D-C7D5-4250-8896-95307750CD1B}" name="Column1188"/>
    <tableColumn id="1191" xr3:uid="{28E1E1C3-5770-43D8-885B-FAA3C8C77535}" name="Column1189"/>
    <tableColumn id="1192" xr3:uid="{5C009BE0-B441-4BCB-B64D-AC8BC3572074}" name="Column1190"/>
    <tableColumn id="1193" xr3:uid="{75E5786E-DF96-4064-8A4A-6D9A4CF18C29}" name="Column1191"/>
    <tableColumn id="1194" xr3:uid="{E87799C1-0828-4B99-A886-B50AAA0F4170}" name="Column1192"/>
    <tableColumn id="1195" xr3:uid="{C047E8CF-B044-47AF-A85D-66B198B2F364}" name="Column1193"/>
    <tableColumn id="1196" xr3:uid="{B678D932-406E-4097-8273-B5377878FC2E}" name="Column1194"/>
    <tableColumn id="1197" xr3:uid="{0DC0040D-FD8D-41B1-B631-4EB1E0FD1B64}" name="Column1195"/>
    <tableColumn id="1198" xr3:uid="{116D2BFB-CF4B-4AC5-9B51-0E3E6E474ED9}" name="Column1196"/>
    <tableColumn id="1199" xr3:uid="{E9DF1729-D477-4E1B-893D-2459E0D8CC45}" name="Column1197"/>
    <tableColumn id="1200" xr3:uid="{87BE0B1C-A564-4907-A4BB-133EDF4D28BE}" name="Column1198"/>
    <tableColumn id="1201" xr3:uid="{EDCF296F-CEE7-4AEC-8D33-AB88041C1D5D}" name="Column1199"/>
    <tableColumn id="1202" xr3:uid="{A07FD37D-77CB-4F2F-BAFB-DAE015B6A6A4}" name="Column1200"/>
    <tableColumn id="1203" xr3:uid="{7756DD36-111C-4489-8056-9FDF0151284E}" name="Column1201"/>
    <tableColumn id="1204" xr3:uid="{9A818DBA-0325-476B-9C11-545316746DBA}" name="Column1202"/>
    <tableColumn id="1205" xr3:uid="{9E9AC9FC-EAFF-4501-A689-CD9C82B97CA3}" name="Column1203"/>
    <tableColumn id="1206" xr3:uid="{C682E75A-A66E-4431-8DD7-08E9B00B2D46}" name="Column1204"/>
    <tableColumn id="1207" xr3:uid="{E5C1184D-3593-4D47-8DC6-56F11B46C6C4}" name="Column1205"/>
    <tableColumn id="1208" xr3:uid="{53D7092A-35F7-4FF6-A1C5-4844CC3FE5FC}" name="Column1206"/>
    <tableColumn id="1209" xr3:uid="{E1A98731-948A-42F1-A731-E9EC70DAF4F5}" name="Column1207"/>
    <tableColumn id="1210" xr3:uid="{FD929238-F685-45EA-AA4F-2E45008021C6}" name="Column1208"/>
    <tableColumn id="1211" xr3:uid="{0E8CA81E-6988-476D-9196-12D6AA3FF13F}" name="Column1209"/>
    <tableColumn id="1212" xr3:uid="{0E1125F0-55F1-4DEA-AA70-66D9F999A5FC}" name="Column1210"/>
    <tableColumn id="1213" xr3:uid="{C4A5051E-BA73-4D2C-B08F-09B36F60B67D}" name="Column1211"/>
    <tableColumn id="1214" xr3:uid="{2A1F1144-3A77-4484-A2F7-ED69570B7DD0}" name="Column1212"/>
    <tableColumn id="1215" xr3:uid="{FBD6EB29-23CB-4621-B183-6F01A80A9BBF}" name="Column1213"/>
    <tableColumn id="1216" xr3:uid="{DEC75CD0-3EA7-4177-ACE0-B72C24E5104B}" name="Column1214"/>
    <tableColumn id="1217" xr3:uid="{2150369B-C490-4266-8BF5-47D0180F85E4}" name="Column1215"/>
    <tableColumn id="1218" xr3:uid="{30BB2399-C155-42F3-82B8-E34875F6A664}" name="Column1216"/>
    <tableColumn id="1219" xr3:uid="{E22F1794-D86B-4EB2-9D85-4017F217F44E}" name="Column1217"/>
    <tableColumn id="1220" xr3:uid="{B3FF5E43-128A-4954-B8A9-861E7790598F}" name="Column1218"/>
    <tableColumn id="1221" xr3:uid="{6EBA49BD-1198-41CE-B1E9-9EE43C8B5D5D}" name="Column1219"/>
    <tableColumn id="1222" xr3:uid="{E45D4052-2348-4A3A-8882-1F2CDF6471BF}" name="Column1220"/>
    <tableColumn id="1223" xr3:uid="{2EE84664-3498-4A5D-A46D-FD632E2BC176}" name="Column1221"/>
    <tableColumn id="1224" xr3:uid="{4D525484-3540-440C-9DFD-0A42C4FBCB86}" name="Column1222"/>
    <tableColumn id="1225" xr3:uid="{5A27F42D-799E-4CA6-96E5-67F6E64043CA}" name="Column1223"/>
    <tableColumn id="1226" xr3:uid="{793D9D04-618C-4BD5-B61B-14D9B0114A15}" name="Column1224"/>
    <tableColumn id="1227" xr3:uid="{586C59D4-1009-45C8-9D6A-63DFA056C946}" name="Column1225"/>
    <tableColumn id="1228" xr3:uid="{62AD119F-3D04-4381-88C8-FF8C32FE98CA}" name="Column1226"/>
    <tableColumn id="1229" xr3:uid="{6067A31D-854C-4721-8726-4CB88B2AD9DE}" name="Column1227"/>
    <tableColumn id="1230" xr3:uid="{552506DB-1CB6-4985-8EB4-36ADEDC85A2A}" name="Column1228"/>
    <tableColumn id="1231" xr3:uid="{CAEDADE7-CCAF-4645-AAAD-8A92608DACC0}" name="Column1229"/>
    <tableColumn id="1232" xr3:uid="{FD208D7E-147D-4967-9581-3A8704042C37}" name="Column1230"/>
    <tableColumn id="1233" xr3:uid="{04960DBF-C426-4C53-9BAC-E4CB2B73DCBC}" name="Column1231"/>
    <tableColumn id="1234" xr3:uid="{044335E5-5721-4707-A93B-CC3AAA3235D1}" name="Column1232"/>
    <tableColumn id="1235" xr3:uid="{12AFAFFC-0E4B-4D2B-9964-F9E894DDCADE}" name="Column1233"/>
    <tableColumn id="1236" xr3:uid="{91A24B89-4D78-43BF-88DC-05E8880E1DD9}" name="Column1234"/>
    <tableColumn id="1237" xr3:uid="{A239C3C8-6331-4BCF-925C-F7189EE3658F}" name="Column1235"/>
    <tableColumn id="1238" xr3:uid="{42DF76E8-1758-4D21-8A45-69FE3E233BD0}" name="Column1236"/>
    <tableColumn id="1239" xr3:uid="{C891FA06-6C81-41ED-9515-3AEC8FA6B104}" name="Column1237"/>
    <tableColumn id="1240" xr3:uid="{A3F67FF1-78A6-4840-AC2F-327486A8B293}" name="Column1238"/>
    <tableColumn id="1241" xr3:uid="{13A6490F-810D-4AB6-A193-822912BE725F}" name="Column1239"/>
    <tableColumn id="1242" xr3:uid="{F5E7290B-DE49-4944-974A-50BAB048C760}" name="Column1240"/>
    <tableColumn id="1243" xr3:uid="{A9979BC4-8119-4584-9112-C6DA5C816051}" name="Column1241"/>
    <tableColumn id="1244" xr3:uid="{66454EEF-DB81-42CB-A0E0-E05A48915B2E}" name="Column1242"/>
    <tableColumn id="1245" xr3:uid="{F85C978A-A4B6-4B47-8BCF-993CEEDD5EE5}" name="Column1243"/>
    <tableColumn id="1246" xr3:uid="{B657A0B7-28E0-4AEA-A8B3-F4F614454ADB}" name="Column1244"/>
    <tableColumn id="1247" xr3:uid="{A8AEF0D2-C17E-4F0F-9658-85C101C4CCD3}" name="Column1245"/>
    <tableColumn id="1248" xr3:uid="{1232F5A3-6680-47AD-BC76-CD03000F198F}" name="Column1246"/>
    <tableColumn id="1249" xr3:uid="{FB4FB83A-84F3-4FEF-AFAA-2B7F47E5C1C8}" name="Column1247"/>
    <tableColumn id="1250" xr3:uid="{67280655-8A3A-4B01-887C-80132F1CFEC3}" name="Column1248"/>
    <tableColumn id="1251" xr3:uid="{B5FB2743-1428-4DD9-86F6-B43E2088AEC8}" name="Column1249"/>
    <tableColumn id="1252" xr3:uid="{3E72D416-061B-46A6-BFC1-E86A9BA099CD}" name="Column1250"/>
    <tableColumn id="1253" xr3:uid="{62D56FC0-467D-4450-B4F1-E6971797C552}" name="Column1251"/>
    <tableColumn id="1254" xr3:uid="{7269E72E-84B3-4FA2-9CBC-595183AB61E4}" name="Column1252"/>
    <tableColumn id="1255" xr3:uid="{C1D903C0-A92C-460C-AE03-1B5D12C6BC2A}" name="Column1253"/>
    <tableColumn id="1256" xr3:uid="{B9AA6C17-EE6F-4384-8001-28E702A08492}" name="Column1254"/>
    <tableColumn id="1257" xr3:uid="{11F78BE9-0286-4C80-9558-E234C134A7D3}" name="Column1255"/>
    <tableColumn id="1258" xr3:uid="{75D2E9DB-A8E5-467D-B55D-CDB1C5B06F5A}" name="Column1256"/>
    <tableColumn id="1259" xr3:uid="{AA7903C3-1F09-4746-BBE1-92B3BF075A7C}" name="Column1257"/>
    <tableColumn id="1260" xr3:uid="{4F6B86FD-BB10-46BE-8A77-49005DE36EA4}" name="Column1258"/>
    <tableColumn id="1261" xr3:uid="{27181EE5-9A00-4745-8C65-53EE34BA8522}" name="Column1259"/>
    <tableColumn id="1262" xr3:uid="{C19EC7ED-0853-46EB-83EC-6E2033F06864}" name="Column1260"/>
    <tableColumn id="1263" xr3:uid="{C289EBE2-91F5-4611-93CD-D437BD3BBE77}" name="Column1261"/>
    <tableColumn id="1264" xr3:uid="{A531066D-1F23-4B3A-AAB5-53A1DE906B19}" name="Column1262"/>
    <tableColumn id="1265" xr3:uid="{528E3C1B-517B-4647-902C-84191E25A285}" name="Column1263"/>
    <tableColumn id="1266" xr3:uid="{6210296A-AA66-461C-8EC5-2BFC77AE5CB2}" name="Column1264"/>
    <tableColumn id="1267" xr3:uid="{FA3B2963-8496-4D0B-80E2-621013AE7EDB}" name="Column1265"/>
    <tableColumn id="1268" xr3:uid="{9B9895BD-7EDD-4FF9-BE76-68E30D88A3DE}" name="Column1266"/>
    <tableColumn id="1269" xr3:uid="{CE853D95-920B-4461-A294-014E1D84D495}" name="Column1267"/>
    <tableColumn id="1270" xr3:uid="{3D82CCB1-988F-420E-A775-A9EB343F686E}" name="Column1268"/>
    <tableColumn id="1271" xr3:uid="{C9C7DCD1-5BA8-4865-8C0C-B273C907C10C}" name="Column1269"/>
    <tableColumn id="1272" xr3:uid="{230B25F8-9188-4B47-9786-9A4EA2448251}" name="Column1270"/>
    <tableColumn id="1273" xr3:uid="{7CFB0EE4-5955-4B48-A606-A1CB37254E75}" name="Column1271"/>
    <tableColumn id="1274" xr3:uid="{532CBCC8-98EB-4C58-9BC2-490BA38C58EE}" name="Column1272"/>
    <tableColumn id="1275" xr3:uid="{704C4CA2-EC46-4A3F-BCA6-3FB4F86D0F1A}" name="Column1273"/>
    <tableColumn id="1276" xr3:uid="{3586001D-CCB4-4502-B8DF-402CA43791C6}" name="Column1274"/>
    <tableColumn id="1277" xr3:uid="{7077DFB0-C5DE-40FF-9F56-381B0CD78710}" name="Column1275"/>
    <tableColumn id="1278" xr3:uid="{40CE8C9E-767A-4D84-AD5C-F2BD2E67367A}" name="Column1276"/>
    <tableColumn id="1279" xr3:uid="{86B9DE36-4843-4800-8A3E-5A28A1A1BD1B}" name="Column1277"/>
    <tableColumn id="1280" xr3:uid="{F7F7DF53-67C4-48F1-87A1-4B10D0BD4BCA}" name="Column1278"/>
    <tableColumn id="1281" xr3:uid="{88E77805-CCEF-4387-96FE-0960CAFF1D74}" name="Column1279"/>
    <tableColumn id="1282" xr3:uid="{2B881618-957D-4F60-B7B5-281A7F2E2E30}" name="Column1280"/>
    <tableColumn id="1283" xr3:uid="{1718AFE1-9A63-46AE-8D5A-185659AF9D4B}" name="Column1281"/>
    <tableColumn id="1284" xr3:uid="{D75CA091-B007-4F8A-AC85-EB522F1AFFFC}" name="Column1282"/>
    <tableColumn id="1285" xr3:uid="{9DEF4BE2-A448-40B3-86D4-1FC1AEEFEE7D}" name="Column1283"/>
    <tableColumn id="1286" xr3:uid="{CEF64886-D719-4065-B1B8-C6F08C421058}" name="Column1284"/>
    <tableColumn id="1287" xr3:uid="{15E9E68F-DF58-4428-96BE-948D7FADF0FC}" name="Column1285"/>
    <tableColumn id="1288" xr3:uid="{3F94AC45-082E-4E11-B929-FA6639DA6789}" name="Column1286"/>
    <tableColumn id="1289" xr3:uid="{D3B52C38-A346-4918-9D01-A6BF0213F67B}" name="Column1287"/>
    <tableColumn id="1290" xr3:uid="{DA69EA14-2F89-449C-8B90-73DFA81C7761}" name="Column1288"/>
    <tableColumn id="1291" xr3:uid="{1A2FF92E-8819-4F9E-851C-D2543FCF044E}" name="Column1289"/>
    <tableColumn id="1292" xr3:uid="{4E0AADC4-C76B-4832-9C68-28E75BD60433}" name="Column1290"/>
    <tableColumn id="1293" xr3:uid="{21E49D8D-6625-4D1D-A7C0-37B3B3296ED2}" name="Column1291"/>
    <tableColumn id="1294" xr3:uid="{71EE4491-DB0A-453A-8EE9-52EA4CD9F0F2}" name="Column1292"/>
    <tableColumn id="1295" xr3:uid="{82F3C519-92A0-41E1-BBFA-9045EDC7F60F}" name="Column1293"/>
    <tableColumn id="1296" xr3:uid="{ACA74598-BBE7-4FBD-94B1-2E0428F2042F}" name="Column1294"/>
    <tableColumn id="1297" xr3:uid="{B3AE3B40-5B6B-42DE-9188-7BED5D8D63C8}" name="Column1295"/>
    <tableColumn id="1298" xr3:uid="{111177F2-F214-460F-94E4-C9B06D8168CD}" name="Column1296"/>
    <tableColumn id="1299" xr3:uid="{3EC05A66-9C9A-4558-97DE-A774A5E3FEA9}" name="Column1297"/>
    <tableColumn id="1300" xr3:uid="{1640189C-0F32-4897-AE13-DDFF7E1F110C}" name="Column1298"/>
    <tableColumn id="1301" xr3:uid="{4D0D02E1-25C4-487B-87D5-63DFE4D2D38A}" name="Column1299"/>
    <tableColumn id="1302" xr3:uid="{C2A9D41A-D78A-4EE8-B128-05FA95C1910F}" name="Column1300"/>
    <tableColumn id="1303" xr3:uid="{248E6CCE-1BEB-4FA9-A92A-B9E82892FC10}" name="Column1301"/>
    <tableColumn id="1304" xr3:uid="{FBDD97C7-E2AF-4C44-A697-FD8C43BABFFF}" name="Column1302"/>
    <tableColumn id="1305" xr3:uid="{D4DB5AF0-6979-482D-AD5E-A86A3E36A43B}" name="Column1303"/>
    <tableColumn id="1306" xr3:uid="{338AD967-F1F0-4A46-AB85-A55FFD01E32E}" name="Column1304"/>
    <tableColumn id="1307" xr3:uid="{BD2636B4-B93B-4E32-8BC1-7BFF3ACB486B}" name="Column1305"/>
    <tableColumn id="1308" xr3:uid="{0AD28CD9-0DC3-4D67-BAE1-D942784734C8}" name="Column1306"/>
    <tableColumn id="1309" xr3:uid="{DCD5F7AE-AC6A-4CE1-B49C-7E4AB9CFD549}" name="Column1307"/>
    <tableColumn id="1310" xr3:uid="{653081FD-6ED5-4A25-9A8B-E9EDBC45BC06}" name="Column1308"/>
    <tableColumn id="1311" xr3:uid="{8854E3CE-6C6C-43D2-B5D4-7A19258C72E7}" name="Column1309"/>
    <tableColumn id="1312" xr3:uid="{2AA3EACF-3E84-4C0A-B9B5-A99356D62BC0}" name="Column1310"/>
    <tableColumn id="1313" xr3:uid="{67507105-5F1A-4925-A62C-22DE541E7C7B}" name="Column1311"/>
    <tableColumn id="1314" xr3:uid="{22541180-9184-4D1F-B3EE-40E2520CFABC}" name="Column1312"/>
    <tableColumn id="1315" xr3:uid="{19073D85-25D0-47E5-8260-93FCBD32AFDE}" name="Column1313"/>
    <tableColumn id="1316" xr3:uid="{148DA379-D222-480E-B9BF-0965BE54B137}" name="Column1314"/>
    <tableColumn id="1317" xr3:uid="{B18303ED-29F1-4298-A3B5-C2A93636CD22}" name="Column1315"/>
    <tableColumn id="1318" xr3:uid="{2BEA5B21-1C42-4F6A-9007-A75B356E4D94}" name="Column1316"/>
    <tableColumn id="1319" xr3:uid="{B786729F-2EA4-473D-A5F6-A74DF93C943B}" name="Column1317"/>
    <tableColumn id="1320" xr3:uid="{22155229-E549-4E1B-9E8C-3620B83DC073}" name="Column1318"/>
    <tableColumn id="1321" xr3:uid="{3DDF2019-4E3B-49CC-8EF8-187E12096AE7}" name="Column1319"/>
    <tableColumn id="1322" xr3:uid="{7C1D8154-1936-4F66-857A-D5FE155E06CA}" name="Column1320"/>
    <tableColumn id="1323" xr3:uid="{114096F5-6CCC-4BA0-8ED2-1B01242B75A2}" name="Column1321"/>
    <tableColumn id="1324" xr3:uid="{E9410E42-ACD8-42B6-ACC4-01DDB4EF516E}" name="Column1322"/>
    <tableColumn id="1325" xr3:uid="{26CC10F1-FCD5-4226-897E-6ECF731973D6}" name="Column1323"/>
    <tableColumn id="1326" xr3:uid="{0CD73F1A-1A62-4EA6-BEA6-4FC31D68EDC2}" name="Column1324"/>
    <tableColumn id="1327" xr3:uid="{528DB0C4-4301-43A4-BC71-F8B8FFC49832}" name="Column1325"/>
    <tableColumn id="1328" xr3:uid="{5B9F74F2-A1FE-49C9-8EAE-3ACE393B48AF}" name="Column1326"/>
    <tableColumn id="1329" xr3:uid="{5E122EF2-47BF-419F-86C8-769172BA6B8B}" name="Column1327"/>
    <tableColumn id="1330" xr3:uid="{776C5ECF-4EEE-4B54-A632-38A22457B3BE}" name="Column1328"/>
    <tableColumn id="1331" xr3:uid="{F1FEAEFD-9A7D-47F5-806D-74EA677805FE}" name="Column1329"/>
    <tableColumn id="1332" xr3:uid="{B992DDB1-DCF7-48F4-A54C-1310A67A32A3}" name="Column1330"/>
    <tableColumn id="1333" xr3:uid="{34B5A5BF-1E7E-4ED5-AD1E-C53D24710B4C}" name="Column1331"/>
    <tableColumn id="1334" xr3:uid="{5FBB8AB8-0254-4913-8D1F-5201B585F06A}" name="Column1332"/>
    <tableColumn id="1335" xr3:uid="{C31924EA-AF14-4A1C-89D7-29FA40751140}" name="Column1333"/>
    <tableColumn id="1336" xr3:uid="{337AFA67-C522-4DEB-8752-D4504BEF84C0}" name="Column1334"/>
    <tableColumn id="1337" xr3:uid="{C1B4C596-2166-4832-976C-A550EC2AD566}" name="Column1335"/>
    <tableColumn id="1338" xr3:uid="{BE8F5B4F-861E-4BC2-9305-CB4ADC27B7B3}" name="Column1336"/>
    <tableColumn id="1339" xr3:uid="{AEDDB328-6FA9-4E44-A259-6137F97737D9}" name="Column1337"/>
    <tableColumn id="1340" xr3:uid="{2317C9AC-167D-482A-82B4-49AD44FACC8B}" name="Column1338"/>
    <tableColumn id="1341" xr3:uid="{65379C47-D9DB-4D0B-9E17-F0306D1FEAE6}" name="Column1339"/>
    <tableColumn id="1342" xr3:uid="{8EF4B6E1-5313-4CA9-8326-74AFBC93E02A}" name="Column1340"/>
    <tableColumn id="1343" xr3:uid="{7DDF8EC0-DCCD-4EE2-8405-80802BF0F72B}" name="Column1341"/>
    <tableColumn id="1344" xr3:uid="{A163DB96-5798-4D34-B3E9-CC7F184D9BE2}" name="Column1342"/>
    <tableColumn id="1345" xr3:uid="{BD25A313-4708-45AA-A1DA-DB19774B464E}" name="Column1343"/>
    <tableColumn id="1346" xr3:uid="{C3955BF3-9F37-4AB1-B34D-950D990F11AE}" name="Column1344"/>
    <tableColumn id="1347" xr3:uid="{7B497767-0710-4753-9F53-2279009E4B5F}" name="Column1345"/>
    <tableColumn id="1348" xr3:uid="{55188C3F-8EFB-4CDA-8880-5EBA833F98FC}" name="Column1346"/>
    <tableColumn id="1349" xr3:uid="{71CABD0B-271A-4585-BF03-E6332896A2EA}" name="Column1347"/>
    <tableColumn id="1350" xr3:uid="{B7D98780-7C37-4213-ACE5-47546E224589}" name="Column1348"/>
    <tableColumn id="1351" xr3:uid="{EAF55CA8-40B3-4BEB-A93F-1C178470BF1F}" name="Column1349"/>
    <tableColumn id="1352" xr3:uid="{DC043DB4-4C21-4654-B11A-D6EBAEAD7FFF}" name="Column1350"/>
    <tableColumn id="1353" xr3:uid="{3F0EF594-0A88-4D4D-9E8C-027B3FA28217}" name="Column1351"/>
    <tableColumn id="1354" xr3:uid="{FA7C126A-C37C-4717-A5AE-D967DBDF8C9E}" name="Column1352"/>
    <tableColumn id="1355" xr3:uid="{AB027B06-9BBA-469F-BE10-C424673F49FB}" name="Column1353"/>
    <tableColumn id="1356" xr3:uid="{901051A3-74EB-4A72-8636-323D58A08B81}" name="Column1354"/>
    <tableColumn id="1357" xr3:uid="{6AB88F29-04C1-4BF1-8B35-C7C6B3C75ED9}" name="Column1355"/>
    <tableColumn id="1358" xr3:uid="{80CD8926-01D6-48DF-82E6-227F623738DF}" name="Column1356"/>
    <tableColumn id="1359" xr3:uid="{FE968E80-8E7D-4A38-855B-6939BB114AA3}" name="Column1357"/>
    <tableColumn id="1360" xr3:uid="{22DFE83A-9B3B-4E2F-9382-3286EC721C4D}" name="Column1358"/>
    <tableColumn id="1361" xr3:uid="{DBF6F688-973F-4F15-A3FA-F6CB71AF8E56}" name="Column1359"/>
    <tableColumn id="1362" xr3:uid="{2DBC2C17-EF4F-4F09-A21F-6785045FEF4E}" name="Column1360"/>
    <tableColumn id="1363" xr3:uid="{22BE4914-21F6-4338-94E2-BEF169AA2F8C}" name="Column1361"/>
    <tableColumn id="1364" xr3:uid="{D7CDD362-BA3D-45D6-86DB-44A46C31D7EE}" name="Column1362"/>
    <tableColumn id="1365" xr3:uid="{F008BD6F-FBAE-4178-96EC-FB2FA6DFC477}" name="Column1363"/>
    <tableColumn id="1366" xr3:uid="{B2C1B325-3FBD-4B9B-953C-5E5168518166}" name="Column1364"/>
    <tableColumn id="1367" xr3:uid="{64C27338-73F1-4ED6-8639-02719466B635}" name="Column1365"/>
    <tableColumn id="1368" xr3:uid="{BD016876-827A-442F-9D1B-04FF0BACC6F6}" name="Column1366"/>
    <tableColumn id="1369" xr3:uid="{D019D141-C113-4599-84A2-6148F16DCA91}" name="Column1367"/>
    <tableColumn id="1370" xr3:uid="{EFE549D5-05A8-4C4A-82EB-0FD1E9D78BF1}" name="Column1368"/>
    <tableColumn id="1371" xr3:uid="{F33B7122-002B-44B6-AFEE-266C35A88052}" name="Column1369"/>
    <tableColumn id="1372" xr3:uid="{4ED06617-A75B-4C0D-A306-AB02A24DCE68}" name="Column1370"/>
    <tableColumn id="1373" xr3:uid="{6EBDDED2-823F-41C9-A6EC-DDC7D4799D0D}" name="Column1371"/>
    <tableColumn id="1374" xr3:uid="{364A25E1-D87D-4E50-87FB-F226428F553A}" name="Column1372"/>
    <tableColumn id="1375" xr3:uid="{96521BE1-E1BA-4085-A6F8-B651B589D289}" name="Column1373"/>
    <tableColumn id="1376" xr3:uid="{43A021CD-5CBB-4640-9B27-19FF8478C8D4}" name="Column1374"/>
    <tableColumn id="1377" xr3:uid="{3B08ACFC-69B6-455E-9D99-865265F7C11C}" name="Column1375"/>
    <tableColumn id="1378" xr3:uid="{97ED631F-E0BC-4BB5-89AA-CC8849F62788}" name="Column1376"/>
    <tableColumn id="1379" xr3:uid="{6846D03B-727D-4B64-B2F5-73E44CDC3845}" name="Column1377"/>
    <tableColumn id="1380" xr3:uid="{0646D4EB-ACB0-46FD-9D10-A44A3B8DF5BA}" name="Column1378"/>
    <tableColumn id="1381" xr3:uid="{54BB9E70-164F-4AF4-861A-B987BF404B30}" name="Column1379"/>
    <tableColumn id="1382" xr3:uid="{87B9E663-1796-4A4C-AEB5-4CC8BCB1AC18}" name="Column1380"/>
    <tableColumn id="1383" xr3:uid="{352C34E6-9AA3-40F0-8CD2-E9EF1412558C}" name="Column1381"/>
    <tableColumn id="1384" xr3:uid="{7F543BF7-6864-44EF-B6F3-3580DCB0F81A}" name="Column1382"/>
    <tableColumn id="1385" xr3:uid="{7C0A06A9-3871-407C-9B62-BFA846AC2216}" name="Column1383"/>
    <tableColumn id="1386" xr3:uid="{C8AFA46B-F89F-47E6-A70D-CDE00939B236}" name="Column1384"/>
    <tableColumn id="1387" xr3:uid="{C8B12895-DFB2-4C67-8072-C72BF9986B9D}" name="Column1385"/>
    <tableColumn id="1388" xr3:uid="{D5C1A8A8-1B45-43B5-8124-18242B0EBAA8}" name="Column1386"/>
    <tableColumn id="1389" xr3:uid="{1606E927-35F1-4305-B505-8AC737D9E27E}" name="Column1387"/>
    <tableColumn id="1390" xr3:uid="{788EC7C7-2AFB-46AC-8115-370DC1C8BE56}" name="Column1388"/>
    <tableColumn id="1391" xr3:uid="{ACF1BAA4-DF49-4C8E-93E5-793A8B194E98}" name="Column1389"/>
    <tableColumn id="1392" xr3:uid="{089B3248-B569-4268-A3B9-B76F652FB705}" name="Column1390"/>
    <tableColumn id="1393" xr3:uid="{1F123E45-8519-4BE0-8E3C-8FB498B03E3A}" name="Column1391"/>
    <tableColumn id="1394" xr3:uid="{765086CD-B875-465B-BA21-A1E59B98BC7D}" name="Column1392"/>
    <tableColumn id="1395" xr3:uid="{27BBA4F9-B14A-4819-982A-E0B4CC9439B5}" name="Column1393"/>
    <tableColumn id="1396" xr3:uid="{40F51A17-95C1-4049-8FA1-3F6B1E488EAE}" name="Column1394"/>
    <tableColumn id="1397" xr3:uid="{365C84B3-7004-4FD3-8CD5-EE3BCDEA8BF7}" name="Column1395"/>
    <tableColumn id="1398" xr3:uid="{84128061-3D3E-4243-AA07-C815C9669724}" name="Column1396"/>
    <tableColumn id="1399" xr3:uid="{1808E1B6-612E-4771-B510-027592D7BD15}" name="Column1397"/>
    <tableColumn id="1400" xr3:uid="{66564E51-4E34-4CAF-BCAF-DCCBF71C123B}" name="Column1398"/>
    <tableColumn id="1401" xr3:uid="{60E750E9-3710-4F6F-9AB3-99AC253A6D41}" name="Column1399"/>
    <tableColumn id="1402" xr3:uid="{10979144-2E52-48DD-B2C8-165AD8A9FA16}" name="Column1400"/>
    <tableColumn id="1403" xr3:uid="{716901A7-4B41-4662-B53C-4CC248F1B47A}" name="Column1401"/>
    <tableColumn id="1404" xr3:uid="{DA2AB009-3B4B-4094-8781-82972B15A285}" name="Column1402"/>
    <tableColumn id="1405" xr3:uid="{6D1153CF-2FC7-4ED3-BEBA-1081A0CF7D9C}" name="Column1403"/>
    <tableColumn id="1406" xr3:uid="{B3A2F97C-0AF5-4CE4-A172-EB30AAE28C29}" name="Column1404"/>
    <tableColumn id="1407" xr3:uid="{402D8EB5-563D-42D0-9660-146B8B48899C}" name="Column1405"/>
    <tableColumn id="1408" xr3:uid="{DB067E9E-51C7-4A62-AC5F-00E6C90D581C}" name="Column1406"/>
    <tableColumn id="1409" xr3:uid="{7B197A70-739C-4302-9B01-04518ABE2AF9}" name="Column1407"/>
    <tableColumn id="1410" xr3:uid="{659EE06E-3354-4B0C-A14A-5C6C4CED9D4B}" name="Column1408"/>
    <tableColumn id="1411" xr3:uid="{CA29F843-FE66-476C-ADB7-11D755C81500}" name="Column1409"/>
    <tableColumn id="1412" xr3:uid="{3410A17F-21F9-4C38-A524-A0CEDFB98CE7}" name="Column1410"/>
    <tableColumn id="1413" xr3:uid="{732EBEB4-B5B3-4E47-A265-25FCFF555E84}" name="Column1411"/>
    <tableColumn id="1414" xr3:uid="{B6281276-4E13-4D31-AEB6-CFE5F63AE392}" name="Column1412"/>
    <tableColumn id="1415" xr3:uid="{95301952-A454-46B1-A752-6FD58872239B}" name="Column1413"/>
    <tableColumn id="1416" xr3:uid="{5E5BBF91-FEE5-4C3E-898E-024A5713EB65}" name="Column1414"/>
    <tableColumn id="1417" xr3:uid="{8D4B9CD7-876B-4ACA-872D-71ED2F6BA388}" name="Column1415"/>
    <tableColumn id="1418" xr3:uid="{AFD849E2-B94E-4691-B77D-9D0EA339097D}" name="Column1416"/>
    <tableColumn id="1419" xr3:uid="{2DFB5FFB-E315-4884-877C-BBB649FA8B1C}" name="Column1417"/>
    <tableColumn id="1420" xr3:uid="{36337CD9-E445-411F-A526-536D0B96989C}" name="Column1418"/>
    <tableColumn id="1421" xr3:uid="{F1B6E2CA-EF35-4E21-B703-5F5E8B90B0EA}" name="Column1419"/>
    <tableColumn id="1422" xr3:uid="{B7AF9DE7-0832-4910-AF91-235C99D7EF13}" name="Column1420"/>
    <tableColumn id="1423" xr3:uid="{4C6DD8D2-F5F1-4EF5-B1E4-EE74624046EC}" name="Column1421"/>
    <tableColumn id="1424" xr3:uid="{93B2D0A8-06B7-4E96-8FC0-E4BDC482B47A}" name="Column1422"/>
    <tableColumn id="1425" xr3:uid="{AECC7FB7-F932-4B1B-A69F-00F04A3D610F}" name="Column1423"/>
    <tableColumn id="1426" xr3:uid="{1E8B0C85-CF31-40FE-8751-1766E11C9C9A}" name="Column1424"/>
    <tableColumn id="1427" xr3:uid="{8459D3E8-EBA4-461D-83E0-1CA527E73BF0}" name="Column1425"/>
    <tableColumn id="1428" xr3:uid="{81FA33CB-2B11-4861-BC52-AA6CAF6FD34D}" name="Column1426"/>
    <tableColumn id="1429" xr3:uid="{F8F945FF-5F66-47C9-9EB8-207DA4B24599}" name="Column1427"/>
    <tableColumn id="1430" xr3:uid="{B9257E03-5FF1-4466-9F44-486E124494B8}" name="Column1428"/>
    <tableColumn id="1431" xr3:uid="{384C80F6-4250-4095-A9D5-89506AA31C83}" name="Column1429"/>
    <tableColumn id="1432" xr3:uid="{DD8EA9D8-CBF3-45DC-936B-B8D8D2C6B98C}" name="Column1430"/>
    <tableColumn id="1433" xr3:uid="{9ABF3062-5CAB-4994-8D42-4C0537E7772F}" name="Column1431"/>
    <tableColumn id="1434" xr3:uid="{5426D654-9000-45C1-BE55-636C44E4018E}" name="Column1432"/>
    <tableColumn id="1435" xr3:uid="{2E7AC3BA-1C78-45E8-93FA-DBB259EF4A1D}" name="Column1433"/>
    <tableColumn id="1436" xr3:uid="{F205ED2A-90EA-4436-807B-417667038A9F}" name="Column1434"/>
    <tableColumn id="1437" xr3:uid="{4E43D732-1793-470B-9105-591CF8A90D2F}" name="Column1435"/>
    <tableColumn id="1438" xr3:uid="{89D80F79-0C61-4D73-A847-5C29EC84C487}" name="Column1436"/>
    <tableColumn id="1439" xr3:uid="{B24D8904-F9B0-432F-8658-1D692AB52479}" name="Column1437"/>
    <tableColumn id="1440" xr3:uid="{9CBB4353-349D-49E5-9390-C94704001CA9}" name="Column1438"/>
    <tableColumn id="1441" xr3:uid="{41175147-7DBE-4C63-A469-37682B1BBFAC}" name="Column1439"/>
    <tableColumn id="1442" xr3:uid="{47AD8E48-1EE0-428B-BF13-D681AFF18C9A}" name="Column1440"/>
    <tableColumn id="1443" xr3:uid="{2B7181D9-88C6-4EB6-9CC4-3C185480E3C4}" name="Column1441"/>
    <tableColumn id="1444" xr3:uid="{5A5A51A9-0A9F-4B37-B3AC-819343145B4F}" name="Column1442"/>
    <tableColumn id="1445" xr3:uid="{4BA668AD-2911-4393-A97B-3258BE0AFAAC}" name="Column1443"/>
    <tableColumn id="1446" xr3:uid="{E8CCC35C-F04C-4410-B00E-344053E7B1F4}" name="Column1444"/>
    <tableColumn id="1447" xr3:uid="{8AF04836-A4EC-40FB-B794-C6E72D59E0E9}" name="Column1445"/>
    <tableColumn id="1448" xr3:uid="{19983924-3CB2-40C9-B2D8-DC696F37710B}" name="Column1446"/>
    <tableColumn id="1449" xr3:uid="{BADCF463-9C8D-48E7-935E-980CDFA87AF6}" name="Column1447"/>
    <tableColumn id="1450" xr3:uid="{61973428-8EE6-4BD7-AE79-B5119FB6D156}" name="Column1448"/>
    <tableColumn id="1451" xr3:uid="{03F8E6FA-3183-4B2D-9DED-FE3E96E63975}" name="Column1449"/>
    <tableColumn id="1452" xr3:uid="{630D7A71-C280-43D5-AA6F-C15213B6792F}" name="Column1450"/>
    <tableColumn id="1453" xr3:uid="{BAFF7FEF-EE92-4716-9C32-8383EA93872F}" name="Column1451"/>
    <tableColumn id="1454" xr3:uid="{9B860269-FD54-4E74-8379-E7C9C587E4C9}" name="Column1452"/>
    <tableColumn id="1455" xr3:uid="{8BA47710-124C-4818-ADA4-F392243254E7}" name="Column1453"/>
    <tableColumn id="1456" xr3:uid="{742CE2D1-DCEF-4758-993B-52A0CE8B40F8}" name="Column1454"/>
    <tableColumn id="1457" xr3:uid="{3843CBD8-D215-4230-BAB2-39A35C61DC92}" name="Column1455"/>
    <tableColumn id="1458" xr3:uid="{70B5A8AA-BD27-4613-9D0A-C43CAED72145}" name="Column1456"/>
    <tableColumn id="1459" xr3:uid="{92D46D18-D76B-4A97-A961-6BCC63708ED4}" name="Column1457"/>
    <tableColumn id="1460" xr3:uid="{8EFA99F7-C58D-4262-A599-2F4BD350553D}" name="Column1458"/>
    <tableColumn id="1461" xr3:uid="{80EBF8FE-F7BC-41D4-A90A-792AA0D08C52}" name="Column1459"/>
    <tableColumn id="1462" xr3:uid="{50907684-E7FE-47A0-8C05-2822C2256411}" name="Column1460"/>
    <tableColumn id="1463" xr3:uid="{58E7F947-7A78-41F7-9BAC-4ECF1558158F}" name="Column1461"/>
    <tableColumn id="1464" xr3:uid="{C44C4792-4DE1-4ED1-88A4-9DB0A5D8830C}" name="Column1462"/>
    <tableColumn id="1465" xr3:uid="{996E3355-BB10-4F9F-8846-B478619BD869}" name="Column1463"/>
    <tableColumn id="1466" xr3:uid="{1BB3EE6B-BF35-4D75-9CF5-D5B8C3845D0C}" name="Column1464"/>
    <tableColumn id="1467" xr3:uid="{CE21AEF3-F5E7-4100-84A8-56A78E7EE77F}" name="Column1465"/>
    <tableColumn id="1468" xr3:uid="{001EAAB5-1C5D-4BDA-91E9-4415DA297C93}" name="Column1466"/>
    <tableColumn id="1469" xr3:uid="{B03B0766-B095-49B2-9A53-17F7C020CA9C}" name="Column1467"/>
    <tableColumn id="1470" xr3:uid="{FD050F0F-46CA-4CC4-A205-7E523EEE9EA2}" name="Column1468"/>
    <tableColumn id="1471" xr3:uid="{4A4E07E0-D89B-4EA4-B6B2-A2BA3933E497}" name="Column1469"/>
    <tableColumn id="1472" xr3:uid="{40C3D91E-1406-42DA-BDE9-FA5CC72EFBFF}" name="Column1470"/>
    <tableColumn id="1473" xr3:uid="{263DC799-49F3-4040-9982-ECC1362DFE5A}" name="Column1471"/>
    <tableColumn id="1474" xr3:uid="{69B25970-7AB6-4080-AF9E-33EB8809C8B9}" name="Column1472"/>
    <tableColumn id="1475" xr3:uid="{FF91CBE6-954A-4AC2-B30A-DDCAFA2C0C93}" name="Column1473"/>
    <tableColumn id="1476" xr3:uid="{7AE6F573-8DCE-45F4-87F3-FFD0B81E41DE}" name="Column1474"/>
    <tableColumn id="1477" xr3:uid="{8294F103-7FF7-485F-BA09-3FF59EF1E301}" name="Column1475"/>
    <tableColumn id="1478" xr3:uid="{B654BACD-A8EE-45D3-8392-64FAC7E9D92D}" name="Column1476"/>
    <tableColumn id="1479" xr3:uid="{EBF79E24-5DDC-4ED2-B818-90023AE098A0}" name="Column1477"/>
    <tableColumn id="1480" xr3:uid="{320084BA-8076-4479-A2F3-5310F94F2DB4}" name="Column1478"/>
    <tableColumn id="1481" xr3:uid="{A06F24D6-B119-4BD0-8908-9444608F9380}" name="Column1479"/>
    <tableColumn id="1482" xr3:uid="{EDBB58E1-C26B-47A4-9100-12362150A8E0}" name="Column1480"/>
    <tableColumn id="1483" xr3:uid="{7F9D3E57-FEBB-44A5-BDE9-A8C22547663A}" name="Column1481"/>
    <tableColumn id="1484" xr3:uid="{81C940A4-7AD6-4A9B-BBD1-5471EFB758FF}" name="Column1482"/>
    <tableColumn id="1485" xr3:uid="{8C250E40-7D40-411F-9A01-6811F40D372D}" name="Column1483"/>
    <tableColumn id="1486" xr3:uid="{71286BCB-F202-4C30-A40B-5A98250E498B}" name="Column1484"/>
    <tableColumn id="1487" xr3:uid="{9684E580-6A57-4EAA-B789-94FC64E3D9BB}" name="Column1485"/>
    <tableColumn id="1488" xr3:uid="{76D4C902-2A37-4874-9A5D-E03E7BE731EB}" name="Column1486"/>
    <tableColumn id="1489" xr3:uid="{408622A5-E52E-4BD1-895A-9B8FA7A58272}" name="Column1487"/>
    <tableColumn id="1490" xr3:uid="{89BDF6C8-C2DC-4E5E-BDE3-A5A55776A82C}" name="Column1488"/>
    <tableColumn id="1491" xr3:uid="{525A1B27-995C-44B9-AF94-DEDF1F64A130}" name="Column1489"/>
    <tableColumn id="1492" xr3:uid="{9874117C-F13E-4480-802D-FCA8A51A397A}" name="Column1490"/>
    <tableColumn id="1493" xr3:uid="{88AEB957-6C42-40EC-902D-81D9A9746412}" name="Column1491"/>
    <tableColumn id="1494" xr3:uid="{8F245B05-F0EF-4FA4-8AE4-6A1A2E534005}" name="Column1492"/>
    <tableColumn id="1495" xr3:uid="{30AE0301-EAFD-4474-9FB3-C7C8C974DE35}" name="Column1493"/>
    <tableColumn id="1496" xr3:uid="{0D014742-130A-4EB4-A88F-684C62363AE1}" name="Column1494"/>
    <tableColumn id="1497" xr3:uid="{ED37010A-116B-49C8-BE90-1127F2136CEB}" name="Column1495"/>
    <tableColumn id="1498" xr3:uid="{D1B3053B-ADA3-4781-9885-29A4CF9275E2}" name="Column1496"/>
    <tableColumn id="1499" xr3:uid="{060596C6-FF7D-4676-8FEF-8DA68374AE07}" name="Column1497"/>
    <tableColumn id="1500" xr3:uid="{0007A037-108B-48A2-A10F-652863058A44}" name="Column1498"/>
    <tableColumn id="1501" xr3:uid="{E85AEE54-433A-499F-9251-E467F00F7E9B}" name="Column1499"/>
    <tableColumn id="1502" xr3:uid="{98C8992D-F47C-45DC-B71E-51E32E29C7E1}" name="Column1500"/>
    <tableColumn id="1503" xr3:uid="{407D1094-92DC-4413-9955-8789F7D44CB9}" name="Column1501"/>
    <tableColumn id="1504" xr3:uid="{68475F45-E58F-4807-967C-ABBCD264C61D}" name="Column1502"/>
    <tableColumn id="1505" xr3:uid="{CBD3DB32-DA12-456C-8054-222F07A0DC9F}" name="Column1503"/>
    <tableColumn id="1506" xr3:uid="{3E7DD02E-4E9B-4F4D-9E9B-5134F0893E03}" name="Column1504"/>
    <tableColumn id="1507" xr3:uid="{F2344192-C5E1-4078-BC50-CB2EF9A11DA7}" name="Column1505"/>
    <tableColumn id="1508" xr3:uid="{D7606B05-FE42-40D3-A0AF-1DA007355CD4}" name="Column1506"/>
    <tableColumn id="1509" xr3:uid="{0518C944-1EDE-4107-A675-1EAD3933B781}" name="Column1507"/>
    <tableColumn id="1510" xr3:uid="{9424AB43-6279-41FE-8E5A-D2190B7A1EF8}" name="Column1508"/>
    <tableColumn id="1511" xr3:uid="{34389712-760C-421C-AC88-90600426A4C5}" name="Column1509"/>
    <tableColumn id="1512" xr3:uid="{BA8BE870-D2E4-4C4C-9B12-E39A00F81E8B}" name="Column1510"/>
    <tableColumn id="1513" xr3:uid="{1F5A0680-E434-4EB4-98C7-B6FDC7DDB286}" name="Column1511"/>
    <tableColumn id="1514" xr3:uid="{760EF506-18D2-4A7A-B820-4D50044CAC0E}" name="Column1512"/>
    <tableColumn id="1515" xr3:uid="{79AC1B02-1782-49CF-90C2-65FC255B1200}" name="Column1513"/>
    <tableColumn id="1516" xr3:uid="{D71C3ED2-066B-4626-8C29-217307E79F5B}" name="Column1514"/>
    <tableColumn id="1517" xr3:uid="{59223ABF-BDFB-4F5C-AE7B-988E0CC63E64}" name="Column1515"/>
    <tableColumn id="1518" xr3:uid="{BB36C7B2-1C93-4107-B56E-D5F935FBFB61}" name="Column1516"/>
    <tableColumn id="1519" xr3:uid="{4DFDE27C-9084-400C-BBDC-FC18F027C873}" name="Column1517"/>
    <tableColumn id="1520" xr3:uid="{2D3CDDF1-5C17-4D82-BC8A-8153A8757437}" name="Column1518"/>
    <tableColumn id="1521" xr3:uid="{B61B58A9-6E72-452E-BE9E-FFDEC798D074}" name="Column1519"/>
    <tableColumn id="1522" xr3:uid="{FFB44BFF-FC49-4E88-BA6B-B5862BED04EA}" name="Column1520"/>
    <tableColumn id="1523" xr3:uid="{F3D19A0A-0D03-480F-9754-8AEBBC81AB19}" name="Column1521"/>
    <tableColumn id="1524" xr3:uid="{595006C5-4396-42CD-A109-D4D47C16DDFF}" name="Column1522"/>
    <tableColumn id="1525" xr3:uid="{D9A312CE-7DE2-46E9-8B66-781F09E40CAF}" name="Column1523"/>
    <tableColumn id="1526" xr3:uid="{F5BF0591-1F1B-410B-8B1A-1FA6D561424C}" name="Column1524"/>
    <tableColumn id="1527" xr3:uid="{CEB76763-712F-4D6E-9189-1B7F2BF9CE5A}" name="Column1525"/>
    <tableColumn id="1528" xr3:uid="{EAF16F58-5C6B-4D57-97A4-70CEAA7BBE66}" name="Column1526"/>
    <tableColumn id="1529" xr3:uid="{E3BC2DF0-7AE2-4906-BD7E-F6E3A0F0443B}" name="Column1527"/>
    <tableColumn id="1530" xr3:uid="{F88FE416-9265-462A-8432-1EB4A1C1F161}" name="Column1528"/>
    <tableColumn id="1531" xr3:uid="{713AAD48-162F-4C2E-A7AE-7B75A4AA75B9}" name="Column1529"/>
    <tableColumn id="1532" xr3:uid="{3AD3DBFE-3E82-49C3-93A2-4D6A99EF3C91}" name="Column1530"/>
    <tableColumn id="1533" xr3:uid="{307C2808-CB95-4F4C-B40E-A69FA0E18EB6}" name="Column1531"/>
    <tableColumn id="1534" xr3:uid="{169AA123-8EC1-4952-B706-FCA6AAB5100E}" name="Column1532"/>
    <tableColumn id="1535" xr3:uid="{FE20120F-64BA-495F-ABDF-5962FDC01A82}" name="Column1533"/>
    <tableColumn id="1536" xr3:uid="{4FBA6587-AFDB-45BB-BC2B-510BF327F157}" name="Column1534"/>
    <tableColumn id="1537" xr3:uid="{27A3C3D7-CC81-4A53-90A9-1326EE62400C}" name="Column1535"/>
    <tableColumn id="1538" xr3:uid="{AB110EBB-3824-417A-AA52-309210529A22}" name="Column1536"/>
    <tableColumn id="1539" xr3:uid="{3DBD1A8F-2AFF-4EF5-995E-CE0BF1961AA4}" name="Column1537"/>
    <tableColumn id="1540" xr3:uid="{1B3AC215-156A-4479-AFCB-58B51568283C}" name="Column1538"/>
    <tableColumn id="1541" xr3:uid="{233F44D5-374C-45F8-8887-C64BA530C8C0}" name="Column1539"/>
    <tableColumn id="1542" xr3:uid="{5FDCA118-CE87-4C5A-976A-908C6F31412E}" name="Column1540"/>
    <tableColumn id="1543" xr3:uid="{C0CBB31B-6478-4E0E-A119-6CA06CE8D45E}" name="Column1541"/>
    <tableColumn id="1544" xr3:uid="{DE58948F-5DF4-4F53-8FD0-D0863A9E7B94}" name="Column1542"/>
    <tableColumn id="1545" xr3:uid="{F71343A2-37DA-4163-AB4E-9B8E74A9AD20}" name="Column1543"/>
    <tableColumn id="1546" xr3:uid="{652815B1-159C-4456-99A1-A40AB3740631}" name="Column1544"/>
    <tableColumn id="1547" xr3:uid="{0DCFC10E-A5B9-4B83-89DD-D60CA43F7ED9}" name="Column1545"/>
    <tableColumn id="1548" xr3:uid="{CBF4F356-542B-4CF1-B7C0-25935BE02E16}" name="Column1546"/>
    <tableColumn id="1549" xr3:uid="{67E7B397-E6CF-40FF-9BC2-0907077A11CF}" name="Column1547"/>
    <tableColumn id="1550" xr3:uid="{838B4027-09F0-4C32-8C95-309F35F3A4F4}" name="Column1548"/>
    <tableColumn id="1551" xr3:uid="{A5085080-8DE4-4EFD-8369-C27B8E18A0E3}" name="Column1549"/>
    <tableColumn id="1552" xr3:uid="{C24B303E-4F41-4B3B-A105-5E8DC1B57A33}" name="Column1550"/>
    <tableColumn id="1553" xr3:uid="{0BF9F178-D819-4B05-9EB3-0652E4FFE4FF}" name="Column1551"/>
    <tableColumn id="1554" xr3:uid="{612B3A83-46E7-4930-A032-EF0EE58C6941}" name="Column1552"/>
    <tableColumn id="1555" xr3:uid="{C3D331DD-9813-46FA-86DC-8D9237DB8A8C}" name="Column1553"/>
    <tableColumn id="1556" xr3:uid="{A4C686BD-BD91-40EF-B5C7-47B5DBC0B953}" name="Column1554"/>
    <tableColumn id="1557" xr3:uid="{6DAE9C5C-C342-43BD-831A-5D45D8866DEF}" name="Column1555"/>
    <tableColumn id="1558" xr3:uid="{10542CCD-4D73-4DCB-B951-E7F6630EF8ED}" name="Column1556"/>
    <tableColumn id="1559" xr3:uid="{078E3FEE-3CE1-445E-9058-A9105A63F7B4}" name="Column1557"/>
    <tableColumn id="1560" xr3:uid="{2977901A-FB65-4B79-8BFD-839C861CF7B6}" name="Column1558"/>
    <tableColumn id="1561" xr3:uid="{C01DD227-CC7D-4F99-93C1-8DBB0BC35DDA}" name="Column1559"/>
    <tableColumn id="1562" xr3:uid="{F248B4E8-3036-4794-BC96-D575D9ED1A80}" name="Column1560"/>
    <tableColumn id="1563" xr3:uid="{DF191614-94A6-48A8-85C4-36031E4B1DB0}" name="Column1561"/>
    <tableColumn id="1564" xr3:uid="{78183CC2-A55D-4936-AFFE-9DE8AC62D8B0}" name="Column1562"/>
    <tableColumn id="1565" xr3:uid="{44C203D6-C372-4BA8-9FD3-173513F429B2}" name="Column1563"/>
    <tableColumn id="1566" xr3:uid="{9B1EA7CB-7D87-4134-AA61-B3E35B4AC48C}" name="Column1564"/>
    <tableColumn id="1567" xr3:uid="{D5351736-39C2-48BA-8275-87FDC53FFF56}" name="Column1565"/>
    <tableColumn id="1568" xr3:uid="{FB18AA50-646F-400F-BD72-DE85968007AF}" name="Column1566"/>
    <tableColumn id="1569" xr3:uid="{0285349E-BFB8-4420-9F7E-6DB010A53CE5}" name="Column1567"/>
    <tableColumn id="1570" xr3:uid="{4B499B06-5264-4F41-A6C0-78C8A1EF60BC}" name="Column1568"/>
    <tableColumn id="1571" xr3:uid="{EB606190-C579-4481-A3D8-63BB2B646DBD}" name="Column1569"/>
    <tableColumn id="1572" xr3:uid="{14DD71AE-C91C-4ECF-B45F-4CD57EC08025}" name="Column1570"/>
    <tableColumn id="1573" xr3:uid="{A5B19A78-AC7C-476A-A5B9-25EA6E0E822C}" name="Column1571"/>
    <tableColumn id="1574" xr3:uid="{7B6C0C17-A85B-480D-ADAD-27DF4940E469}" name="Column1572"/>
    <tableColumn id="1575" xr3:uid="{7D1F5B90-4CC0-4B81-B76D-86AE247A2014}" name="Column1573"/>
    <tableColumn id="1576" xr3:uid="{372F0700-00E3-4CFC-97EC-E8A9F6D3D0B1}" name="Column1574"/>
    <tableColumn id="1577" xr3:uid="{ABD20A3A-63F9-459D-A713-5FE7C13BB715}" name="Column1575"/>
    <tableColumn id="1578" xr3:uid="{81600545-0F26-4E13-8284-183B220C61F5}" name="Column1576"/>
    <tableColumn id="1579" xr3:uid="{9C30CB90-C07C-476A-8107-59B99572B652}" name="Column1577"/>
    <tableColumn id="1580" xr3:uid="{12E72667-DDBC-4818-9AE1-012313C171E3}" name="Column1578"/>
    <tableColumn id="1581" xr3:uid="{DC9766AB-3C77-45CB-8AF4-FB2558FB8BCD}" name="Column1579"/>
    <tableColumn id="1582" xr3:uid="{996AD8BC-6044-4160-A8B8-47B1A8F47E4A}" name="Column1580"/>
    <tableColumn id="1583" xr3:uid="{C9ECEA4C-BEF0-4206-B28B-ABEB7B2C8117}" name="Column1581"/>
    <tableColumn id="1584" xr3:uid="{A8DAE8D1-8320-4B8E-BBC3-36ED35215F53}" name="Column1582"/>
    <tableColumn id="1585" xr3:uid="{01DE83C8-28DE-4C1E-B214-3537AAFF777C}" name="Column1583"/>
    <tableColumn id="1586" xr3:uid="{A300CACE-5802-4BCD-8CF7-D875F7B87CF3}" name="Column1584"/>
    <tableColumn id="1587" xr3:uid="{69D82843-0C6D-4E02-B69F-466B6DEE2D5C}" name="Column1585"/>
    <tableColumn id="1588" xr3:uid="{5F9B202A-1A82-43C4-A0B9-B3BCD22B2970}" name="Column1586"/>
    <tableColumn id="1589" xr3:uid="{3593F7E5-EBDE-45D7-8C8C-C66114A22321}" name="Column1587"/>
    <tableColumn id="1590" xr3:uid="{EBC895DA-7F2E-4336-9D83-0C772BD7B731}" name="Column1588"/>
    <tableColumn id="1591" xr3:uid="{155E7E41-97E4-40CD-AD61-D531965B7895}" name="Column1589"/>
    <tableColumn id="1592" xr3:uid="{8A14F870-E915-415C-A502-9F22EE7E0769}" name="Column1590"/>
    <tableColumn id="1593" xr3:uid="{9EB5976D-F8CD-4D2B-8E38-556AFAC1EB13}" name="Column1591"/>
    <tableColumn id="1594" xr3:uid="{A5E3C448-937E-412B-B7DB-40E9E2699F0A}" name="Column1592"/>
    <tableColumn id="1595" xr3:uid="{0944C0DC-4DE0-47FB-BBE4-B2AB84423C4A}" name="Column1593"/>
    <tableColumn id="1596" xr3:uid="{1E2F19F8-0839-4364-A3AD-B30B0D0A66D8}" name="Column1594"/>
    <tableColumn id="1597" xr3:uid="{5D1088E9-5A81-47A0-A95C-8536E3FDCA6A}" name="Column1595"/>
    <tableColumn id="1598" xr3:uid="{76D8A2EC-423A-4047-84F5-B7BC271144B0}" name="Column1596"/>
    <tableColumn id="1599" xr3:uid="{487B9C1F-770B-4D84-8C18-59488A9477EC}" name="Column1597"/>
    <tableColumn id="1600" xr3:uid="{CC8F7B80-E92C-4157-9FE0-CC854E98F139}" name="Column1598"/>
    <tableColumn id="1601" xr3:uid="{7B2CFC5D-1AE7-4A62-BFE6-E2E01E544785}" name="Column1599"/>
    <tableColumn id="1602" xr3:uid="{82794EBA-13CD-4851-8554-20A43536919E}" name="Column1600"/>
    <tableColumn id="1603" xr3:uid="{CFF14F8D-C44E-4C36-840B-9590C314EB4B}" name="Column1601"/>
    <tableColumn id="1604" xr3:uid="{6BB612BB-F776-4A16-99D3-BE8CCF0818AA}" name="Column1602"/>
    <tableColumn id="1605" xr3:uid="{0698914E-2CB7-40A2-8965-C293B0C92DD1}" name="Column1603"/>
    <tableColumn id="1606" xr3:uid="{7CE68BC4-255D-4CED-9269-AB5BCF5545E8}" name="Column1604"/>
    <tableColumn id="1607" xr3:uid="{437CB91E-BD6B-4731-B023-A40194552CB1}" name="Column1605"/>
    <tableColumn id="1608" xr3:uid="{994268B3-2411-41D6-BAA5-CAADFFE2414E}" name="Column1606"/>
    <tableColumn id="1609" xr3:uid="{43782735-6823-48F9-B29C-3FFBBBAD68E1}" name="Column1607"/>
    <tableColumn id="1610" xr3:uid="{1B752525-9C2C-41F6-9208-D6788D5BAB0E}" name="Column1608"/>
    <tableColumn id="1611" xr3:uid="{2B230924-BA3B-4E5E-A760-FE6B7473C51C}" name="Column1609"/>
    <tableColumn id="1612" xr3:uid="{2C0D7478-FF18-4925-B2AC-87E1AEDFB75B}" name="Column1610"/>
    <tableColumn id="1613" xr3:uid="{060AF1AD-8C83-4559-85A5-F99AE30F4E5D}" name="Column1611"/>
    <tableColumn id="1614" xr3:uid="{6932D7E8-DE7A-4DE4-AD6D-99E6A7150719}" name="Column1612"/>
    <tableColumn id="1615" xr3:uid="{E9896E09-2AF1-43C6-B995-465D51F83EA6}" name="Column1613"/>
    <tableColumn id="1616" xr3:uid="{DE61DCBB-2D7C-4524-AAD0-9D1E7005F260}" name="Column1614"/>
    <tableColumn id="1617" xr3:uid="{33AD7EF7-065E-464D-A586-218E130B9034}" name="Column1615"/>
    <tableColumn id="1618" xr3:uid="{9F18B67B-81D8-46CE-AC3B-777DBBCF9BD8}" name="Column1616"/>
    <tableColumn id="1619" xr3:uid="{B767661F-2C3F-46CD-A8B5-F3D381B8AD29}" name="Column1617"/>
    <tableColumn id="1620" xr3:uid="{04F9C811-2655-4BD3-A9F4-6CA6A5F8F6D6}" name="Column1618"/>
    <tableColumn id="1621" xr3:uid="{94E0966D-F76E-41F5-A609-67B6A7184075}" name="Column1619"/>
    <tableColumn id="1622" xr3:uid="{96B2D692-70B6-4A72-B68B-9E62B08D9D36}" name="Column1620"/>
    <tableColumn id="1623" xr3:uid="{DBFBDC22-D753-4247-B476-4EB7A9CD7ACA}" name="Column1621"/>
    <tableColumn id="1624" xr3:uid="{D2167B2F-0D97-4210-828E-C3BEBD518D05}" name="Column1622"/>
    <tableColumn id="1625" xr3:uid="{4FBAACA4-8FFF-4AB6-9828-634E0EF2589C}" name="Column1623"/>
    <tableColumn id="1626" xr3:uid="{FEC3322D-192F-4D15-B312-B89CFBC2C155}" name="Column1624"/>
    <tableColumn id="1627" xr3:uid="{AE8E3AA5-DC4A-4409-B3D0-2402DA461D8F}" name="Column1625"/>
    <tableColumn id="1628" xr3:uid="{9AD5F744-784A-4F94-9A8C-AF1B26760EB0}" name="Column1626"/>
    <tableColumn id="1629" xr3:uid="{E213692D-92CB-4CEF-B8A5-341893F17895}" name="Column1627"/>
    <tableColumn id="1630" xr3:uid="{C125A7E8-A69E-4282-BB1C-AD0B6B3FEA20}" name="Column1628"/>
    <tableColumn id="1631" xr3:uid="{D5A030D4-C811-4593-A5B3-CB6C08D2F515}" name="Column1629"/>
    <tableColumn id="1632" xr3:uid="{E203D1A1-EEC6-4B7F-92C0-84AFCDFC3BA8}" name="Column1630"/>
    <tableColumn id="1633" xr3:uid="{C9C60DBB-45AA-4934-B353-5C34CAA2DF49}" name="Column1631"/>
    <tableColumn id="1634" xr3:uid="{509E8BA5-D25E-461B-BEDA-8DD7C1FA9426}" name="Column1632"/>
    <tableColumn id="1635" xr3:uid="{2817AF63-100C-4809-ABE0-BF9428BBDD06}" name="Column1633"/>
    <tableColumn id="1636" xr3:uid="{EE54B9C9-6179-4586-8F33-4ECFD14BAD6C}" name="Column1634"/>
    <tableColumn id="1637" xr3:uid="{46733A8C-73A9-4A4B-91DB-3F522ADE7070}" name="Column1635"/>
    <tableColumn id="1638" xr3:uid="{943B38B1-3E49-4C0E-80F7-DF524BC003C2}" name="Column1636"/>
    <tableColumn id="1639" xr3:uid="{6CFBF53D-4B94-46BC-8AAC-F4F4318FE01C}" name="Column1637"/>
    <tableColumn id="1640" xr3:uid="{9ADAF7EC-53D9-4BCB-8E3D-C3DBE381FA69}" name="Column1638"/>
    <tableColumn id="1641" xr3:uid="{0B409897-4B48-4B2C-B510-C3E958184115}" name="Column1639"/>
    <tableColumn id="1642" xr3:uid="{8E00A031-2D0B-4D7D-BDB8-A0C213D51476}" name="Column1640"/>
    <tableColumn id="1643" xr3:uid="{75BD3A0E-D900-4E4B-B813-8BF64C740D17}" name="Column1641"/>
    <tableColumn id="1644" xr3:uid="{82E74693-523F-464B-9EE7-1C215AE295FD}" name="Column1642"/>
    <tableColumn id="1645" xr3:uid="{BED61B09-EC0D-4C87-8146-9F3096E6C8CE}" name="Column1643"/>
    <tableColumn id="1646" xr3:uid="{80F6A237-4F1D-42A2-A3E9-A7B4CD1D3A8E}" name="Column1644"/>
    <tableColumn id="1647" xr3:uid="{6B6103B6-01A0-4A1E-97B0-C5C24C57AC9D}" name="Column1645"/>
    <tableColumn id="1648" xr3:uid="{872C266B-E3E5-4061-B801-D36215FBEC3D}" name="Column1646"/>
    <tableColumn id="1649" xr3:uid="{21160982-B37B-4029-A209-0DD3EA858175}" name="Column1647"/>
    <tableColumn id="1650" xr3:uid="{88664314-DDB6-48D7-9E5F-EF08978245A2}" name="Column1648"/>
    <tableColumn id="1651" xr3:uid="{2C311CA2-413B-48E7-A138-59FC422E3D75}" name="Column1649"/>
    <tableColumn id="1652" xr3:uid="{82D8C62D-795A-4BFD-9CFF-EFDB69F5BF05}" name="Column1650"/>
    <tableColumn id="1653" xr3:uid="{71BA1986-366A-4B31-A36F-9AD92A96B425}" name="Column1651"/>
    <tableColumn id="1654" xr3:uid="{BC808BE4-3D03-4A7F-BA0C-2C73405A6E9E}" name="Column1652"/>
    <tableColumn id="1655" xr3:uid="{A8DB10D3-8D65-4D7A-8154-BDC4248FBD9A}" name="Column1653"/>
    <tableColumn id="1656" xr3:uid="{9EA70A19-9E9A-45A1-A2BF-6004F35B2FD3}" name="Column1654"/>
    <tableColumn id="1657" xr3:uid="{CBC42AA5-8C24-43CB-AE9C-75C5BFD68DDE}" name="Column1655"/>
    <tableColumn id="1658" xr3:uid="{FD95822D-383D-49A0-90AB-2F86529217FB}" name="Column1656"/>
    <tableColumn id="1659" xr3:uid="{07B459B1-54CB-43E2-9572-1EA8096C449C}" name="Column1657"/>
    <tableColumn id="1660" xr3:uid="{FFC390ED-52B2-4685-8609-30AD103DD97C}" name="Column1658"/>
    <tableColumn id="1661" xr3:uid="{370E9637-918A-47C8-9848-1A1BC73C89B2}" name="Column1659"/>
    <tableColumn id="1662" xr3:uid="{451697B1-8C9F-42D3-BF7E-0C4597A59F16}" name="Column1660"/>
    <tableColumn id="1663" xr3:uid="{D77FE2B4-887B-4E39-9473-DD678059BB7F}" name="Column1661"/>
    <tableColumn id="1664" xr3:uid="{A174BFA0-D8E1-4081-8481-FF2E90A7757C}" name="Column1662"/>
    <tableColumn id="1665" xr3:uid="{121E5225-8CA6-43E4-9A36-B5E2BDD2F4C6}" name="Column1663"/>
    <tableColumn id="1666" xr3:uid="{196F199E-CB2F-477D-BE15-7C40C96285C7}" name="Column1664"/>
    <tableColumn id="1667" xr3:uid="{6D093254-661A-4E49-8D60-82483A7C4F0A}" name="Column1665"/>
    <tableColumn id="1668" xr3:uid="{E8AEB295-90F5-4E71-B366-7ED9D59CEB3E}" name="Column1666"/>
    <tableColumn id="1669" xr3:uid="{9D530288-9F99-4822-9513-9AA990156341}" name="Column1667"/>
    <tableColumn id="1670" xr3:uid="{57CEEDAE-DB30-4378-9964-214DC014E096}" name="Column1668"/>
    <tableColumn id="1671" xr3:uid="{21B8C114-91E3-4B84-AD78-7CB65ABA203E}" name="Column1669"/>
    <tableColumn id="1672" xr3:uid="{1D6DE8C8-D1F7-4DE4-BE83-EEA1D46093AF}" name="Column1670"/>
    <tableColumn id="1673" xr3:uid="{F746467E-65BD-4A9A-BA65-D6708BBDE8CC}" name="Column1671"/>
    <tableColumn id="1674" xr3:uid="{E0AD9E21-4147-4B93-B120-2B3C3366C450}" name="Column1672"/>
    <tableColumn id="1675" xr3:uid="{906F4A85-4FF1-474E-99A2-D44A81833A43}" name="Column1673"/>
    <tableColumn id="1676" xr3:uid="{E16009AE-EAE5-496B-8D4E-9591161000D7}" name="Column1674"/>
    <tableColumn id="1677" xr3:uid="{92BF9736-7513-46DC-AA2A-00389BC8D458}" name="Column1675"/>
    <tableColumn id="1678" xr3:uid="{2FD0D3FF-A7D7-4AC0-9434-92FBF4021B34}" name="Column1676"/>
    <tableColumn id="1679" xr3:uid="{EACEF2A5-87A4-4F09-A590-DDBD7645F1DF}" name="Column1677"/>
    <tableColumn id="1680" xr3:uid="{8CEC8467-3580-484C-AED5-8BA58815EF73}" name="Column1678"/>
    <tableColumn id="1681" xr3:uid="{10231AED-EE35-4B97-893B-207224CFF044}" name="Column1679"/>
    <tableColumn id="1682" xr3:uid="{1B7B741D-FAF5-4F17-941B-29E839B2C1DB}" name="Column1680"/>
    <tableColumn id="1683" xr3:uid="{82726777-54BB-44C8-B57E-410265F9B647}" name="Column1681"/>
    <tableColumn id="1684" xr3:uid="{F95139A5-A6CB-4262-AEEC-EB7C9D0B5AA6}" name="Column1682"/>
    <tableColumn id="1685" xr3:uid="{6917B255-CA0D-4DEE-BE5A-CB9B2E14F80C}" name="Column1683"/>
    <tableColumn id="1686" xr3:uid="{4E79972E-CD5D-43F9-B8E7-787A0C7FB0AA}" name="Column1684"/>
    <tableColumn id="1687" xr3:uid="{ADC4D8F8-7BE7-4DD9-89D3-8EEF949889C1}" name="Column1685"/>
    <tableColumn id="1688" xr3:uid="{26AACA2B-7317-4E30-9CDB-E451E78B7265}" name="Column1686"/>
    <tableColumn id="1689" xr3:uid="{4DBFF6F0-0F47-4E94-B996-F27FFC1D8790}" name="Column1687"/>
    <tableColumn id="1690" xr3:uid="{6D75178F-D240-469B-BCE2-C3FE9D1EDC15}" name="Column1688"/>
    <tableColumn id="1691" xr3:uid="{C5FA581B-A6A1-4E4F-80A2-FC5D8443407B}" name="Column1689"/>
    <tableColumn id="1692" xr3:uid="{D392DA9F-8F01-4B57-ADEF-99BAA0B45866}" name="Column1690"/>
    <tableColumn id="1693" xr3:uid="{3796DC37-D020-4C59-A5CC-201E02265BFF}" name="Column1691"/>
    <tableColumn id="1694" xr3:uid="{51E6B4DF-2A76-4CD2-98EA-8008F0080681}" name="Column1692"/>
    <tableColumn id="1695" xr3:uid="{77C2FCB8-819A-42C4-8EE0-CE44AC2F4E34}" name="Column1693"/>
    <tableColumn id="1696" xr3:uid="{5000B60D-1989-441B-BAF9-8D083897F050}" name="Column1694"/>
    <tableColumn id="1697" xr3:uid="{D32B384D-B110-4DFE-AC54-6F54B1E55F77}" name="Column1695"/>
    <tableColumn id="1698" xr3:uid="{6ECB3424-D098-485E-B29D-1B3869AE9A8C}" name="Column1696"/>
    <tableColumn id="1699" xr3:uid="{37C431A9-522A-467D-891B-32286E73AB30}" name="Column1697"/>
    <tableColumn id="1700" xr3:uid="{149C80B7-307F-47F3-A880-B1F275E6ED16}" name="Column1698"/>
    <tableColumn id="1701" xr3:uid="{BA1B0A63-0E0C-4833-9CFD-8CE9DB92BC1A}" name="Column1699"/>
    <tableColumn id="1702" xr3:uid="{E9D2B38E-026D-4CC5-818A-38F441DE5075}" name="Column1700"/>
    <tableColumn id="1703" xr3:uid="{8FABABC1-5932-484E-8BB3-92B4E66EBC8B}" name="Column1701"/>
    <tableColumn id="1704" xr3:uid="{8A72D803-F2D5-429D-AF75-E8F831147D6D}" name="Column1702"/>
    <tableColumn id="1705" xr3:uid="{7E1D028C-A6C6-44FA-BB82-7F820AD6B939}" name="Column1703"/>
    <tableColumn id="1706" xr3:uid="{9090028B-9DB4-47AB-A932-8D5DA6E83625}" name="Column1704"/>
    <tableColumn id="1707" xr3:uid="{9050AED1-D251-4279-A458-486EB7CCCD8C}" name="Column1705"/>
    <tableColumn id="1708" xr3:uid="{6642DA21-73C7-47C7-9CB1-E771A6DB99AF}" name="Column1706"/>
    <tableColumn id="1709" xr3:uid="{9FD8DE9D-A96A-4C69-95B7-45B0CD3E6D2A}" name="Column1707"/>
    <tableColumn id="1710" xr3:uid="{40E1B943-0756-486E-855D-E6CB01B59C7C}" name="Column1708"/>
    <tableColumn id="1711" xr3:uid="{C1F28394-D85D-4429-B62E-072305265036}" name="Column1709"/>
    <tableColumn id="1712" xr3:uid="{EC6B8D74-0CDA-49E7-8871-346CD900498E}" name="Column1710"/>
    <tableColumn id="1713" xr3:uid="{2A86CE21-A3A1-4143-B02F-FFD2265B0220}" name="Column1711"/>
    <tableColumn id="1714" xr3:uid="{A2B5F4E3-8B74-4AF8-9860-45D6BE671722}" name="Column1712"/>
    <tableColumn id="1715" xr3:uid="{FF5EAC43-A16A-4B40-8641-F1B48CBF433E}" name="Column1713"/>
    <tableColumn id="1716" xr3:uid="{EC12620E-046A-4857-8746-8541697848D5}" name="Column1714"/>
    <tableColumn id="1717" xr3:uid="{9513EF79-9ECA-4712-A645-7136F662AF61}" name="Column1715"/>
    <tableColumn id="1718" xr3:uid="{0817A724-3E0F-4AA0-A950-11E416EB0EF6}" name="Column1716"/>
    <tableColumn id="1719" xr3:uid="{2EAE4AC8-999C-4BBC-BCDD-A12C92F04E95}" name="Column1717"/>
    <tableColumn id="1720" xr3:uid="{F89DA86D-A9C9-4214-84A6-2178A4AA2F61}" name="Column1718"/>
    <tableColumn id="1721" xr3:uid="{9E2131A0-0E78-4FBD-A1B9-6501161B452E}" name="Column1719"/>
    <tableColumn id="1722" xr3:uid="{5C1D0EF1-F6FC-43CA-B34E-2343C8E5D52E}" name="Column1720"/>
    <tableColumn id="1723" xr3:uid="{7911F771-4B09-40E0-AF1E-095298AB312C}" name="Column1721"/>
    <tableColumn id="1724" xr3:uid="{4D3FF054-0A4E-487E-B3B6-A149FAAB1A8B}" name="Column1722"/>
    <tableColumn id="1725" xr3:uid="{4B240451-9FF1-4D70-8C2F-5AFCE41290BC}" name="Column1723"/>
    <tableColumn id="1726" xr3:uid="{1FC4D812-8D9C-4570-8D5F-A10BEC127266}" name="Column1724"/>
    <tableColumn id="1727" xr3:uid="{81B84A7C-A3FB-45EB-9BC5-DD14048AA068}" name="Column1725"/>
    <tableColumn id="1728" xr3:uid="{FCBEDEA7-97D1-468A-93FC-5B680A540723}" name="Column1726"/>
    <tableColumn id="1729" xr3:uid="{288D91F3-4D95-4DD4-A9CC-D7B443AC7AAA}" name="Column1727"/>
    <tableColumn id="1730" xr3:uid="{D6D34439-46A3-43D9-A0CF-BC98B4C7DBC4}" name="Column1728"/>
    <tableColumn id="1731" xr3:uid="{6F33D7A2-85D4-44D2-A4D0-45BC0AAFC859}" name="Column1729"/>
    <tableColumn id="1732" xr3:uid="{8962A55D-C42E-4A1B-8A1F-DAD7498CE118}" name="Column1730"/>
    <tableColumn id="1733" xr3:uid="{88B1C8B4-CE9F-41B0-9B46-08837DC6FCE8}" name="Column1731"/>
    <tableColumn id="1734" xr3:uid="{609D3BA4-7B6A-41E5-9DD1-A0821A285073}" name="Column1732"/>
    <tableColumn id="1735" xr3:uid="{AB59BF6B-668E-4602-8851-864137044CED}" name="Column1733"/>
    <tableColumn id="1736" xr3:uid="{74BA40EA-5F08-4557-A176-51C4C9C18A97}" name="Column1734"/>
    <tableColumn id="1737" xr3:uid="{55F15A8F-CB6B-461B-892A-0B7A8E61BF7D}" name="Column1735"/>
    <tableColumn id="1738" xr3:uid="{3F2C2720-C712-4A0D-8AE1-E6A19B4B701F}" name="Column1736"/>
    <tableColumn id="1739" xr3:uid="{26900638-34D7-480F-B107-4B972E54987F}" name="Column1737"/>
    <tableColumn id="1740" xr3:uid="{72E7F803-C05A-4A2B-831E-F3802D2E7773}" name="Column1738"/>
    <tableColumn id="1741" xr3:uid="{3EB603F8-B5FB-4A62-99E7-6ED55AA2AFDC}" name="Column1739"/>
    <tableColumn id="1742" xr3:uid="{D091681D-D7CC-4C82-B1C8-304870FEFBD3}" name="Column1740"/>
    <tableColumn id="1743" xr3:uid="{6FD96B4A-F379-40CC-BB74-8FE5321400DC}" name="Column1741"/>
    <tableColumn id="1744" xr3:uid="{0BDE2CE8-91A1-4F17-80BF-B1985529C4A4}" name="Column1742"/>
    <tableColumn id="1745" xr3:uid="{064B4111-1570-4E54-8749-C817DD46D590}" name="Column1743"/>
    <tableColumn id="1746" xr3:uid="{8B5B7B0D-8692-4FAF-ADB4-2CA5077B8CAD}" name="Column1744"/>
    <tableColumn id="1747" xr3:uid="{3F81EA23-7BC8-4945-A99B-FEB962092383}" name="Column1745"/>
    <tableColumn id="1748" xr3:uid="{FF993EE1-9491-4786-A8C1-DDE92AAD4B2F}" name="Column1746"/>
    <tableColumn id="1749" xr3:uid="{C1CBE2FD-C97E-4751-A3C9-082DD61FB02A}" name="Column1747"/>
    <tableColumn id="1750" xr3:uid="{79E7A958-C329-4CDE-BE42-EA33CAE18DDC}" name="Column1748"/>
    <tableColumn id="1751" xr3:uid="{9F70AFF0-5672-421C-9C06-3945A92E6198}" name="Column1749"/>
    <tableColumn id="1752" xr3:uid="{6346081D-DF54-4318-8D37-F2DE4F44AEAF}" name="Column1750"/>
    <tableColumn id="1753" xr3:uid="{6C84855E-EC1D-4097-A3C0-AD130A343797}" name="Column1751"/>
    <tableColumn id="1754" xr3:uid="{CE21DDED-22B5-4507-AFC8-A5A66F67334C}" name="Column1752"/>
    <tableColumn id="1755" xr3:uid="{C8F00E18-C2D7-43CD-8E33-6765D836E6E1}" name="Column1753"/>
    <tableColumn id="1756" xr3:uid="{DE27CFD0-5B9A-4465-B5FB-053452B94165}" name="Column1754"/>
    <tableColumn id="1757" xr3:uid="{9D0AC5BD-F1EC-4148-9824-BD8111E1E295}" name="Column1755"/>
    <tableColumn id="1758" xr3:uid="{DF5E5B71-0D9A-4014-9C44-718BABAF1389}" name="Column1756"/>
    <tableColumn id="1759" xr3:uid="{8CD09937-8BDE-42F8-A1AC-C2860D044BE5}" name="Column1757"/>
    <tableColumn id="1760" xr3:uid="{DA38F660-5EED-4740-87E3-2802907989FA}" name="Column1758"/>
    <tableColumn id="1761" xr3:uid="{3B796101-B289-4C9D-BEFC-5BA92F522A06}" name="Column1759"/>
    <tableColumn id="1762" xr3:uid="{CE918060-5B11-4A9F-9764-A1BCC8D0F5C6}" name="Column1760"/>
    <tableColumn id="1763" xr3:uid="{12EB4247-4718-4DA3-94C1-EADB07798098}" name="Column1761"/>
    <tableColumn id="1764" xr3:uid="{B31ADEFB-2C69-4CD6-919E-7CA0E9E85B57}" name="Column1762"/>
    <tableColumn id="1765" xr3:uid="{7A01AAC7-544E-449B-AF86-8A21FDF0B15C}" name="Column1763"/>
    <tableColumn id="1766" xr3:uid="{15805728-10B0-477B-B0F1-05A8F1181319}" name="Column1764"/>
    <tableColumn id="1767" xr3:uid="{F0B94544-F92C-400A-BEC5-3899907EA3FF}" name="Column1765"/>
    <tableColumn id="1768" xr3:uid="{60B6BA55-9A45-4A3A-A972-E8937B4FDA39}" name="Column1766"/>
    <tableColumn id="1769" xr3:uid="{B6C7821E-32B8-404D-A5E6-93F06C1C5EA0}" name="Column1767"/>
    <tableColumn id="1770" xr3:uid="{41B06B71-B591-415A-A5AA-A1BA87FF0FA6}" name="Column1768"/>
    <tableColumn id="1771" xr3:uid="{6919765E-6684-4697-BCFC-E301CB06AF7E}" name="Column1769"/>
    <tableColumn id="1772" xr3:uid="{7AB77F99-75C2-468D-B4BB-695EED27ED52}" name="Column1770"/>
    <tableColumn id="1773" xr3:uid="{F12AE533-5A8C-453D-8F07-0CB1FB5CE254}" name="Column1771"/>
    <tableColumn id="1774" xr3:uid="{0862E046-5376-48DB-B4E9-E987B5CD0645}" name="Column1772"/>
    <tableColumn id="1775" xr3:uid="{0D82870F-2B5D-4108-AF24-AD4A182BF875}" name="Column1773"/>
    <tableColumn id="1776" xr3:uid="{8A5121F4-E4EF-494F-83FF-DCB1451A4C09}" name="Column1774"/>
    <tableColumn id="1777" xr3:uid="{462017F7-30F9-4169-AA08-09AE4D6412E2}" name="Column1775"/>
    <tableColumn id="1778" xr3:uid="{4F8500AF-A7CE-4A13-8BDE-F73DA327166F}" name="Column1776"/>
    <tableColumn id="1779" xr3:uid="{EF6873C5-30BE-4B89-8A70-A924232FA093}" name="Column1777"/>
    <tableColumn id="1780" xr3:uid="{BD9841EA-F96A-4646-9017-F2AB271CC22C}" name="Column1778"/>
    <tableColumn id="1781" xr3:uid="{29841C16-85C1-4DCA-B412-F1AF38327AC2}" name="Column1779"/>
    <tableColumn id="1782" xr3:uid="{A984716A-7DEF-4356-A93E-C4AB07B1A542}" name="Column1780"/>
    <tableColumn id="1783" xr3:uid="{4DCD97AA-8B18-4B33-90A7-5B2A50F57CAA}" name="Column1781"/>
    <tableColumn id="1784" xr3:uid="{ED7A9A50-444C-4471-A598-176460BAFBA5}" name="Column1782"/>
    <tableColumn id="1785" xr3:uid="{369DD045-9820-4697-AB52-2C2BC7AFA910}" name="Column1783"/>
    <tableColumn id="1786" xr3:uid="{9BB72CFF-283A-41EC-9D86-7F091ADCA458}" name="Column1784"/>
    <tableColumn id="1787" xr3:uid="{0A30FA3F-2102-41D9-84FB-C6EF51777E0A}" name="Column1785"/>
    <tableColumn id="1788" xr3:uid="{497F2AE2-3786-47C8-A8FC-F6AB3113B8BB}" name="Column1786"/>
    <tableColumn id="1789" xr3:uid="{42A99E51-8EDB-4194-AA73-79ECBFD820AB}" name="Column1787"/>
    <tableColumn id="1790" xr3:uid="{704E9693-C7C3-4D9B-BB1A-0F22E472728F}" name="Column1788"/>
    <tableColumn id="1791" xr3:uid="{8FC4D572-1753-42FC-B659-E68C2A643641}" name="Column1789"/>
    <tableColumn id="1792" xr3:uid="{D6FAF2DA-AB5C-4CC7-87A3-B478E60ED32A}" name="Column1790"/>
    <tableColumn id="1793" xr3:uid="{D683C06A-D452-482A-98ED-D7D6B8CC2404}" name="Column1791"/>
    <tableColumn id="1794" xr3:uid="{56BF597A-7311-40FD-8D35-CDD9FB719364}" name="Column1792"/>
    <tableColumn id="1795" xr3:uid="{C218E5F2-9AEF-4257-B37D-F448016FA2D9}" name="Column1793"/>
    <tableColumn id="1796" xr3:uid="{DF4DA648-CC56-4EC3-927C-1825CB843AE6}" name="Column1794"/>
    <tableColumn id="1797" xr3:uid="{E661F034-51CD-4903-9E18-C627951A1DD1}" name="Column1795"/>
    <tableColumn id="1798" xr3:uid="{F3132714-C617-48B8-BC73-539C4B0D6438}" name="Column1796"/>
    <tableColumn id="1799" xr3:uid="{3F5920B5-CD25-46BC-9694-27027915A065}" name="Column1797"/>
    <tableColumn id="1800" xr3:uid="{ECB47D4E-E1B6-4568-876E-C8279E38DC8F}" name="Column1798"/>
    <tableColumn id="1801" xr3:uid="{A2D4AFBB-411A-484C-83E7-052E07901EF0}" name="Column1799"/>
    <tableColumn id="1802" xr3:uid="{C4A5B28F-6590-4477-BD64-A544ED853307}" name="Column1800"/>
    <tableColumn id="1803" xr3:uid="{FA71A933-4F42-40E2-93EC-AE49D83163F6}" name="Column1801"/>
    <tableColumn id="1804" xr3:uid="{F115E203-0538-441C-8E5A-978022F793CB}" name="Column1802"/>
    <tableColumn id="1805" xr3:uid="{787B10E2-5F72-43A2-8872-3DB1001BC9C5}" name="Column1803"/>
    <tableColumn id="1806" xr3:uid="{C65D9B5A-F2F1-4ABA-8A78-FC614EFF1124}" name="Column1804"/>
    <tableColumn id="1807" xr3:uid="{C8A345C7-2F35-4A65-AB74-5F84835FC06B}" name="Column1805"/>
    <tableColumn id="1808" xr3:uid="{A0B83B37-32C4-47D8-9CF5-2E2C8BFCB479}" name="Column1806"/>
    <tableColumn id="1809" xr3:uid="{AF7606BC-73B3-4743-8549-390E1473BF13}" name="Column1807"/>
    <tableColumn id="1810" xr3:uid="{8E5FDE95-9F78-41CB-B1AE-19D86C144DC8}" name="Column1808"/>
    <tableColumn id="1811" xr3:uid="{C9994F8C-F2E6-4747-92A2-DC59926255FC}" name="Column1809"/>
    <tableColumn id="1812" xr3:uid="{0B3923F0-B0BB-4744-91F1-DC2B9DDBDA78}" name="Column1810"/>
    <tableColumn id="1813" xr3:uid="{F7B89ABB-AF99-4CBC-8CD8-4EC200349C5A}" name="Column1811"/>
    <tableColumn id="1814" xr3:uid="{3EF31BDB-5353-4A65-B38A-273DBB855375}" name="Column1812"/>
    <tableColumn id="1815" xr3:uid="{472B17C0-166B-46CB-9BCC-480E9D23A701}" name="Column1813"/>
    <tableColumn id="1816" xr3:uid="{20A1A366-4A8C-45A4-A8DD-C6335A65BA74}" name="Column1814"/>
    <tableColumn id="1817" xr3:uid="{00E27D70-4B2E-431E-A1BD-74600A745A45}" name="Column1815"/>
    <tableColumn id="1818" xr3:uid="{B0B46C83-FDA1-4120-8AC5-EF37BA618706}" name="Column1816"/>
    <tableColumn id="1819" xr3:uid="{84AEF81E-AC4F-491C-BE31-FA00B5CD54CF}" name="Column1817"/>
    <tableColumn id="1820" xr3:uid="{3D3A36EF-975E-45DC-BDD8-4E235B22030E}" name="Column1818"/>
    <tableColumn id="1821" xr3:uid="{7FFAF010-5E07-4511-BECD-3B56EAF89B3A}" name="Column1819"/>
    <tableColumn id="1822" xr3:uid="{4478BA25-7FBD-4FD1-9A49-25F09298004F}" name="Column1820"/>
    <tableColumn id="1823" xr3:uid="{BC24BC4E-86F2-4B11-BE39-95FF0095C95F}" name="Column1821"/>
    <tableColumn id="1824" xr3:uid="{F8149EBD-A852-4DE2-8B92-B09BFEAE29AA}" name="Column1822"/>
    <tableColumn id="1825" xr3:uid="{589B24B1-B90F-4C6A-BCD9-995805DB5BCD}" name="Column1823"/>
    <tableColumn id="1826" xr3:uid="{3C330B96-D307-4D55-8000-B9F698A3D91D}" name="Column1824"/>
    <tableColumn id="1827" xr3:uid="{43DAB002-04DF-46C4-9C9B-7CF6F2749F78}" name="Column1825"/>
    <tableColumn id="1828" xr3:uid="{B8DB9BA0-4D3B-4FFB-B583-F9A7A4FA93FE}" name="Column1826"/>
    <tableColumn id="1829" xr3:uid="{4D3C0586-38B9-486B-88C1-A243826979AB}" name="Column1827"/>
    <tableColumn id="1830" xr3:uid="{4744603A-B078-449B-B008-4171D9766F30}" name="Column1828"/>
    <tableColumn id="1831" xr3:uid="{7546A2E2-7B39-49BF-82CE-EE4D747401F5}" name="Column1829"/>
    <tableColumn id="1832" xr3:uid="{94BA3767-779D-4E57-9DE9-CA977DAA32B0}" name="Column1830"/>
    <tableColumn id="1833" xr3:uid="{3FC865D5-88D8-48F4-BF52-8B706032E350}" name="Column1831"/>
    <tableColumn id="1834" xr3:uid="{0FD97C82-E230-44E4-B57B-4D83994046E5}" name="Column1832"/>
    <tableColumn id="1835" xr3:uid="{415E32C0-8927-4928-93ED-D3C3A626A49B}" name="Column1833"/>
    <tableColumn id="1836" xr3:uid="{9CB9A11E-2E28-45A8-A261-5897F30C7FC8}" name="Column1834"/>
    <tableColumn id="1837" xr3:uid="{32404B39-D9D5-4E5C-B043-7604B9113577}" name="Column1835"/>
    <tableColumn id="1838" xr3:uid="{F7F90A0D-147F-427D-91A8-92F36A3AEB78}" name="Column1836"/>
    <tableColumn id="1839" xr3:uid="{ACA924F4-4246-4B2C-9DCB-09A6983E9E57}" name="Column1837"/>
    <tableColumn id="1840" xr3:uid="{598C16AD-0E4E-45E6-9A09-0553C9D0FCD0}" name="Column1838"/>
    <tableColumn id="1841" xr3:uid="{4B39E01E-063C-44E7-8810-631F88FC9444}" name="Column1839"/>
    <tableColumn id="1842" xr3:uid="{1975B03E-93F6-449B-AA91-36C7B06D607C}" name="Column1840"/>
    <tableColumn id="1843" xr3:uid="{A4167721-DC58-40F2-9D54-B885E23F2541}" name="Column1841"/>
    <tableColumn id="1844" xr3:uid="{26658E65-B5A6-49A1-A889-6F3922481E0C}" name="Column1842"/>
    <tableColumn id="1845" xr3:uid="{8718270D-3A79-41DC-A56A-79968127ABA4}" name="Column1843"/>
    <tableColumn id="1846" xr3:uid="{3A3A53D1-74CF-4CA2-96A2-779645228BF4}" name="Column1844"/>
    <tableColumn id="1847" xr3:uid="{631D1C35-5A9E-4033-A559-CAD68784D9EA}" name="Column1845"/>
    <tableColumn id="1848" xr3:uid="{4A228D1C-F439-4CA0-9F52-1FE2ECF12F6F}" name="Column1846"/>
    <tableColumn id="1849" xr3:uid="{9609A5A8-C279-47B0-88C1-6A47C50455A7}" name="Column1847"/>
    <tableColumn id="1850" xr3:uid="{CD4CF3C1-552D-4728-90AE-20E14A055A7C}" name="Column1848"/>
    <tableColumn id="1851" xr3:uid="{FD42D0D0-B564-4DA5-B8F5-85C59422595B}" name="Column1849"/>
    <tableColumn id="1852" xr3:uid="{4CC21990-1BE8-41EA-BC96-F5D62AB8CE33}" name="Column1850"/>
    <tableColumn id="1853" xr3:uid="{9288AFCF-DCBA-49DA-A501-B122C4435465}" name="Column1851"/>
    <tableColumn id="1854" xr3:uid="{05AD41BF-3694-4EFE-97C2-D478B0F1D596}" name="Column1852"/>
    <tableColumn id="1855" xr3:uid="{41843A1B-8168-4810-91F6-AE49F7615BA1}" name="Column1853"/>
    <tableColumn id="1856" xr3:uid="{6D532346-5A86-4F4E-B79A-FF160C284846}" name="Column1854"/>
    <tableColumn id="1857" xr3:uid="{1189F64D-820D-459C-B21D-080D7D6D30FE}" name="Column1855"/>
    <tableColumn id="1858" xr3:uid="{2493D37B-B61A-4A0D-982B-0B63D122F8A8}" name="Column1856"/>
    <tableColumn id="1859" xr3:uid="{7F285396-9492-4805-9190-D8AE2B11BFBF}" name="Column1857"/>
    <tableColumn id="1860" xr3:uid="{A96F9375-3FF0-4355-850F-1F29D2BF1EC0}" name="Column1858"/>
    <tableColumn id="1861" xr3:uid="{26A646C8-71E0-46AC-8072-BFABCE154F5B}" name="Column1859"/>
    <tableColumn id="1862" xr3:uid="{182010C0-03B8-42F5-965B-B977861C539D}" name="Column1860"/>
    <tableColumn id="1863" xr3:uid="{DC40775B-692E-47C8-A4C8-052C683B0DC9}" name="Column1861"/>
    <tableColumn id="1864" xr3:uid="{3DD6AF89-2016-4DB1-BFF9-A6BD934113A4}" name="Column1862"/>
    <tableColumn id="1865" xr3:uid="{1FBADF76-0061-42FA-BAA3-1F6A1A5D29A5}" name="Column1863"/>
    <tableColumn id="1866" xr3:uid="{5E297A18-2A19-4526-945C-350A07FBDFCD}" name="Column1864"/>
    <tableColumn id="1867" xr3:uid="{F660BE79-95AC-4660-B295-BD1670F226CA}" name="Column1865"/>
    <tableColumn id="1868" xr3:uid="{34C4A857-CD0B-4A23-A7D7-58CF8B89D2C8}" name="Column1866"/>
    <tableColumn id="1869" xr3:uid="{5B3C0DC5-7FB4-413B-9AAC-05B4AA183BD0}" name="Column1867"/>
    <tableColumn id="1870" xr3:uid="{F0920A57-A0D7-46F5-9522-A44BA98A3352}" name="Column1868"/>
    <tableColumn id="1871" xr3:uid="{BEE9CBF0-A951-459F-85FE-D2C282D87F16}" name="Column1869"/>
    <tableColumn id="1872" xr3:uid="{EA7EE681-326A-4AC0-A577-507F1B72AF09}" name="Column1870"/>
    <tableColumn id="1873" xr3:uid="{E4E0404F-1EC1-4E0A-BCEC-5D4B7675BD93}" name="Column1871"/>
    <tableColumn id="1874" xr3:uid="{7991ABE1-0E72-421E-99B5-AC8954E0D305}" name="Column1872"/>
    <tableColumn id="1875" xr3:uid="{4EA084E0-019E-43B7-B4DD-F47B30007528}" name="Column1873"/>
    <tableColumn id="1876" xr3:uid="{8D9D3BE0-317D-475D-9222-3C76C8EB8332}" name="Column1874"/>
    <tableColumn id="1877" xr3:uid="{8D57D161-F33B-4350-9C64-231689DB3B83}" name="Column1875"/>
    <tableColumn id="1878" xr3:uid="{86089D59-517B-4FFD-8657-08C9371DF1C9}" name="Column1876"/>
    <tableColumn id="1879" xr3:uid="{F5234493-8752-4401-BCF3-FF925D267B13}" name="Column1877"/>
    <tableColumn id="1880" xr3:uid="{5C65FA93-9A5B-4396-9B7D-F26E7F4F28FD}" name="Column1878"/>
    <tableColumn id="1881" xr3:uid="{70E4DA18-8BA4-45D6-A9E1-98EF328A4089}" name="Column1879"/>
    <tableColumn id="1882" xr3:uid="{CCE1F6F7-7C06-471D-A614-8C97CA76BD23}" name="Column1880"/>
    <tableColumn id="1883" xr3:uid="{4CE4BBA1-3B33-497E-A9FA-1E609FE55A62}" name="Column1881"/>
    <tableColumn id="1884" xr3:uid="{1E6E2FC0-9801-4F09-8AC7-F7C4F2F3D625}" name="Column1882"/>
    <tableColumn id="1885" xr3:uid="{D964E155-0D21-49CB-B2A0-087B7CC0D5E8}" name="Column1883"/>
    <tableColumn id="1886" xr3:uid="{BEC7CD85-FEB0-4B67-8741-8D2A89B3E970}" name="Column1884"/>
    <tableColumn id="1887" xr3:uid="{294D30C9-0D43-4D48-BD0F-FE670CEFA367}" name="Column1885"/>
    <tableColumn id="1888" xr3:uid="{632DCB2D-B475-463E-9ACC-26AD55D22C5C}" name="Column1886"/>
    <tableColumn id="1889" xr3:uid="{2C3BFF0B-5500-4ECB-A7A9-719186896D36}" name="Column1887"/>
    <tableColumn id="1890" xr3:uid="{A19AFCC2-7913-44FE-BE30-E3B24F0B6D65}" name="Column1888"/>
    <tableColumn id="1891" xr3:uid="{81A40BCC-2A4F-48AE-AF7D-ED1CB126F7DB}" name="Column1889"/>
    <tableColumn id="1892" xr3:uid="{B7C6FD48-E4F8-4237-B947-3529DBC4640B}" name="Column1890"/>
    <tableColumn id="1893" xr3:uid="{C5691DDA-C54A-411F-BAD5-B69926DC51D2}" name="Column1891"/>
    <tableColumn id="1894" xr3:uid="{D05758D1-CC7F-49C9-BAF1-AE6C2C456F07}" name="Column1892"/>
    <tableColumn id="1895" xr3:uid="{ADB1912F-FED7-4048-978B-28719584D416}" name="Column1893"/>
    <tableColumn id="1896" xr3:uid="{1260B2DB-103A-4CD7-BBE6-C3E46D802351}" name="Column1894"/>
    <tableColumn id="1897" xr3:uid="{D690C0BB-8211-4D7F-8A3E-4796C0C5FD89}" name="Column1895"/>
    <tableColumn id="1898" xr3:uid="{7D397F95-8AC9-40D0-A64B-BBC116BDF94C}" name="Column1896"/>
    <tableColumn id="1899" xr3:uid="{A0F93813-ADBA-4D5D-91CA-B24DB6E918C8}" name="Column1897"/>
    <tableColumn id="1900" xr3:uid="{A7ABD10F-6F13-4B4C-9A49-8438A73D2450}" name="Column1898"/>
    <tableColumn id="1901" xr3:uid="{E7A8070B-4153-4C4C-88C8-677B48EFECEE}" name="Column1899"/>
    <tableColumn id="1902" xr3:uid="{9907E404-8503-44CA-A418-918F87BDDB04}" name="Column1900"/>
    <tableColumn id="1903" xr3:uid="{FE9A80A6-FCEF-441D-B0ED-8D8353AFEE24}" name="Column1901"/>
    <tableColumn id="1904" xr3:uid="{3DD17F83-825E-46E5-AFA8-9609EABF93BC}" name="Column1902"/>
    <tableColumn id="1905" xr3:uid="{1570ECF0-7B07-4852-BC86-759FD9162F0E}" name="Column1903"/>
    <tableColumn id="1906" xr3:uid="{00AF5FDE-2ED5-4847-8EA8-9AF6D2B5EFCA}" name="Column1904"/>
    <tableColumn id="1907" xr3:uid="{E4DDD117-17DF-443E-BBA8-C6163C1276E2}" name="Column1905"/>
    <tableColumn id="1908" xr3:uid="{B43CCF15-31DF-4841-B214-9B84DA46984B}" name="Column1906"/>
    <tableColumn id="1909" xr3:uid="{430B61DD-D2E1-416E-B6C5-FE5B92E0C8FE}" name="Column1907"/>
    <tableColumn id="1910" xr3:uid="{BFA66861-328D-4BCA-B13E-C85E243DF5B1}" name="Column1908"/>
    <tableColumn id="1911" xr3:uid="{E727D96E-33E9-41D9-8A12-87F75E2ADEC6}" name="Column1909"/>
    <tableColumn id="1912" xr3:uid="{02E28C74-C2CD-4AC9-8191-31129A7F44F4}" name="Column1910"/>
    <tableColumn id="1913" xr3:uid="{6757CDDF-A366-4415-BC45-56B64AB92096}" name="Column1911"/>
    <tableColumn id="1914" xr3:uid="{B6F6A2E2-46E1-474D-B6C7-43FF4B0D553A}" name="Column1912"/>
    <tableColumn id="1915" xr3:uid="{AF22E472-902B-4D5D-837E-A36D71290694}" name="Column1913"/>
    <tableColumn id="1916" xr3:uid="{D32F2784-4A2B-49D1-BF05-F25105361B79}" name="Column1914"/>
    <tableColumn id="1917" xr3:uid="{B7734D60-10A3-45B1-9DCD-5DB22677DE95}" name="Column1915"/>
    <tableColumn id="1918" xr3:uid="{5470DEBB-D7CF-4037-83E4-88EC50D44DE8}" name="Column1916"/>
    <tableColumn id="1919" xr3:uid="{D655058D-65CA-4A16-95FE-F9E0BD37C5D4}" name="Column1917"/>
    <tableColumn id="1920" xr3:uid="{F07AA98E-0E28-492E-BF00-E6FDF5CF55EF}" name="Column1918"/>
    <tableColumn id="1921" xr3:uid="{818F765C-65E7-4933-B63C-1DB50D4A9993}" name="Column1919"/>
    <tableColumn id="1922" xr3:uid="{D0C6EA96-A4CA-4619-B562-87E3A2D538A6}" name="Column1920"/>
    <tableColumn id="1923" xr3:uid="{67C95C53-864B-4CBE-A45F-58C1776E9D68}" name="Column1921"/>
    <tableColumn id="1924" xr3:uid="{EB6D5AC0-CBE2-46E8-858B-FF40173E7326}" name="Column1922"/>
    <tableColumn id="1925" xr3:uid="{554511FA-7A65-4DDD-ABCC-8297BFB8390C}" name="Column1923"/>
    <tableColumn id="1926" xr3:uid="{4171EF90-DFA7-4719-8EBB-3F3A30CE385A}" name="Column1924"/>
    <tableColumn id="1927" xr3:uid="{61188ACE-CF0D-433C-B6EA-A80A0137CDE3}" name="Column1925"/>
    <tableColumn id="1928" xr3:uid="{A30E0A72-2F23-4577-8880-702FB7E02544}" name="Column1926"/>
    <tableColumn id="1929" xr3:uid="{D4BD5C35-57A7-48FF-98DD-603C18A8BC6E}" name="Column1927"/>
    <tableColumn id="1930" xr3:uid="{92254106-DC0E-4A49-94FF-11752AD6F658}" name="Column1928"/>
    <tableColumn id="1931" xr3:uid="{CDE1B6C1-90FE-478D-B701-8EEC1619A59E}" name="Column1929"/>
    <tableColumn id="1932" xr3:uid="{4FFF3D84-1B33-431F-B1AF-9C74B3DCB331}" name="Column1930"/>
    <tableColumn id="1933" xr3:uid="{17CEF566-CF18-46DC-B343-8CE91C291459}" name="Column1931"/>
    <tableColumn id="1934" xr3:uid="{03A25DC8-2BD3-4B0E-A5AE-B9669E26E1B1}" name="Column1932"/>
    <tableColumn id="1935" xr3:uid="{3EC84F29-830E-4F9A-9260-C8F5557146A0}" name="Column1933"/>
    <tableColumn id="1936" xr3:uid="{32A1C2FF-2CC9-4AE2-A1AC-49662DA73324}" name="Column1934"/>
    <tableColumn id="1937" xr3:uid="{D8A97FFC-E6AD-4405-8FD2-6333DF73B12F}" name="Column1935"/>
    <tableColumn id="1938" xr3:uid="{DCDA1EE4-9526-4236-B84C-7D879D32420F}" name="Column1936"/>
    <tableColumn id="1939" xr3:uid="{8DE59715-C8C9-497B-A884-E6E23DFA2B13}" name="Column1937"/>
    <tableColumn id="1940" xr3:uid="{532713BF-7E43-49B3-AAF5-D980A447E397}" name="Column1938"/>
    <tableColumn id="1941" xr3:uid="{4BC3B70B-0EE9-4285-B71B-896D42DEAC46}" name="Column1939"/>
    <tableColumn id="1942" xr3:uid="{B9C7BD61-EED7-4686-A878-33654205CC53}" name="Column1940"/>
    <tableColumn id="1943" xr3:uid="{9A6B6005-00AE-421B-8C8E-35115AC5F7B3}" name="Column1941"/>
    <tableColumn id="1944" xr3:uid="{8F2D1809-F691-4A6B-B9E4-09C1F54ECFB9}" name="Column1942"/>
    <tableColumn id="1945" xr3:uid="{FA25F916-31B5-4254-A5E9-1D5AAB2127BE}" name="Column1943"/>
    <tableColumn id="1946" xr3:uid="{BD9F1A38-3DC7-47FA-BEEE-F698491F2E7E}" name="Column1944"/>
    <tableColumn id="1947" xr3:uid="{85D23437-0EC9-464C-8032-19F3FAB964AE}" name="Column1945"/>
    <tableColumn id="1948" xr3:uid="{345E7ED7-94AF-40CA-B4C7-FA677C81603B}" name="Column1946"/>
    <tableColumn id="1949" xr3:uid="{4D2967F4-5349-4129-91A0-B4FEA7E5F5A7}" name="Column1947"/>
    <tableColumn id="1950" xr3:uid="{6FFEBB35-B99C-4460-96D3-9099C6C1BB87}" name="Column1948"/>
    <tableColumn id="1951" xr3:uid="{9EDC495E-EC61-4919-BB11-95F15A925EBF}" name="Column1949"/>
    <tableColumn id="1952" xr3:uid="{BE0790C2-5A4C-46A1-9774-AD87C3505A08}" name="Column1950"/>
    <tableColumn id="1953" xr3:uid="{CBEBC459-168D-4D5A-8FAC-98BE21498427}" name="Column1951"/>
    <tableColumn id="1954" xr3:uid="{D8878A0C-053D-4A60-8DE9-78D1CAFDC12E}" name="Column1952"/>
    <tableColumn id="1955" xr3:uid="{DB2177B1-43AC-455F-979B-8C294F48F8EA}" name="Column1953"/>
    <tableColumn id="1956" xr3:uid="{158F96B2-44CD-4692-AEFF-09CF5F85A85A}" name="Column1954"/>
    <tableColumn id="1957" xr3:uid="{D45DCA5F-598F-4083-BE79-50C0F2F884CA}" name="Column1955"/>
    <tableColumn id="1958" xr3:uid="{DE608DE0-87E4-4C4A-ADD2-BC8E79F1519D}" name="Column1956"/>
    <tableColumn id="1959" xr3:uid="{0CD96913-62C6-4433-9CF7-30277341B1F6}" name="Column1957"/>
    <tableColumn id="1960" xr3:uid="{BC0D485E-49DC-404E-85B3-5967E094117D}" name="Column1958"/>
    <tableColumn id="1961" xr3:uid="{B360378F-DD41-4ECD-8C76-F8387508A384}" name="Column1959"/>
    <tableColumn id="1962" xr3:uid="{D3BBCB7B-1177-45CE-A8DF-A500E94E5409}" name="Column1960"/>
    <tableColumn id="1963" xr3:uid="{29087767-DBB2-4DAA-A5D0-37372797507B}" name="Column1961"/>
    <tableColumn id="1964" xr3:uid="{A34B41FC-D0ED-494D-A031-F3161588D0F5}" name="Column1962"/>
    <tableColumn id="1965" xr3:uid="{84320F5E-ADF1-4771-993B-12F45B05DA0B}" name="Column1963"/>
    <tableColumn id="1966" xr3:uid="{7F9720F5-3B05-442D-8A90-E3602D4B2267}" name="Column1964"/>
    <tableColumn id="1967" xr3:uid="{B96A1317-0FA8-4C04-BDA7-99BD2AE85BC3}" name="Column1965"/>
    <tableColumn id="1968" xr3:uid="{6DEE989C-69FF-4550-A6FE-965564DE0034}" name="Column1966"/>
    <tableColumn id="1969" xr3:uid="{C6BA2901-2FB9-402B-A4A2-E5B91EA3F28B}" name="Column1967"/>
    <tableColumn id="1970" xr3:uid="{D6C1A836-26C5-474F-9BD6-F2D3D5C2ADB1}" name="Column1968"/>
    <tableColumn id="1971" xr3:uid="{F2C8BDF7-D01B-43BE-98BE-825365C5A83B}" name="Column1969"/>
    <tableColumn id="1972" xr3:uid="{871A9E46-A5DA-406D-904A-AD4C8524F065}" name="Column1970"/>
    <tableColumn id="1973" xr3:uid="{9ABDAB79-EA92-4377-8F92-7E41BF6826E6}" name="Column1971"/>
    <tableColumn id="1974" xr3:uid="{0B7EC4CD-735E-452E-873E-CE32C713119C}" name="Column1972"/>
    <tableColumn id="1975" xr3:uid="{C904A398-A38A-4B11-B2C2-7B3CF6E715A3}" name="Column1973"/>
    <tableColumn id="1976" xr3:uid="{58721E51-2726-4320-B670-967B2CBE2F58}" name="Column1974"/>
    <tableColumn id="1977" xr3:uid="{ADB49C4E-6BDB-4FE0-A07F-043FA76FF384}" name="Column1975"/>
    <tableColumn id="1978" xr3:uid="{DEF98016-A990-4DEA-A609-9387A76EF5EE}" name="Column1976"/>
    <tableColumn id="1979" xr3:uid="{091E2193-5C67-4C15-A998-999889BC61FC}" name="Column1977"/>
    <tableColumn id="1980" xr3:uid="{574428B5-5B07-46DC-8F89-E3B0746792B8}" name="Column1978"/>
    <tableColumn id="1981" xr3:uid="{91DFC07F-8F1A-450E-8604-8624C0BF1DED}" name="Column1979"/>
    <tableColumn id="1982" xr3:uid="{D939972B-8756-4605-ACD2-0D62A499BAD2}" name="Column1980"/>
    <tableColumn id="1983" xr3:uid="{70077A31-C93E-44EA-8C45-7C7667F6FFC4}" name="Column1981"/>
    <tableColumn id="1984" xr3:uid="{AAC2650B-6734-4CC6-93E6-2D700A6BF3DB}" name="Column1982"/>
    <tableColumn id="1985" xr3:uid="{4DDC360F-2613-4CA3-B02A-22332E817E1C}" name="Column1983"/>
    <tableColumn id="1986" xr3:uid="{88370FAE-3654-4E45-B3CF-DEB4027EE123}" name="Column1984"/>
    <tableColumn id="1987" xr3:uid="{A92B8DD6-0448-4A0A-ABF8-9C34AFB3225D}" name="Column1985"/>
    <tableColumn id="1988" xr3:uid="{02F74370-F000-498B-883C-51884657E14D}" name="Column1986"/>
    <tableColumn id="1989" xr3:uid="{C8120FF5-259D-418E-BD11-56E839B1C938}" name="Column1987"/>
    <tableColumn id="1990" xr3:uid="{E88E105A-52B7-475A-853B-15F86BA2E97A}" name="Column1988"/>
    <tableColumn id="1991" xr3:uid="{97A1549F-E309-4B73-A857-F41DD25ADDFF}" name="Column1989"/>
    <tableColumn id="1992" xr3:uid="{86C14E9C-685B-4E0E-97D1-BBE255F83F92}" name="Column1990"/>
    <tableColumn id="1993" xr3:uid="{6E362317-ADB6-4DDE-931A-9A8A6FCD9C80}" name="Column1991"/>
    <tableColumn id="1994" xr3:uid="{A33FC31C-6353-4924-A30A-B9403613DD95}" name="Column1992"/>
    <tableColumn id="1995" xr3:uid="{C51553F7-2F50-4401-ADBF-ED7B48B75B2C}" name="Column1993"/>
    <tableColumn id="1996" xr3:uid="{7A2086CD-7A34-40B3-913C-632ED91FC24C}" name="Column1994"/>
    <tableColumn id="1997" xr3:uid="{F357541E-E008-47D6-81AA-BE2F9552CA11}" name="Column1995"/>
    <tableColumn id="1998" xr3:uid="{13556207-19C4-4672-B457-A8627292C5A9}" name="Column1996"/>
    <tableColumn id="1999" xr3:uid="{AA37EECA-A362-4FC5-A147-95590169D213}" name="Column1997"/>
    <tableColumn id="2000" xr3:uid="{CAD82717-278C-4496-8156-F0F4E69A243F}" name="Column1998"/>
    <tableColumn id="2001" xr3:uid="{BD73D697-69D0-4CF9-A0E7-952E163A5521}" name="Column1999"/>
    <tableColumn id="2002" xr3:uid="{61072313-6CC1-4E09-8E30-800CFC67D84F}" name="Column2000"/>
    <tableColumn id="2003" xr3:uid="{5C9DBBBE-26EE-447A-8CDD-FF7F48C77563}" name="Column2001"/>
    <tableColumn id="2004" xr3:uid="{65DEB974-AF62-407C-8350-8F58E7A99197}" name="Column2002"/>
    <tableColumn id="2005" xr3:uid="{01530E60-73EF-4168-B7FE-EB15BC922650}" name="Column2003"/>
    <tableColumn id="2006" xr3:uid="{C8829FD6-A975-4D3E-986D-E9AF74429071}" name="Column2004"/>
    <tableColumn id="2007" xr3:uid="{6AE4ADE2-60CC-425F-9C62-5888575518B8}" name="Column2005"/>
    <tableColumn id="2008" xr3:uid="{F75A82DB-0CF0-465C-B038-1BD9C4EC490F}" name="Column2006"/>
    <tableColumn id="2009" xr3:uid="{E97083FC-9AA5-4850-8550-FD3138D5BA1E}" name="Column2007"/>
    <tableColumn id="2010" xr3:uid="{5B932ADE-E919-457F-8097-B2A14AB85CAB}" name="Column2008"/>
    <tableColumn id="2011" xr3:uid="{8C839334-4611-4094-87A2-89258C9D8ACC}" name="Column2009"/>
    <tableColumn id="2012" xr3:uid="{416058DE-9F00-4AA5-A5DF-D2683BACC435}" name="Column2010"/>
    <tableColumn id="2013" xr3:uid="{FCA6229A-C3AF-4C14-AC69-4A3EAAE93DFB}" name="Column2011"/>
    <tableColumn id="2014" xr3:uid="{B3C322B2-9B50-439F-A29E-79CD6DFFE154}" name="Column2012"/>
    <tableColumn id="2015" xr3:uid="{022DA7BC-07CC-419C-B559-38E38261EA2C}" name="Column2013"/>
    <tableColumn id="2016" xr3:uid="{466CF268-77BA-4CBE-A6F9-7EF5741CEBE5}" name="Column2014"/>
    <tableColumn id="2017" xr3:uid="{7777EE12-8E9B-4B57-860F-08FB3628C6E6}" name="Column2015"/>
    <tableColumn id="2018" xr3:uid="{8F85F0C2-B60D-4027-9089-4BC9C315A952}" name="Column2016"/>
    <tableColumn id="2019" xr3:uid="{2583AA68-7D80-4ABA-9411-CBAB588BCCB7}" name="Column2017"/>
    <tableColumn id="2020" xr3:uid="{FB764CA6-242D-408F-89EE-6203D33EE0CF}" name="Column2018"/>
    <tableColumn id="2021" xr3:uid="{1F01DA63-693A-4CA6-9189-2648BA866942}" name="Column2019"/>
    <tableColumn id="2022" xr3:uid="{FF50FFE6-8ED5-4F5A-A1FD-052C4F7F4865}" name="Column2020"/>
    <tableColumn id="2023" xr3:uid="{7C17798F-0B23-4720-AAAF-90DF663E36C7}" name="Column2021"/>
    <tableColumn id="2024" xr3:uid="{3CF787A6-019E-49EC-AB73-0B128CD645DE}" name="Column2022"/>
    <tableColumn id="2025" xr3:uid="{2430FABA-BD90-47C1-AF00-A45442D2E6B4}" name="Column2023"/>
    <tableColumn id="2026" xr3:uid="{C32F21A5-93A8-4679-811E-CE341E2753C9}" name="Column2024"/>
    <tableColumn id="2027" xr3:uid="{C4149841-E229-4D63-94D4-57FAF13EA2B3}" name="Column2025"/>
    <tableColumn id="2028" xr3:uid="{A225C9E7-BDB9-444D-9CD2-630228447F6B}" name="Column2026"/>
    <tableColumn id="2029" xr3:uid="{F745D549-E8DE-4C2F-B0AE-6E592C27B380}" name="Column2027"/>
    <tableColumn id="2030" xr3:uid="{461B60D3-163C-4AFA-8019-1A3226887CE8}" name="Column2028"/>
    <tableColumn id="2031" xr3:uid="{365006CB-9D9F-4F9C-BB96-49A2F13CA639}" name="Column2029"/>
    <tableColumn id="2032" xr3:uid="{B49611E4-FD9F-4AA3-8056-41A907C9EB9A}" name="Column2030"/>
    <tableColumn id="2033" xr3:uid="{87F4A4B6-B3FE-4CBC-8D1F-29749294C9BF}" name="Column2031"/>
    <tableColumn id="2034" xr3:uid="{3BB67748-5AA3-420F-BCF8-E77A990958C3}" name="Column2032"/>
    <tableColumn id="2035" xr3:uid="{6792EFDF-67B1-4819-BA2E-7FBBBAAD288C}" name="Column2033"/>
    <tableColumn id="2036" xr3:uid="{4EE0D9B6-27DE-4D19-B718-043558B7F608}" name="Column2034"/>
    <tableColumn id="2037" xr3:uid="{F1713A07-B567-487F-AF6F-CD875D7E7E52}" name="Column2035"/>
    <tableColumn id="2038" xr3:uid="{02FB6AE8-D162-430C-A2E8-4FB9F2E7AFD4}" name="Column2036"/>
    <tableColumn id="2039" xr3:uid="{11729A23-8C0F-4F91-A6A7-F9AE5B3A3918}" name="Column2037"/>
    <tableColumn id="2040" xr3:uid="{1B8B3919-335B-44D5-810F-8D5FA93C58A6}" name="Column2038"/>
    <tableColumn id="2041" xr3:uid="{8CBE16B6-2D7C-48D5-8439-B5AE30416A42}" name="Column2039"/>
    <tableColumn id="2042" xr3:uid="{1538275A-ED0F-4C8B-8441-F9A13DABAB1B}" name="Column2040"/>
    <tableColumn id="2043" xr3:uid="{35C4502F-EC37-46B7-B693-C92BA2CD5AF5}" name="Column2041"/>
    <tableColumn id="2044" xr3:uid="{D39EB3F5-CB09-4C5A-9D1B-16CE38318BD3}" name="Column2042"/>
    <tableColumn id="2045" xr3:uid="{115BB28D-9066-413E-8902-6F611D8BB716}" name="Column2043"/>
    <tableColumn id="2046" xr3:uid="{6335CB38-C92D-440E-BB29-3648250C62A7}" name="Column2044"/>
    <tableColumn id="2047" xr3:uid="{7DBA0980-7D7B-48EA-8035-E95338179B90}" name="Column2045"/>
    <tableColumn id="2048" xr3:uid="{FDEC08E7-9CD5-4329-AD5A-1B73F929DC95}" name="Column2046"/>
    <tableColumn id="2049" xr3:uid="{EE7ED484-0BF5-477F-85AF-D7EF649CAFB3}" name="Column2047"/>
    <tableColumn id="2050" xr3:uid="{FA16C866-ECC1-4BD7-A724-22EDCEFFA6E9}" name="Column2048"/>
    <tableColumn id="2051" xr3:uid="{DD06513E-5CFC-4630-A497-3EFFB4B08E98}" name="Column2049"/>
    <tableColumn id="2052" xr3:uid="{2321F1CF-3C03-4FA6-90A0-9DF4D4AC8C21}" name="Column2050"/>
    <tableColumn id="2053" xr3:uid="{7415A55C-15D1-4523-9AED-F3654AA50760}" name="Column2051"/>
    <tableColumn id="2054" xr3:uid="{31AF4C30-07DD-4CBA-88E4-23EEF50C54A2}" name="Column2052"/>
    <tableColumn id="2055" xr3:uid="{470D78E7-2FE5-4D6F-8DF4-48C7F4DBD1F1}" name="Column2053"/>
    <tableColumn id="2056" xr3:uid="{88D12132-EA9E-495A-9505-D4C7969434F9}" name="Column2054"/>
    <tableColumn id="2057" xr3:uid="{B92930EC-9165-41A8-8E0B-30FE4DB70D2D}" name="Column2055"/>
    <tableColumn id="2058" xr3:uid="{9354666A-7313-408B-A9A3-47C21554713E}" name="Column2056"/>
    <tableColumn id="2059" xr3:uid="{2107C63B-4909-47F6-A96E-E6CE83AFB341}" name="Column2057"/>
    <tableColumn id="2060" xr3:uid="{153E24A8-378B-4D14-9ECF-2747C09DEC9D}" name="Column2058"/>
    <tableColumn id="2061" xr3:uid="{AA515245-A6E9-45A9-B2F9-5237D359C540}" name="Column2059"/>
    <tableColumn id="2062" xr3:uid="{CE37BF8D-292A-4064-9C6F-3E9CC1AA47DF}" name="Column2060"/>
    <tableColumn id="2063" xr3:uid="{0B657B2A-8804-4BEE-866C-1A2E865EA4A8}" name="Column2061"/>
    <tableColumn id="2064" xr3:uid="{6D2870FF-A906-4E3A-83C1-212DF1ADCDD0}" name="Column2062"/>
    <tableColumn id="2065" xr3:uid="{348C200A-0EAD-4C42-90D8-40FF405021DC}" name="Column2063"/>
    <tableColumn id="2066" xr3:uid="{9D653749-8FF5-4DF4-A926-6325F4D3CC56}" name="Column2064"/>
    <tableColumn id="2067" xr3:uid="{20B33F5E-BE7B-48B0-ADA8-1B0C20B9A252}" name="Column2065"/>
    <tableColumn id="2068" xr3:uid="{2146BA95-FB71-4620-9F4A-B39455177FDA}" name="Column2066"/>
    <tableColumn id="2069" xr3:uid="{CB8CCD98-5BDA-4D5D-95E4-8C4B9BA3B3C2}" name="Column2067"/>
    <tableColumn id="2070" xr3:uid="{5DCA1A0A-EEC3-46A3-A011-1C35856FBC8E}" name="Column2068"/>
    <tableColumn id="2071" xr3:uid="{BFE3AEC5-1FDF-4EE6-A4BD-2DC6632D6C0C}" name="Column2069"/>
    <tableColumn id="2072" xr3:uid="{AD03E60B-0DF4-4E1C-B723-CB0BD201B7DB}" name="Column2070"/>
    <tableColumn id="2073" xr3:uid="{FB68D6F1-7E61-4BF8-BED3-FA87E7B27073}" name="Column2071"/>
    <tableColumn id="2074" xr3:uid="{0FA3D78F-8C99-4177-BEFC-F3AE031B9446}" name="Column2072"/>
    <tableColumn id="2075" xr3:uid="{5C10863A-BD80-407F-9DC4-72DA6B0DBB44}" name="Column2073"/>
    <tableColumn id="2076" xr3:uid="{D9393BA6-3F60-4222-8B6A-8D4C8D1BF843}" name="Column2074"/>
    <tableColumn id="2077" xr3:uid="{2E66B973-E7FC-4E81-9C26-61174FFCF7E8}" name="Column2075"/>
    <tableColumn id="2078" xr3:uid="{1E79A9E2-1092-4CC4-9CB5-7F2DB1649BA3}" name="Column2076"/>
    <tableColumn id="2079" xr3:uid="{D77987D4-DBDC-440D-B1B9-04E81532C0E7}" name="Column2077"/>
    <tableColumn id="2080" xr3:uid="{25983054-D741-432D-8CCB-440D924FFF57}" name="Column2078"/>
    <tableColumn id="2081" xr3:uid="{36BE6305-CD64-47DF-B4C7-BA45279A89B6}" name="Column2079"/>
    <tableColumn id="2082" xr3:uid="{B6E6C7A6-6696-4A00-897B-0CE171F44CA8}" name="Column2080"/>
    <tableColumn id="2083" xr3:uid="{CC11A0C0-97FF-445D-BB7B-C59D8DE604CA}" name="Column2081"/>
    <tableColumn id="2084" xr3:uid="{ABA818AF-5437-437A-9BCC-18AB39C56D6E}" name="Column2082"/>
    <tableColumn id="2085" xr3:uid="{95B688CB-0AF9-4297-A1B0-98FE60DED10D}" name="Column2083"/>
    <tableColumn id="2086" xr3:uid="{DCA864A9-7831-40EF-8484-AD20A1D8C2BF}" name="Column2084"/>
    <tableColumn id="2087" xr3:uid="{B0225673-8156-44A4-9C99-FF2A0BB89ADB}" name="Column2085"/>
    <tableColumn id="2088" xr3:uid="{12CB53FF-3F52-4B8D-B421-ADB49CF0284D}" name="Column2086"/>
    <tableColumn id="2089" xr3:uid="{790027C6-81DD-485A-89B3-3030A50A5D6F}" name="Column2087"/>
    <tableColumn id="2090" xr3:uid="{A0FA1AA9-201C-4E3D-B082-072CE3394322}" name="Column2088"/>
    <tableColumn id="2091" xr3:uid="{03C198D9-0CDB-4596-B2EA-EC9B2AB782E2}" name="Column2089"/>
    <tableColumn id="2092" xr3:uid="{8E753F19-3E3B-4251-94A4-02A1D4DBD5BA}" name="Column2090"/>
    <tableColumn id="2093" xr3:uid="{280F8EAD-09FE-4CE3-9865-EE6E4D8F408B}" name="Column2091"/>
    <tableColumn id="2094" xr3:uid="{B7749CA7-1830-47FB-9B77-6EA305ECC10D}" name="Column2092"/>
    <tableColumn id="2095" xr3:uid="{898729D9-E673-4D60-BF7D-3583B7360A79}" name="Column2093"/>
    <tableColumn id="2096" xr3:uid="{05F64E26-175F-4E7A-987D-01637114E67B}" name="Column2094"/>
    <tableColumn id="2097" xr3:uid="{0299999F-8608-47A4-B4FF-98DBAFAC06F1}" name="Column2095"/>
    <tableColumn id="2098" xr3:uid="{A892F5B8-B8C5-48EB-815B-64B23B9764B3}" name="Column2096"/>
    <tableColumn id="2099" xr3:uid="{0577BD85-29BC-432A-BE6A-FDF8F4FC22C5}" name="Column2097"/>
    <tableColumn id="2100" xr3:uid="{45A6A2CE-5B08-4625-90E3-52750FDBEA9A}" name="Column2098"/>
    <tableColumn id="2101" xr3:uid="{7731A315-D7B9-4FE8-BF2B-6AFC15F7418A}" name="Column2099"/>
    <tableColumn id="2102" xr3:uid="{E68EEFF5-FC70-4CBF-AB64-75860CE9757E}" name="Column2100"/>
    <tableColumn id="2103" xr3:uid="{85BE982F-ECC6-4583-A69A-78043713FD29}" name="Column2101"/>
    <tableColumn id="2104" xr3:uid="{E8498670-B424-4006-9575-DE5205904F02}" name="Column2102"/>
    <tableColumn id="2105" xr3:uid="{9DC743B1-B0BC-4AAE-A70E-7D94250B6B8A}" name="Column2103"/>
    <tableColumn id="2106" xr3:uid="{BFCCE817-EBC3-40B6-A3AD-7BB0E3FE55E0}" name="Column2104"/>
    <tableColumn id="2107" xr3:uid="{B99CAD5D-49FC-43BB-90CA-06AFE17EC71B}" name="Column2105"/>
    <tableColumn id="2108" xr3:uid="{185FFBED-275D-4EE1-9362-36C5FB90DEDF}" name="Column2106"/>
    <tableColumn id="2109" xr3:uid="{5387BC41-B0E9-43D2-8CA4-72DD1BB466C1}" name="Column2107"/>
    <tableColumn id="2110" xr3:uid="{5A669E2D-24F3-410C-801F-66BAAB4DAC5B}" name="Column2108"/>
    <tableColumn id="2111" xr3:uid="{D8A648E8-312C-407D-8F29-4B5E34E72E4B}" name="Column2109"/>
    <tableColumn id="2112" xr3:uid="{2AF3F178-3467-42C6-8786-87F945B1D008}" name="Column2110"/>
    <tableColumn id="2113" xr3:uid="{A82E1CE1-A675-468E-A46C-951AE0EC0DB2}" name="Column2111"/>
    <tableColumn id="2114" xr3:uid="{3E4C3169-6E96-4BBC-9C0F-337A723924B6}" name="Column2112"/>
    <tableColumn id="2115" xr3:uid="{16DEA4D1-44A8-4D82-9CFE-5DDB79B84A40}" name="Column2113"/>
    <tableColumn id="2116" xr3:uid="{E2181DEF-0FDF-4E78-A3ED-5CE86AB1BEAA}" name="Column2114"/>
    <tableColumn id="2117" xr3:uid="{EF4C1D9D-226C-49A9-8E5D-CFA30DF95A69}" name="Column2115"/>
    <tableColumn id="2118" xr3:uid="{2B962ABB-00CB-46B1-ACAA-E7B4836B8644}" name="Column2116"/>
    <tableColumn id="2119" xr3:uid="{FE5C7BB5-1575-4FCC-BC7A-78D1207550F7}" name="Column2117"/>
    <tableColumn id="2120" xr3:uid="{3F2368F8-D17B-4717-97C3-B0338DC2E364}" name="Column2118"/>
    <tableColumn id="2121" xr3:uid="{78E91D16-5C12-4644-8FF5-A22594BB2484}" name="Column2119"/>
    <tableColumn id="2122" xr3:uid="{0ED4844F-17B7-4D15-A669-561C7A883DE9}" name="Column2120"/>
    <tableColumn id="2123" xr3:uid="{99B42593-AC79-4B53-9EA4-D8AD02CDCA8A}" name="Column2121"/>
    <tableColumn id="2124" xr3:uid="{60749925-6C18-4297-B597-9BB74649AA99}" name="Column2122"/>
    <tableColumn id="2125" xr3:uid="{4FBA4266-5A46-4719-9F3B-384F9463E19A}" name="Column2123"/>
    <tableColumn id="2126" xr3:uid="{AD8C3C1D-1F6B-4643-BFB4-3DAF144C2679}" name="Column2124"/>
    <tableColumn id="2127" xr3:uid="{2919C1FD-9C06-43DF-9CBD-E31350F16C03}" name="Column2125"/>
    <tableColumn id="2128" xr3:uid="{27EE6B2A-9D7D-466E-975A-82317ED9F609}" name="Column2126"/>
    <tableColumn id="2129" xr3:uid="{94984B36-D293-4D77-9BB1-2F891D10ADA9}" name="Column2127"/>
    <tableColumn id="2130" xr3:uid="{D02CA763-82ED-4423-8D3B-C77A94AB98C0}" name="Column2128"/>
    <tableColumn id="2131" xr3:uid="{0E13D8B3-E734-49E2-BE1E-ABC0E8254F86}" name="Column2129"/>
    <tableColumn id="2132" xr3:uid="{1609ADA6-1D3E-4874-AFBE-2D0E33C5C499}" name="Column2130"/>
    <tableColumn id="2133" xr3:uid="{E8A0AD0B-544B-439A-A34F-4596263844A9}" name="Column2131"/>
    <tableColumn id="2134" xr3:uid="{D23EDA58-75B5-4027-89DB-37ACD5404D87}" name="Column2132"/>
    <tableColumn id="2135" xr3:uid="{3581FE7E-1E8E-4E6C-82F7-D59D8F4307D4}" name="Column2133"/>
    <tableColumn id="2136" xr3:uid="{D52AA613-65DF-48B3-B9B5-6F3533DD4509}" name="Column2134"/>
    <tableColumn id="2137" xr3:uid="{1DFB5657-51C2-423F-AD1C-3D7810B1544B}" name="Column2135"/>
    <tableColumn id="2138" xr3:uid="{E7BCC911-A497-4DF5-875A-A4F631194212}" name="Column2136"/>
    <tableColumn id="2139" xr3:uid="{BDF3C0CA-10A8-4EDD-B112-E101A2209018}" name="Column2137"/>
    <tableColumn id="2140" xr3:uid="{94A5153A-F7C6-473C-A51B-644A5242DF9B}" name="Column2138"/>
    <tableColumn id="2141" xr3:uid="{162B0210-4E6A-4517-842B-BF58797E88E5}" name="Column2139"/>
    <tableColumn id="2142" xr3:uid="{3EA4350E-E4EE-4741-A55D-0659DD5A1961}" name="Column2140"/>
    <tableColumn id="2143" xr3:uid="{BAA408F4-BF70-47B2-92F0-DDD11A43B897}" name="Column2141"/>
    <tableColumn id="2144" xr3:uid="{E2F3ADC7-B825-4DA0-828E-1507CBD8091C}" name="Column2142"/>
    <tableColumn id="2145" xr3:uid="{8F659714-9F20-4921-B46A-C36253792FC2}" name="Column2143"/>
    <tableColumn id="2146" xr3:uid="{57476444-40C5-4F61-8ADC-FC7C4E57CAE7}" name="Column2144"/>
    <tableColumn id="2147" xr3:uid="{C749B4B2-E8DE-4471-A657-0A0A9DA9CDA7}" name="Column2145"/>
    <tableColumn id="2148" xr3:uid="{1CBEE736-722B-4193-AF0E-750B09167441}" name="Column2146"/>
    <tableColumn id="2149" xr3:uid="{6CF17929-F3CB-45B6-962F-8B889BBC5369}" name="Column2147"/>
    <tableColumn id="2150" xr3:uid="{38D97025-039D-4828-8BEB-FAB77908D006}" name="Column2148"/>
    <tableColumn id="2151" xr3:uid="{02EB07C7-F9AA-4F50-9EA9-0A3517B4CA4A}" name="Column2149"/>
    <tableColumn id="2152" xr3:uid="{23912870-07AA-474C-98E5-29ECDE3AFE70}" name="Column2150"/>
    <tableColumn id="2153" xr3:uid="{9F39E417-8879-4B49-A7DD-98D3B5C39072}" name="Column2151"/>
    <tableColumn id="2154" xr3:uid="{EFBDAA22-F813-4EEE-A3FC-BCD13706CF04}" name="Column2152"/>
    <tableColumn id="2155" xr3:uid="{DE52D594-FEF9-4F22-8FBB-CA202BEFE613}" name="Column2153"/>
    <tableColumn id="2156" xr3:uid="{8E6879AA-628C-4994-B1F8-DD9B19782071}" name="Column2154"/>
    <tableColumn id="2157" xr3:uid="{1A1C8681-8E8E-41B2-A481-CEA76C00A0A9}" name="Column2155"/>
    <tableColumn id="2158" xr3:uid="{6087D603-851E-4767-BBF2-AEE622F9D051}" name="Column2156"/>
    <tableColumn id="2159" xr3:uid="{3373D8B1-096D-4085-B10E-60EF7C1334B3}" name="Column2157"/>
    <tableColumn id="2160" xr3:uid="{8A58FDF3-B578-4939-A9AE-A04EAD1EBD4D}" name="Column2158"/>
    <tableColumn id="2161" xr3:uid="{7A8E7DDC-32EF-453E-928D-1F05167DABC6}" name="Column2159"/>
    <tableColumn id="2162" xr3:uid="{433860A3-65D0-4C0D-B21C-0E37B14C5C10}" name="Column2160"/>
    <tableColumn id="2163" xr3:uid="{F19B4EEE-AAB8-4526-9998-42EF1B33232B}" name="Column2161"/>
    <tableColumn id="2164" xr3:uid="{2920E110-88AC-42C4-B757-59A3A048AEBB}" name="Column2162"/>
    <tableColumn id="2165" xr3:uid="{0EE83A13-9639-45E6-A313-B860210B30CC}" name="Column2163"/>
    <tableColumn id="2166" xr3:uid="{1FC0C39A-9D12-4234-AB65-A3A94DD5564E}" name="Column2164"/>
    <tableColumn id="2167" xr3:uid="{18A62624-2815-4DBA-BDD6-A678C3359D61}" name="Column2165"/>
    <tableColumn id="2168" xr3:uid="{A324D888-6072-4D15-B82E-5733942842CD}" name="Column2166"/>
    <tableColumn id="2169" xr3:uid="{3095A8FC-FB91-465B-8F0F-C3A10F81F28B}" name="Column2167"/>
    <tableColumn id="2170" xr3:uid="{D4923464-5EBF-491A-9CAE-B011E9A6C5EF}" name="Column2168"/>
    <tableColumn id="2171" xr3:uid="{590ECCEB-561E-49FA-BBCD-2C1D3B2F4841}" name="Column2169"/>
    <tableColumn id="2172" xr3:uid="{03CE6906-600F-4DCA-8092-4525503364C9}" name="Column2170"/>
    <tableColumn id="2173" xr3:uid="{14FAB9BE-859F-4EA4-92E4-B433AA150277}" name="Column2171"/>
    <tableColumn id="2174" xr3:uid="{65CC25F7-8312-4C7A-8C12-C3C2A99DCA64}" name="Column2172"/>
    <tableColumn id="2175" xr3:uid="{4609D85D-2327-45F6-9F51-20C5E28064BE}" name="Column2173"/>
    <tableColumn id="2176" xr3:uid="{A39F623D-48F4-47C5-A8FE-762C6AF9925D}" name="Column2174"/>
    <tableColumn id="2177" xr3:uid="{5AAD371C-8A1F-4638-AE91-48F06F16C18D}" name="Column2175"/>
    <tableColumn id="2178" xr3:uid="{607C7C54-F3A8-4610-93F3-7D8DC482F62D}" name="Column2176"/>
    <tableColumn id="2179" xr3:uid="{78C8DC8A-87EE-4580-89BE-ABEE98B51F47}" name="Column2177"/>
    <tableColumn id="2180" xr3:uid="{6236D240-69BB-422F-8235-863E1CF53421}" name="Column2178"/>
    <tableColumn id="2181" xr3:uid="{743F72A9-1354-4EF0-B660-CEE4688A44B5}" name="Column2179"/>
    <tableColumn id="2182" xr3:uid="{57837FC4-E381-4C6D-A79D-6E866DE16E2D}" name="Column2180"/>
    <tableColumn id="2183" xr3:uid="{E5DCAE67-DC4D-4711-B13F-C47DE2F6C260}" name="Column2181"/>
    <tableColumn id="2184" xr3:uid="{3B407508-7A66-43FF-91AA-6E3ABDA124D7}" name="Column2182"/>
    <tableColumn id="2185" xr3:uid="{AC396DCE-CEFA-4446-A9FA-445A2076D931}" name="Column2183"/>
    <tableColumn id="2186" xr3:uid="{FC2E7603-6D95-4CE3-8AA4-783E1A67727A}" name="Column2184"/>
    <tableColumn id="2187" xr3:uid="{D82E4E2D-6E51-421C-86D0-F1F8FA5C1B06}" name="Column2185"/>
    <tableColumn id="2188" xr3:uid="{3250898E-11FA-43DA-A36A-1ED8035985B2}" name="Column2186"/>
    <tableColumn id="2189" xr3:uid="{61A6F8D5-F062-4993-83A4-29711A0AD825}" name="Column2187"/>
    <tableColumn id="2190" xr3:uid="{049D1A91-9B7B-4C5B-B1FA-092487D09AA8}" name="Column2188"/>
    <tableColumn id="2191" xr3:uid="{69A85D26-B960-47F8-A93D-90331535BFA6}" name="Column2189"/>
    <tableColumn id="2192" xr3:uid="{756CAF3D-BC08-4FAE-84C9-F40C7CD69A91}" name="Column2190"/>
    <tableColumn id="2193" xr3:uid="{801C4050-E80A-4EC3-BB94-FD233E3F9395}" name="Column2191"/>
    <tableColumn id="2194" xr3:uid="{BEF2CB12-C595-4996-B917-C05557B28765}" name="Column2192"/>
    <tableColumn id="2195" xr3:uid="{E4D08A96-835A-464D-9250-A5FDF679945A}" name="Column2193"/>
    <tableColumn id="2196" xr3:uid="{BDB303DA-69CD-4153-B149-C500A841F42D}" name="Column2194"/>
    <tableColumn id="2197" xr3:uid="{C728FB7F-AFAF-4444-A10D-81C65B5DD6BA}" name="Column2195"/>
    <tableColumn id="2198" xr3:uid="{CFEB8C4E-CCF5-4C8B-8D32-434A7E20133E}" name="Column2196"/>
    <tableColumn id="2199" xr3:uid="{BCF0C6FD-4F68-46B3-A9F6-34C4A7204321}" name="Column2197"/>
    <tableColumn id="2200" xr3:uid="{ECB1F7F6-9C66-42EF-9E89-FBB5164FA9F7}" name="Column2198"/>
    <tableColumn id="2201" xr3:uid="{9B01DB2E-64F7-4BB2-BDC5-E29315A12D58}" name="Column2199"/>
    <tableColumn id="2202" xr3:uid="{0E52E931-61FA-4B81-BA68-AA3F9985C8D0}" name="Column2200"/>
    <tableColumn id="2203" xr3:uid="{F90D6F74-1BCB-4DA7-803C-5F9ABE4C8B99}" name="Column2201"/>
    <tableColumn id="2204" xr3:uid="{4755E8B5-DB0B-43C3-926D-00648FD064DB}" name="Column2202"/>
    <tableColumn id="2205" xr3:uid="{08C75A25-1DF6-4C1E-BEE7-DD28770A2778}" name="Column2203"/>
    <tableColumn id="2206" xr3:uid="{C5EA3BC0-1C12-40D4-BEFF-228BB2044813}" name="Column2204"/>
    <tableColumn id="2207" xr3:uid="{9198A166-9CE2-4C86-BB9D-03948B22FCD8}" name="Column2205"/>
    <tableColumn id="2208" xr3:uid="{D8D66723-18DA-4964-AB62-B5FD8C3E26F0}" name="Column2206"/>
    <tableColumn id="2209" xr3:uid="{7AD650F4-C34A-4F25-B2D9-88FAA61C8986}" name="Column2207"/>
    <tableColumn id="2210" xr3:uid="{41A29C21-69EB-498B-A4D0-60EC555C9CBA}" name="Column2208"/>
    <tableColumn id="2211" xr3:uid="{0CBA7B7E-0EEF-4693-9D41-445229C2B79C}" name="Column2209"/>
    <tableColumn id="2212" xr3:uid="{1227608A-AB2B-4F24-A27F-976AF9B9A3C2}" name="Column2210"/>
    <tableColumn id="2213" xr3:uid="{E2EE09E3-02A6-4608-A83C-B1EEB9E35A69}" name="Column2211"/>
    <tableColumn id="2214" xr3:uid="{2769B453-E42F-45A0-9157-E576E75B7BFC}" name="Column2212"/>
    <tableColumn id="2215" xr3:uid="{7237809D-901F-47FB-9127-88BF8201C4AD}" name="Column2213"/>
    <tableColumn id="2216" xr3:uid="{11ED9B3C-2DC5-40B3-BCDC-F485919FFEF6}" name="Column2214"/>
    <tableColumn id="2217" xr3:uid="{7491F81E-FC13-4BEE-A05E-C36D5E69591F}" name="Column2215"/>
    <tableColumn id="2218" xr3:uid="{1C6521AB-8087-4B4A-9436-08CEA306B310}" name="Column2216"/>
    <tableColumn id="2219" xr3:uid="{D375B666-366F-407B-A1DF-F61CDB65A0CC}" name="Column2217"/>
    <tableColumn id="2220" xr3:uid="{24545E9B-C0F4-4DE4-A38C-1EEFB1CE8F62}" name="Column2218"/>
    <tableColumn id="2221" xr3:uid="{F35AE830-6A20-4C28-9BC4-AE4E3B3451C7}" name="Column2219"/>
    <tableColumn id="2222" xr3:uid="{6308071A-66B2-4C49-9657-FCA292683436}" name="Column2220"/>
    <tableColumn id="2223" xr3:uid="{2749BFEE-A6B2-463F-8FC2-9BDCABB9A904}" name="Column2221"/>
    <tableColumn id="2224" xr3:uid="{EFA4E32C-00F3-4AD2-B442-2C8CD7D447DF}" name="Column2222"/>
    <tableColumn id="2225" xr3:uid="{CE3F820A-9E49-446F-9260-42D7F20790B0}" name="Column2223"/>
    <tableColumn id="2226" xr3:uid="{3567EBC5-7908-4889-BDF2-9044F862BA5C}" name="Column2224"/>
    <tableColumn id="2227" xr3:uid="{025AB6DE-237E-44A6-B456-415A31A7A5D0}" name="Column2225"/>
    <tableColumn id="2228" xr3:uid="{94B3F5A1-28C4-46A7-A957-4FEF94FB070D}" name="Column2226"/>
    <tableColumn id="2229" xr3:uid="{CD22CF21-D0A8-43E1-9F1F-6155657C5DD6}" name="Column2227"/>
    <tableColumn id="2230" xr3:uid="{9357640C-B339-47C6-940E-FDE8979DD4A9}" name="Column2228"/>
    <tableColumn id="2231" xr3:uid="{1BD0ECD1-1C1C-4B11-AF4C-08566F543754}" name="Column2229"/>
    <tableColumn id="2232" xr3:uid="{CC730830-E713-4595-A96D-58DA4E466AA2}" name="Column2230"/>
    <tableColumn id="2233" xr3:uid="{36817515-1E31-4018-AC78-CEDC75BA9D5C}" name="Column2231"/>
    <tableColumn id="2234" xr3:uid="{2FAD2D00-AE73-45E0-A8D3-EEAE3A73D443}" name="Column2232"/>
    <tableColumn id="2235" xr3:uid="{7600847B-F8FC-4877-9BFE-536E69B2BBE1}" name="Column2233"/>
    <tableColumn id="2236" xr3:uid="{004520AE-5230-411D-8320-A80A15753B40}" name="Column2234"/>
    <tableColumn id="2237" xr3:uid="{A63303B3-1EDE-49A1-94B1-C47F2D839A1F}" name="Column2235"/>
    <tableColumn id="2238" xr3:uid="{C9947DAC-16FB-4DD5-8D6C-CB4B47D874C0}" name="Column2236"/>
    <tableColumn id="2239" xr3:uid="{0AD36E6B-A28D-4F70-926B-4ACA8E51BA1B}" name="Column2237"/>
    <tableColumn id="2240" xr3:uid="{8D3E144E-24FE-402A-8398-BE861902DBA2}" name="Column2238"/>
    <tableColumn id="2241" xr3:uid="{0882699F-E9C5-4281-8B1D-B6D5CF14A0A9}" name="Column2239"/>
    <tableColumn id="2242" xr3:uid="{1808A285-5218-4E37-9BB7-758F7E9AD215}" name="Column2240"/>
    <tableColumn id="2243" xr3:uid="{903C67FE-D4C8-4310-A9E1-DBB7211B363E}" name="Column2241"/>
    <tableColumn id="2244" xr3:uid="{F5EB7158-B151-4234-B605-EF516097B94D}" name="Column2242"/>
    <tableColumn id="2245" xr3:uid="{0B7552D5-5344-4AA1-99C9-D60ED5963BD6}" name="Column2243"/>
    <tableColumn id="2246" xr3:uid="{6449F7D0-3BFF-4D78-98BA-24F2D8966725}" name="Column2244"/>
    <tableColumn id="2247" xr3:uid="{DC42E805-0D96-4D46-A651-F2BC37B4A1AB}" name="Column2245"/>
    <tableColumn id="2248" xr3:uid="{E4790504-2387-4B05-8E79-00386CB36460}" name="Column2246"/>
    <tableColumn id="2249" xr3:uid="{C9F007C3-A5F9-4FD8-B24F-AC232A768F09}" name="Column2247"/>
    <tableColumn id="2250" xr3:uid="{3F1F7BD2-0308-4010-90C0-60C812A6A401}" name="Column2248"/>
    <tableColumn id="2251" xr3:uid="{28A69E89-AA22-4149-BB2F-0A298C69DCA9}" name="Column2249"/>
    <tableColumn id="2252" xr3:uid="{14E9BCEE-360E-4223-80F9-91BC34746ADC}" name="Column2250"/>
    <tableColumn id="2253" xr3:uid="{984FDC52-CB52-42F4-B52D-89F65266368C}" name="Column2251"/>
    <tableColumn id="2254" xr3:uid="{F25084BF-2E29-4C30-BA67-17AAADD690E5}" name="Column2252"/>
    <tableColumn id="2255" xr3:uid="{AD1C01B0-C963-4335-B1FB-D795CA27EEC0}" name="Column2253"/>
    <tableColumn id="2256" xr3:uid="{FDA93B60-AB99-4FF7-A5E8-E37C9B3256D4}" name="Column2254"/>
    <tableColumn id="2257" xr3:uid="{A80525C5-11DF-4142-80BF-17DB2087F748}" name="Column2255"/>
    <tableColumn id="2258" xr3:uid="{F44DEF00-E745-405C-A508-780671035E96}" name="Column2256"/>
    <tableColumn id="2259" xr3:uid="{6356DF61-3098-4BD2-8921-CD4AFDFD1369}" name="Column2257"/>
    <tableColumn id="2260" xr3:uid="{DFEEFD90-3FD0-4CBF-91A9-99DA544CCF05}" name="Column2258"/>
    <tableColumn id="2261" xr3:uid="{918CAB2F-CBAA-40BE-AD81-F90D90EE3116}" name="Column2259"/>
    <tableColumn id="2262" xr3:uid="{76B56B42-B0B9-48D7-BF7F-51F884AFBF75}" name="Column2260"/>
    <tableColumn id="2263" xr3:uid="{91A612F3-5851-4AF9-ABEB-95BD34E306B8}" name="Column2261"/>
    <tableColumn id="2264" xr3:uid="{A874CEA2-802B-470B-AD0F-D91F498578B7}" name="Column2262"/>
    <tableColumn id="2265" xr3:uid="{0B7BCB8E-1437-4523-B1C5-9037EFBE006E}" name="Column2263"/>
    <tableColumn id="2266" xr3:uid="{16059992-1BCB-42C2-859F-F26934E70B4F}" name="Column2264"/>
    <tableColumn id="2267" xr3:uid="{129561C1-F8B9-4986-B1E5-627A8967C0F3}" name="Column2265"/>
    <tableColumn id="2268" xr3:uid="{D9D7DDA3-25E0-452E-80A1-896DF272DB64}" name="Column2266"/>
    <tableColumn id="2269" xr3:uid="{05F4431E-762D-444A-928B-28A427CAC3CA}" name="Column2267"/>
    <tableColumn id="2270" xr3:uid="{45D643E2-E029-47A9-971E-541BCD8E714C}" name="Column2268"/>
    <tableColumn id="2271" xr3:uid="{065DCC66-8FE2-491E-AD08-ABE88B16DD72}" name="Column2269"/>
    <tableColumn id="2272" xr3:uid="{1C5067BB-ADF4-4538-8293-A4598A7B4804}" name="Column2270"/>
    <tableColumn id="2273" xr3:uid="{714AC7BA-60FC-47A9-8838-B984070CDB60}" name="Column2271"/>
    <tableColumn id="2274" xr3:uid="{87C2D0A7-3AAD-424B-96E1-32C0BA343417}" name="Column2272"/>
    <tableColumn id="2275" xr3:uid="{19659C99-AC19-4383-9DB3-8FA11A741217}" name="Column2273"/>
    <tableColumn id="2276" xr3:uid="{C165C2F1-3BB9-4DAE-BFE0-C4D7926471C0}" name="Column2274"/>
    <tableColumn id="2277" xr3:uid="{0CAB1A29-7091-4E16-981A-DAECC106E994}" name="Column2275"/>
    <tableColumn id="2278" xr3:uid="{AB38E04E-F4CD-4129-8C37-EA05F6E4FE8F}" name="Column2276"/>
    <tableColumn id="2279" xr3:uid="{179A2F01-87CE-4F26-B18D-EF790CE10E50}" name="Column2277"/>
    <tableColumn id="2280" xr3:uid="{B7AB39BB-B57E-4BDC-9A03-CDBC719DBE5F}" name="Column2278"/>
    <tableColumn id="2281" xr3:uid="{C9F2D838-7065-482C-A806-D0BC02EC805A}" name="Column2279"/>
    <tableColumn id="2282" xr3:uid="{DB1E69B9-5277-46B2-917E-F94A67618354}" name="Column2280"/>
    <tableColumn id="2283" xr3:uid="{29C1C2FC-D695-42C9-A27D-1E2CDDA3AE0E}" name="Column2281"/>
    <tableColumn id="2284" xr3:uid="{105374D0-0EE2-489B-B841-AA4FF1C4395F}" name="Column2282"/>
    <tableColumn id="2285" xr3:uid="{E6AD314D-5899-43F4-A95B-C217324B2D20}" name="Column2283"/>
    <tableColumn id="2286" xr3:uid="{1DB08A64-6830-4B03-A9F7-04DC693CBC99}" name="Column2284"/>
    <tableColumn id="2287" xr3:uid="{326318B6-008C-48B0-A6C3-8500609F3BB8}" name="Column2285"/>
    <tableColumn id="2288" xr3:uid="{24D0417B-A23A-42F6-9095-3570F8105CEF}" name="Column2286"/>
    <tableColumn id="2289" xr3:uid="{F2349F89-E4A5-45DC-885C-22105DCD0856}" name="Column2287"/>
    <tableColumn id="2290" xr3:uid="{AE087EB1-56B0-4264-A157-BE7DBCBB307C}" name="Column2288"/>
    <tableColumn id="2291" xr3:uid="{011B010F-A523-4A3F-B958-C0DEA86420AC}" name="Column2289"/>
    <tableColumn id="2292" xr3:uid="{CA2DA63C-8807-4DA7-A470-5C200170FD9C}" name="Column2290"/>
    <tableColumn id="2293" xr3:uid="{675E89B7-88FE-4034-93AC-E8A985D55321}" name="Column2291"/>
    <tableColumn id="2294" xr3:uid="{E4A8CB11-CBC7-44B6-BBD3-5AA357CFB00D}" name="Column2292"/>
    <tableColumn id="2295" xr3:uid="{7C14F2AE-0B3C-41F6-A57D-479A914B22E8}" name="Column2293"/>
    <tableColumn id="2296" xr3:uid="{F2877914-6E01-4B19-A368-22462CAEBA4D}" name="Column2294"/>
    <tableColumn id="2297" xr3:uid="{A11062D6-8341-4911-82C9-855FE7E34E90}" name="Column2295"/>
    <tableColumn id="2298" xr3:uid="{0414FF62-AF42-4F67-99F7-3E0354307D68}" name="Column2296"/>
    <tableColumn id="2299" xr3:uid="{8C7417C2-C308-43EA-87A4-C1DD5A9445B3}" name="Column2297"/>
    <tableColumn id="2300" xr3:uid="{AD35E663-7D07-49B0-B781-01F1E65C56EA}" name="Column2298"/>
    <tableColumn id="2301" xr3:uid="{8529E376-BB94-4BC5-8F43-A1FD627B6F91}" name="Column2299"/>
    <tableColumn id="2302" xr3:uid="{C8E433AE-005D-4661-A979-163DDD1B1AA5}" name="Column2300"/>
    <tableColumn id="2303" xr3:uid="{613BE8B7-94FC-47C6-A49A-97466CE575F2}" name="Column2301"/>
    <tableColumn id="2304" xr3:uid="{1761DB1E-291B-4319-92CF-48C16A7EB062}" name="Column2302"/>
    <tableColumn id="2305" xr3:uid="{1B6489D6-E3B4-408B-9223-01A32CA34B2A}" name="Column2303"/>
    <tableColumn id="2306" xr3:uid="{0FD45400-5B8B-4B7C-A66E-AEC70144B389}" name="Column2304"/>
    <tableColumn id="2307" xr3:uid="{265D6B84-36EF-496C-8447-C36C238EB41B}" name="Column2305"/>
    <tableColumn id="2308" xr3:uid="{5464D097-AF39-4112-8E36-E9CF187A8086}" name="Column2306"/>
    <tableColumn id="2309" xr3:uid="{75CE0BC4-665E-4FEE-9423-B4D9AC33518D}" name="Column2307"/>
    <tableColumn id="2310" xr3:uid="{5781CE22-67F9-4FD2-88A5-DF152DFA235F}" name="Column2308"/>
    <tableColumn id="2311" xr3:uid="{1E306326-3837-46AC-A70E-3BD4812778EA}" name="Column2309"/>
    <tableColumn id="2312" xr3:uid="{EECCC7DB-6048-4F8B-A4AD-37B696898E51}" name="Column2310"/>
    <tableColumn id="2313" xr3:uid="{0ED007AA-98A6-4ECE-B105-7B2AB3DF01FF}" name="Column2311"/>
    <tableColumn id="2314" xr3:uid="{5D5627D8-E579-4A96-BD43-96CE538F04B4}" name="Column2312"/>
    <tableColumn id="2315" xr3:uid="{ACC2598E-83F5-4C39-8D7C-339F10874902}" name="Column2313"/>
    <tableColumn id="2316" xr3:uid="{E0D66AEB-E835-4300-A4D1-EF877C034679}" name="Column2314"/>
    <tableColumn id="2317" xr3:uid="{79C494A4-B675-42CF-A247-BBD30F747A4A}" name="Column2315"/>
    <tableColumn id="2318" xr3:uid="{06B84017-2704-4149-AEE5-976035A53601}" name="Column2316"/>
    <tableColumn id="2319" xr3:uid="{BE0874D4-E08E-4353-829C-15D46B301E04}" name="Column2317"/>
    <tableColumn id="2320" xr3:uid="{5D0F41B9-801E-4C04-976C-6C2DBB5C7A9A}" name="Column2318"/>
    <tableColumn id="2321" xr3:uid="{B817D27B-D823-4B06-A1AC-7272849FD579}" name="Column2319"/>
    <tableColumn id="2322" xr3:uid="{F0255F99-C655-418D-B547-3F45EE07F44F}" name="Column2320"/>
    <tableColumn id="2323" xr3:uid="{70281216-E14F-4640-ADD7-8D22CD8FAA1D}" name="Column2321"/>
    <tableColumn id="2324" xr3:uid="{4678A3EF-41AE-4556-97F5-1F7E9A969D8B}" name="Column2322"/>
    <tableColumn id="2325" xr3:uid="{7B26C02D-2D16-4D67-ACA7-4836EB4B2D40}" name="Column2323"/>
    <tableColumn id="2326" xr3:uid="{A3EAE69A-3B8D-4379-9776-10F0A13F8D1E}" name="Column2324"/>
    <tableColumn id="2327" xr3:uid="{0E0EFD65-7250-4288-BC3E-3BA0BB703B27}" name="Column2325"/>
    <tableColumn id="2328" xr3:uid="{079A7645-F4E2-4820-8B67-77C39F8C41DB}" name="Column2326"/>
    <tableColumn id="2329" xr3:uid="{E112E6AF-793A-4833-AF45-15C37748026A}" name="Column2327"/>
    <tableColumn id="2330" xr3:uid="{17F89635-D6E4-42FB-98D9-B7CB4DE919A2}" name="Column2328"/>
    <tableColumn id="2331" xr3:uid="{ED357712-E1DD-491C-BC32-C4254F3A537E}" name="Column2329"/>
    <tableColumn id="2332" xr3:uid="{F86C8DC4-982D-4E22-8EE1-B7C9E131DF31}" name="Column2330"/>
    <tableColumn id="2333" xr3:uid="{0377F5F2-5298-4B66-A885-F76EFFAE7F0D}" name="Column2331"/>
    <tableColumn id="2334" xr3:uid="{96009FD6-1DCD-43C3-980B-9EB7115CB273}" name="Column2332"/>
    <tableColumn id="2335" xr3:uid="{E331022F-177F-4494-B2B6-EA029C3E8F9B}" name="Column2333"/>
    <tableColumn id="2336" xr3:uid="{C46B3C66-CBF6-4193-B54A-1E3C0F687D1F}" name="Column2334"/>
    <tableColumn id="2337" xr3:uid="{4B63BCBA-EE83-4B13-8D22-27F21296E291}" name="Column2335"/>
    <tableColumn id="2338" xr3:uid="{D3973F14-448F-4D36-904C-C7A9E9A3B017}" name="Column2336"/>
    <tableColumn id="2339" xr3:uid="{48A85E59-2D49-4C46-BCFD-C9FE4F3DBC71}" name="Column2337"/>
    <tableColumn id="2340" xr3:uid="{2687C784-BC7C-492E-B3EA-9C1EC7C8D5EF}" name="Column2338"/>
    <tableColumn id="2341" xr3:uid="{82EA1172-C8BD-4E38-A9C4-D3B6AEAAB032}" name="Column2339"/>
    <tableColumn id="2342" xr3:uid="{FBA34106-C9F6-41FB-9B82-A6294CCEF7D5}" name="Column2340"/>
    <tableColumn id="2343" xr3:uid="{105A88E7-574C-4E47-B99E-E026C8B9A541}" name="Column2341"/>
    <tableColumn id="2344" xr3:uid="{37646BFE-F25A-4E5A-89B2-20322B98D58F}" name="Column2342"/>
    <tableColumn id="2345" xr3:uid="{E9093898-7292-4541-AF8E-85D5CF204796}" name="Column2343"/>
    <tableColumn id="2346" xr3:uid="{BFAB7DE2-1605-42C9-8B50-E176C842E5BC}" name="Column2344"/>
    <tableColumn id="2347" xr3:uid="{3DB2B2B7-1E6A-4ABD-9159-281BF3B8B43A}" name="Column2345"/>
    <tableColumn id="2348" xr3:uid="{68E252BE-9736-445F-8023-A766A6D1A75D}" name="Column2346"/>
    <tableColumn id="2349" xr3:uid="{D3261250-57BC-4D5A-8AD4-AC49C6561A5D}" name="Column2347"/>
    <tableColumn id="2350" xr3:uid="{232E03EE-2869-450F-BAD5-5E43CBBDD888}" name="Column2348"/>
    <tableColumn id="2351" xr3:uid="{75F8032C-5593-4620-840B-C5BE028AD936}" name="Column2349"/>
    <tableColumn id="2352" xr3:uid="{1B5CD4BF-520D-4B14-B53B-A25FC2C36298}" name="Column2350"/>
    <tableColumn id="2353" xr3:uid="{47FB5912-5196-4759-894E-6D1A9BB74738}" name="Column2351"/>
    <tableColumn id="2354" xr3:uid="{EB2F8F31-5338-4756-AE2F-F41CE6696719}" name="Column2352"/>
    <tableColumn id="2355" xr3:uid="{1C71BF81-73F7-4A3C-B2D6-B7B3D1424BD5}" name="Column2353"/>
    <tableColumn id="2356" xr3:uid="{9C5BA12A-EF6F-42A6-890F-DF0237621A25}" name="Column2354"/>
    <tableColumn id="2357" xr3:uid="{016F5737-B69C-4D70-A119-641BA3F7B23C}" name="Column2355"/>
    <tableColumn id="2358" xr3:uid="{6FB0556E-49D2-4395-B687-3336B8ADF80E}" name="Column2356"/>
    <tableColumn id="2359" xr3:uid="{A41C7CBA-6D0F-4625-A7EB-C50460BFD116}" name="Column2357"/>
    <tableColumn id="2360" xr3:uid="{B44F7ABC-3E53-4091-A5B2-8B6B99452801}" name="Column2358"/>
    <tableColumn id="2361" xr3:uid="{9A5568B3-D18B-4CEE-98D0-9B1FA854447A}" name="Column2359"/>
    <tableColumn id="2362" xr3:uid="{9A84EBCB-761A-411C-B8FD-F90E39CB6733}" name="Column2360"/>
    <tableColumn id="2363" xr3:uid="{FA0015FF-C748-4F41-961A-89F8DDCCF0A2}" name="Column2361"/>
    <tableColumn id="2364" xr3:uid="{5017153B-5D89-4905-AC4C-7219B39949A7}" name="Column2362"/>
    <tableColumn id="2365" xr3:uid="{C0A1B3C5-7672-41F0-B075-991A40B7636D}" name="Column2363"/>
    <tableColumn id="2366" xr3:uid="{FDC03613-B1C8-44D7-8E6B-824404D87A18}" name="Column2364"/>
    <tableColumn id="2367" xr3:uid="{9408B676-9B20-4242-8294-86D7A2CE4384}" name="Column2365"/>
    <tableColumn id="2368" xr3:uid="{05AE2C83-A586-48BF-9AB3-2D1B2C6E1E1A}" name="Column2366"/>
    <tableColumn id="2369" xr3:uid="{C80D082D-F325-4503-87D5-C291BDE2B02D}" name="Column2367"/>
    <tableColumn id="2370" xr3:uid="{6251E6B8-E274-471C-A4DA-612E6CC37A32}" name="Column2368"/>
    <tableColumn id="2371" xr3:uid="{A2FE2646-13CE-4E2B-9F3F-453D2BA27BB9}" name="Column2369"/>
    <tableColumn id="2372" xr3:uid="{FDDEAE86-17CB-4CCD-9989-D2E54FFD0364}" name="Column2370"/>
    <tableColumn id="2373" xr3:uid="{54C79DDA-FF70-4E83-85D6-AE52D9D872D1}" name="Column2371"/>
    <tableColumn id="2374" xr3:uid="{46B0210B-56AD-4905-AB42-AD11139C4EF7}" name="Column2372"/>
    <tableColumn id="2375" xr3:uid="{96F708F1-079C-4B50-ADE3-201EC9919E26}" name="Column2373"/>
    <tableColumn id="2376" xr3:uid="{326CFA33-7F89-47BB-8C7D-45AA80EFC18A}" name="Column2374"/>
    <tableColumn id="2377" xr3:uid="{E05D3DC3-0DD9-4732-89D7-8C27156E9040}" name="Column2375"/>
    <tableColumn id="2378" xr3:uid="{A824D7E6-1DC5-4C3B-9470-46F3CBF9172C}" name="Column2376"/>
    <tableColumn id="2379" xr3:uid="{9A88C16B-CAB8-4B05-AA02-C93C2E7734BD}" name="Column2377"/>
    <tableColumn id="2380" xr3:uid="{A81E2C94-EC2F-4F1E-96B4-538805D4544D}" name="Column2378"/>
    <tableColumn id="2381" xr3:uid="{CA9B2697-1BA4-4320-8B2A-0A2992820567}" name="Column2379"/>
    <tableColumn id="2382" xr3:uid="{39832D89-6531-4069-8086-DD0B1E302059}" name="Column2380"/>
    <tableColumn id="2383" xr3:uid="{50AA0540-8CFC-4646-8CF5-5CF860BA5279}" name="Column2381"/>
    <tableColumn id="2384" xr3:uid="{7AF54DF1-1489-48A2-8889-60A6645BAE8A}" name="Column2382"/>
    <tableColumn id="2385" xr3:uid="{EDD354BA-5AA2-4498-8299-D468E56068F0}" name="Column2383"/>
    <tableColumn id="2386" xr3:uid="{F13DD347-EBDB-4363-887A-1C46EF716CB5}" name="Column2384"/>
    <tableColumn id="2387" xr3:uid="{CE26E826-F12C-494D-A339-72292E1190F7}" name="Column2385"/>
    <tableColumn id="2388" xr3:uid="{FE06BAF0-29A3-4B34-BF34-755A42B155B7}" name="Column2386"/>
    <tableColumn id="2389" xr3:uid="{2F24DF67-0A8D-4B3A-A3C6-97EA6C2DB539}" name="Column2387"/>
    <tableColumn id="2390" xr3:uid="{AF4433D2-5B53-4795-AC27-DD9B12937F08}" name="Column2388"/>
    <tableColumn id="2391" xr3:uid="{6FB1433D-6585-46F3-8E16-0165F36E9385}" name="Column2389"/>
    <tableColumn id="2392" xr3:uid="{9FC8C95B-1F21-4289-A000-A9B2E2510B21}" name="Column2390"/>
    <tableColumn id="2393" xr3:uid="{320B39DF-CDF7-4425-9646-711AB895C778}" name="Column2391"/>
    <tableColumn id="2394" xr3:uid="{29E130BC-F98F-44C3-9268-6B2FE31BEED4}" name="Column2392"/>
    <tableColumn id="2395" xr3:uid="{C3DFA9DC-E544-4E2F-AF5A-F89123AE8FEC}" name="Column2393"/>
    <tableColumn id="2396" xr3:uid="{20751DE5-EE64-4517-8273-3A2E937F1CDB}" name="Column2394"/>
    <tableColumn id="2397" xr3:uid="{A27D7106-1FF9-4BA6-8870-708256E8A7D5}" name="Column2395"/>
    <tableColumn id="2398" xr3:uid="{D6A907F6-ADB5-4C63-B947-08104516ABE4}" name="Column2396"/>
    <tableColumn id="2399" xr3:uid="{6ED71817-BB7D-4862-9EA5-ECEF6B5D352A}" name="Column2397"/>
    <tableColumn id="2400" xr3:uid="{0146A5B7-8108-4E5F-8DAD-02C289743BBC}" name="Column2398"/>
    <tableColumn id="2401" xr3:uid="{A3072A7A-2070-42DD-B199-67C390626B02}" name="Column2399"/>
    <tableColumn id="2402" xr3:uid="{280B838E-248E-489B-A57A-BBD30CC8A2E0}" name="Column2400"/>
    <tableColumn id="2403" xr3:uid="{3E2C1BD1-1E62-44B3-A21B-114F6105CC0F}" name="Column2401"/>
    <tableColumn id="2404" xr3:uid="{39406815-06D6-4229-BB7A-D400B9E61E0A}" name="Column2402"/>
    <tableColumn id="2405" xr3:uid="{4C2B606C-78FB-4BDC-93C1-C42BA0C68783}" name="Column2403"/>
    <tableColumn id="2406" xr3:uid="{FD0C98BF-3AA9-409D-ABB0-4262AD05D1CA}" name="Column2404"/>
    <tableColumn id="2407" xr3:uid="{7D0F714A-EF2E-451E-BBE8-70C6624940A7}" name="Column2405"/>
    <tableColumn id="2408" xr3:uid="{9A26ECBB-0711-4607-A6C5-9C45C71B673C}" name="Column2406"/>
    <tableColumn id="2409" xr3:uid="{61137CFB-AD51-4F48-B1AB-EBDA77C584C5}" name="Column2407"/>
    <tableColumn id="2410" xr3:uid="{B12997FE-25DD-447C-ACC8-4203D9625992}" name="Column2408"/>
    <tableColumn id="2411" xr3:uid="{4D2F6156-4C97-4956-B4A2-BA89E166444F}" name="Column2409"/>
    <tableColumn id="2412" xr3:uid="{07B57131-5437-4921-820F-DC7A5C3819E5}" name="Column2410"/>
    <tableColumn id="2413" xr3:uid="{84512BB7-3181-44C6-ABCC-ED0231C57B01}" name="Column2411"/>
    <tableColumn id="2414" xr3:uid="{6923498D-87F4-4CA3-B040-C39DBE3921B2}" name="Column2412"/>
    <tableColumn id="2415" xr3:uid="{B8697093-2208-4D62-933C-98862FC8F4B9}" name="Column2413"/>
    <tableColumn id="2416" xr3:uid="{63C32878-6981-4C33-9DDA-428F2C75FA29}" name="Column2414"/>
    <tableColumn id="2417" xr3:uid="{C46D5EF6-3360-467B-9F50-F062B5A154DD}" name="Column2415"/>
    <tableColumn id="2418" xr3:uid="{F2657D44-6346-4402-88CA-0CE2AD59A0A4}" name="Column2416"/>
    <tableColumn id="2419" xr3:uid="{67D52E0C-499A-4C5B-93D4-E74CE1FF2ECB}" name="Column2417"/>
    <tableColumn id="2420" xr3:uid="{741F5290-850E-49EC-8C3A-543157775969}" name="Column2418"/>
    <tableColumn id="2421" xr3:uid="{CB05E7FF-0DC5-4E17-BED1-344D387465D2}" name="Column2419"/>
    <tableColumn id="2422" xr3:uid="{5DF894FD-0F81-4465-91DF-6C71CFB6CAEA}" name="Column2420"/>
    <tableColumn id="2423" xr3:uid="{1E2C9693-2E22-4041-9DD4-336521FA2632}" name="Column2421"/>
    <tableColumn id="2424" xr3:uid="{14CB7596-7752-43AC-9DFE-411829885F40}" name="Column2422"/>
    <tableColumn id="2425" xr3:uid="{3A211BF2-61F9-45E8-A0E7-55B60B4A58E8}" name="Column2423"/>
    <tableColumn id="2426" xr3:uid="{449A38FF-24F1-4901-BAFF-33AAE34E9965}" name="Column2424"/>
    <tableColumn id="2427" xr3:uid="{262DF41A-4A54-497C-95D1-30382F6087BD}" name="Column2425"/>
    <tableColumn id="2428" xr3:uid="{AB62025E-D860-4C55-BF8C-E1769F4A1DE1}" name="Column2426"/>
    <tableColumn id="2429" xr3:uid="{A1655E71-BD77-47CD-AD38-56D3C6962F0B}" name="Column2427"/>
    <tableColumn id="2430" xr3:uid="{B343CB68-A195-4967-8111-B8BBA7E89F4F}" name="Column2428"/>
    <tableColumn id="2431" xr3:uid="{9156C8EF-7D4D-4382-8E82-3E6D4629D032}" name="Column2429"/>
    <tableColumn id="2432" xr3:uid="{21C082E7-8115-4129-AE2B-A4D4197B66B7}" name="Column2430"/>
    <tableColumn id="2433" xr3:uid="{2EF0219F-131B-4A5C-B375-B419DBF8B9F4}" name="Column2431"/>
    <tableColumn id="2434" xr3:uid="{FEB891C3-F3F5-4215-A0CF-0CFC5305779E}" name="Column2432"/>
    <tableColumn id="2435" xr3:uid="{01966FC9-605D-4949-8EDC-09059B9F1B8F}" name="Column2433"/>
    <tableColumn id="2436" xr3:uid="{404CE814-92F5-4D77-8CC4-A8AC0478A3FA}" name="Column2434"/>
    <tableColumn id="2437" xr3:uid="{8B558A25-0DA8-4DA2-8090-58FF03A6C334}" name="Column2435"/>
    <tableColumn id="2438" xr3:uid="{D6E74C74-F6F8-42D3-98E1-F66694AE0B4F}" name="Column2436"/>
    <tableColumn id="2439" xr3:uid="{69874156-FA6E-433F-93A5-4BE4D4494F9A}" name="Column2437"/>
    <tableColumn id="2440" xr3:uid="{14E1C044-B491-4941-9B05-E4D1E3CB6ECE}" name="Column2438"/>
    <tableColumn id="2441" xr3:uid="{C64ED0D2-B3D5-4009-A745-3C59639E24D2}" name="Column2439"/>
    <tableColumn id="2442" xr3:uid="{F453E544-364F-44BA-8774-976EEC03E18E}" name="Column2440"/>
    <tableColumn id="2443" xr3:uid="{5D51383A-725E-49D7-B3EC-434082063613}" name="Column2441"/>
    <tableColumn id="2444" xr3:uid="{6ED9DE87-3057-453F-A3F9-3A99BF09A390}" name="Column2442"/>
    <tableColumn id="2445" xr3:uid="{32001941-92B0-47DB-94CA-FFFAC246E6F3}" name="Column2443"/>
    <tableColumn id="2446" xr3:uid="{FEEC6232-81EC-49CD-9762-62C3D4A1AC93}" name="Column2444"/>
    <tableColumn id="2447" xr3:uid="{02B804B4-17F9-4232-A34E-FD38EFD4A537}" name="Column2445"/>
    <tableColumn id="2448" xr3:uid="{36E749B6-E08E-47BA-BC2D-F4A48A2D50A4}" name="Column2446"/>
    <tableColumn id="2449" xr3:uid="{398C2A3F-06A3-4EBD-8EDD-89508197AABB}" name="Column2447"/>
    <tableColumn id="2450" xr3:uid="{CC7D7690-192F-454D-A3CC-61FE4BCC115D}" name="Column2448"/>
    <tableColumn id="2451" xr3:uid="{90FDF9B6-1184-464F-BFAB-9577EDFC94B5}" name="Column2449"/>
    <tableColumn id="2452" xr3:uid="{BB439620-ECDA-48BB-AC62-F8C97010D7C9}" name="Column2450"/>
    <tableColumn id="2453" xr3:uid="{A12C1603-BA28-4AAE-A9A7-F43579A6E1CE}" name="Column2451"/>
    <tableColumn id="2454" xr3:uid="{69973C5B-7A15-4C9C-A92E-BCE2556D2F1C}" name="Column2452"/>
    <tableColumn id="2455" xr3:uid="{81FE16B5-06FB-498D-B658-23BB7AC91AE8}" name="Column2453"/>
    <tableColumn id="2456" xr3:uid="{8100EDF6-571B-4C7B-A685-FB604B4FA4DB}" name="Column2454"/>
    <tableColumn id="2457" xr3:uid="{79FB1397-7A0A-4B5F-86C0-6AA0F2EA4E98}" name="Column2455"/>
    <tableColumn id="2458" xr3:uid="{99058CDD-B982-4449-B3AF-AE73529240E1}" name="Column2456"/>
    <tableColumn id="2459" xr3:uid="{36A4AED7-2A5C-4A57-8233-61DBF24EE7C4}" name="Column2457"/>
    <tableColumn id="2460" xr3:uid="{BF7CDE8C-62CD-4FA6-AA36-24AA33C07AA0}" name="Column2458"/>
    <tableColumn id="2461" xr3:uid="{0471CB8F-C666-4356-8468-07E0A99143C3}" name="Column2459"/>
    <tableColumn id="2462" xr3:uid="{B8B31C2E-4EDE-467F-89CD-A0E6AE0CAF05}" name="Column2460"/>
    <tableColumn id="2463" xr3:uid="{D254163E-97E8-4CE7-B34E-FE4A4AA1D191}" name="Column2461"/>
    <tableColumn id="2464" xr3:uid="{99DF47EC-4B28-42EB-B6EA-BDD2D0886816}" name="Column2462"/>
    <tableColumn id="2465" xr3:uid="{7737384A-E65C-468A-B9C1-5B463C5984E5}" name="Column2463"/>
    <tableColumn id="2466" xr3:uid="{81B38CD5-2E20-4031-9848-3849D9560CDA}" name="Column2464"/>
    <tableColumn id="2467" xr3:uid="{E27FFAF9-66B9-4D8F-B812-6EF1062FB4B3}" name="Column2465"/>
    <tableColumn id="2468" xr3:uid="{96451602-1802-4F14-B392-01279324C565}" name="Column2466"/>
    <tableColumn id="2469" xr3:uid="{1BBF71F8-33F3-4362-BE1B-3603290144E2}" name="Column2467"/>
    <tableColumn id="2470" xr3:uid="{A06EDB1A-1BDF-42B0-8ABC-4A64A404E94F}" name="Column2468"/>
    <tableColumn id="2471" xr3:uid="{DEB43A78-78DD-4974-BC52-F8B970A9A4DE}" name="Column2469"/>
    <tableColumn id="2472" xr3:uid="{763AF685-E48B-4869-98CA-720266CD8CF4}" name="Column2470"/>
    <tableColumn id="2473" xr3:uid="{1581E8CB-9929-44A1-9665-4E4180D94816}" name="Column2471"/>
    <tableColumn id="2474" xr3:uid="{4A1890B4-DA49-41B0-9A7D-EBBF3602304E}" name="Column2472"/>
    <tableColumn id="2475" xr3:uid="{79987C38-56D9-496C-ADEC-AC9D0303393D}" name="Column2473"/>
    <tableColumn id="2476" xr3:uid="{8380F236-4B81-4B0F-A7DE-1A85BD516A7A}" name="Column2474"/>
    <tableColumn id="2477" xr3:uid="{C6B220D2-4B62-45FB-AC4D-138BC38BFD5B}" name="Column2475"/>
    <tableColumn id="2478" xr3:uid="{B8834C5C-4773-4C09-AEF4-DA6EC52DC47F}" name="Column2476"/>
    <tableColumn id="2479" xr3:uid="{E9A0DC5D-340A-48A9-8DE5-9EA0C608890E}" name="Column2477"/>
    <tableColumn id="2480" xr3:uid="{88F6E6E0-674E-4FCB-AE90-2D1BDB85D1B1}" name="Column2478"/>
    <tableColumn id="2481" xr3:uid="{C3BBD31E-03D9-42CF-92F7-80EF67E66890}" name="Column2479"/>
    <tableColumn id="2482" xr3:uid="{41D8B675-779B-40E9-97F0-A53A473F81C1}" name="Column2480"/>
    <tableColumn id="2483" xr3:uid="{525F5F35-160E-4531-AB1A-D2A21565ED27}" name="Column2481"/>
    <tableColumn id="2484" xr3:uid="{600C3EED-B5CC-4126-ABE0-177336276718}" name="Column2482"/>
    <tableColumn id="2485" xr3:uid="{7F9C6346-92EE-4B8E-9DD0-1AB5F89DE48D}" name="Column2483"/>
    <tableColumn id="2486" xr3:uid="{B83BA533-F6A7-4A2F-83C8-DAF1594F7A6C}" name="Column2484"/>
    <tableColumn id="2487" xr3:uid="{D563F294-821E-43AB-BF70-086DBD4FF16D}" name="Column2485"/>
    <tableColumn id="2488" xr3:uid="{D7FC53A3-574D-4741-8C03-4B5D69E72A08}" name="Column2486"/>
    <tableColumn id="2489" xr3:uid="{C976F606-3272-4C10-B25D-0A17548997DD}" name="Column2487"/>
    <tableColumn id="2490" xr3:uid="{9E1FE3EF-96D5-43CD-93D9-59B4671B664C}" name="Column2488"/>
    <tableColumn id="2491" xr3:uid="{9004D4BA-BA49-441A-B728-50FD0A7C6497}" name="Column2489"/>
    <tableColumn id="2492" xr3:uid="{2A696F34-BA5B-4731-856F-07B72DF3D511}" name="Column2490"/>
    <tableColumn id="2493" xr3:uid="{00141C31-AEA1-4719-8454-26CE7C805920}" name="Column2491"/>
    <tableColumn id="2494" xr3:uid="{175AB928-4557-47EF-9CFA-5EE5FFA83057}" name="Column2492"/>
    <tableColumn id="2495" xr3:uid="{53921034-78D3-4926-B201-9E3FDC52AC4E}" name="Column2493"/>
    <tableColumn id="2496" xr3:uid="{837F60FF-274B-417F-9E9D-5B1FEAFCEB28}" name="Column2494"/>
    <tableColumn id="2497" xr3:uid="{6C48CECA-F076-42C7-ACA6-F88BEC4F6BA2}" name="Column2495"/>
    <tableColumn id="2498" xr3:uid="{0BD50425-674D-411A-8C3A-CA1E630AA3F3}" name="Column2496"/>
    <tableColumn id="2499" xr3:uid="{358189B5-1E9A-4124-BFB2-66A6449B1105}" name="Column2497"/>
    <tableColumn id="2500" xr3:uid="{043A0B67-7D23-4914-8B27-09D5B952C40D}" name="Column2498"/>
    <tableColumn id="2501" xr3:uid="{492890BD-50B9-4D51-B43B-8982BB587A3F}" name="Column2499"/>
    <tableColumn id="2502" xr3:uid="{0B5344E4-1378-4780-B61F-D198C26758D8}" name="Column2500"/>
    <tableColumn id="2503" xr3:uid="{1C166F41-1B2F-42CB-A97B-F3F563528C0E}" name="Column2501"/>
    <tableColumn id="2504" xr3:uid="{35041447-522F-4681-A742-B41D2815664A}" name="Column2502"/>
    <tableColumn id="2505" xr3:uid="{77A55F4D-EFC7-4E79-B794-83704C73AB04}" name="Column2503"/>
    <tableColumn id="2506" xr3:uid="{601301E8-CFD6-4B46-B1B3-EDD244A0080D}" name="Column2504"/>
    <tableColumn id="2507" xr3:uid="{2929BFDA-2B46-42C6-951C-77FC2B9F7547}" name="Column2505"/>
    <tableColumn id="2508" xr3:uid="{3BDE54DC-44F0-4CC3-80FC-E3E2C5C76CDB}" name="Column2506"/>
    <tableColumn id="2509" xr3:uid="{B689DBE5-BF0D-4643-B0BB-50B06E79327E}" name="Column2507"/>
    <tableColumn id="2510" xr3:uid="{8C60587E-9987-4A02-8ADE-0FDE74D911DB}" name="Column2508"/>
    <tableColumn id="2511" xr3:uid="{93365DA5-9178-4BA2-AD39-39F03520470F}" name="Column2509"/>
    <tableColumn id="2512" xr3:uid="{D54809BC-C45B-4F6C-8819-1DF091AFAAF0}" name="Column2510"/>
    <tableColumn id="2513" xr3:uid="{27164EE8-DD51-4564-B141-0DE6F5C8BFD5}" name="Column2511"/>
    <tableColumn id="2514" xr3:uid="{A437F4B6-4EB6-4667-A6BB-8D15CB3346E4}" name="Column2512"/>
    <tableColumn id="2515" xr3:uid="{3F73542B-4890-42C7-BA64-36668667AA46}" name="Column2513"/>
    <tableColumn id="2516" xr3:uid="{7780A543-C842-4993-91C8-3FD1EA6B54DA}" name="Column2514"/>
    <tableColumn id="2517" xr3:uid="{26D3D765-42FB-4972-A776-DE1F9C4C63CE}" name="Column2515"/>
    <tableColumn id="2518" xr3:uid="{DCA7BD9F-AB20-474A-9098-098A03F4DE91}" name="Column2516"/>
    <tableColumn id="2519" xr3:uid="{DAB76F94-639A-429A-A136-E82C4C80CA75}" name="Column2517"/>
    <tableColumn id="2520" xr3:uid="{AA285203-1C12-45F7-B968-364D9A258D45}" name="Column2518"/>
    <tableColumn id="2521" xr3:uid="{7ED1264F-E1ED-4282-8074-702CAAC67F9B}" name="Column2519"/>
    <tableColumn id="2522" xr3:uid="{56D9736B-6F81-42CC-9328-63AE1E60D627}" name="Column2520"/>
    <tableColumn id="2523" xr3:uid="{C62B2D37-A3EA-42C1-8E43-2E825F74B2D3}" name="Column2521"/>
    <tableColumn id="2524" xr3:uid="{79065E25-4D30-4B15-8BED-C361A0C7BC0C}" name="Column2522"/>
    <tableColumn id="2525" xr3:uid="{C2F9BE33-4ADD-4373-B811-E17887ABC953}" name="Column2523"/>
    <tableColumn id="2526" xr3:uid="{7ED1FD3B-04EA-416F-8BCF-827396DE4386}" name="Column2524"/>
    <tableColumn id="2527" xr3:uid="{656AB5EF-0FFF-44C9-AC84-0B5B20D6AEDD}" name="Column2525"/>
    <tableColumn id="2528" xr3:uid="{2E2172F0-2F5D-4D9B-BDC9-104B5A02ADA6}" name="Column2526"/>
    <tableColumn id="2529" xr3:uid="{77705D83-1909-48A5-861C-C581FBDF1DCE}" name="Column2527"/>
    <tableColumn id="2530" xr3:uid="{262A4085-E84D-49E8-A342-B62C2F7F5EC2}" name="Column2528"/>
    <tableColumn id="2531" xr3:uid="{8506A624-A27E-4039-AF65-41C67B12C4DC}" name="Column2529"/>
    <tableColumn id="2532" xr3:uid="{D1EB08B2-FB43-4F0B-B102-94F50B77ED59}" name="Column2530"/>
    <tableColumn id="2533" xr3:uid="{45FDCF32-648D-462C-9CAF-293E1D302CC3}" name="Column2531"/>
    <tableColumn id="2534" xr3:uid="{08BAFDC6-4399-4759-BE20-B1A88C87CC53}" name="Column2532"/>
    <tableColumn id="2535" xr3:uid="{72BC8DCC-21C2-42FC-87D0-7D3C5D590544}" name="Column2533"/>
    <tableColumn id="2536" xr3:uid="{0477ABF7-D051-4C88-80F0-4062878E37EE}" name="Column2534"/>
    <tableColumn id="2537" xr3:uid="{5081A4F3-9C2A-4FC9-8313-E37E7DFF8259}" name="Column2535"/>
    <tableColumn id="2538" xr3:uid="{D5820D58-C786-4BD4-A7F7-C9AA183AAE56}" name="Column2536"/>
    <tableColumn id="2539" xr3:uid="{272D048C-CC1B-4816-A2EE-B339EC86CB45}" name="Column2537"/>
    <tableColumn id="2540" xr3:uid="{706735BD-D311-41EC-B224-A64B6B2691B3}" name="Column2538"/>
    <tableColumn id="2541" xr3:uid="{B174EE33-A500-4C3A-8E54-D72D3EB68696}" name="Column2539"/>
    <tableColumn id="2542" xr3:uid="{6489F6F4-4528-49F5-9257-4166F72F0C16}" name="Column2540"/>
    <tableColumn id="2543" xr3:uid="{E42BC962-4EBF-4EDB-B1F0-9798F33D2C86}" name="Column2541"/>
    <tableColumn id="2544" xr3:uid="{EE2ED643-9FC9-4C20-AA52-72FE23740698}" name="Column2542"/>
    <tableColumn id="2545" xr3:uid="{AD9AFFCA-4831-4EEF-AB9F-D9A7A982BEA6}" name="Column2543"/>
    <tableColumn id="2546" xr3:uid="{60E0EE4A-5539-4B4C-966D-6AC4D09A4924}" name="Column2544"/>
    <tableColumn id="2547" xr3:uid="{EE3C3077-F06C-47C6-86E3-31836AD74747}" name="Column2545"/>
    <tableColumn id="2548" xr3:uid="{527EA9FB-2B9B-4411-B9F9-8055AEC2AF21}" name="Column2546"/>
    <tableColumn id="2549" xr3:uid="{D11F0272-26F8-45AD-B2CB-345C1FFCFC68}" name="Column2547"/>
    <tableColumn id="2550" xr3:uid="{D342D5BA-2230-4C2F-9D1E-8C41EFF17882}" name="Column2548"/>
    <tableColumn id="2551" xr3:uid="{E10BD194-E880-4EC8-9E11-5BF387EC4AE9}" name="Column2549"/>
    <tableColumn id="2552" xr3:uid="{DB513B6D-6C27-4D7E-9581-C212F59064EE}" name="Column2550"/>
    <tableColumn id="2553" xr3:uid="{17331EB3-9E6B-44C1-901C-4A4568ABA5DA}" name="Column2551"/>
    <tableColumn id="2554" xr3:uid="{03A0F095-4F61-4C2B-B521-9240F28A75F4}" name="Column2552"/>
    <tableColumn id="2555" xr3:uid="{52DB2174-42EC-406F-9E78-FAD2D536EC0B}" name="Column2553"/>
    <tableColumn id="2556" xr3:uid="{ACE2DE19-54CE-4CA4-BAB2-9257BFEF0CE6}" name="Column2554"/>
    <tableColumn id="2557" xr3:uid="{2A3D5CB4-A82A-4780-AC11-C356BC6E0DFC}" name="Column2555"/>
    <tableColumn id="2558" xr3:uid="{4198C6C1-9F56-4D9B-844E-10137F346761}" name="Column2556"/>
    <tableColumn id="2559" xr3:uid="{CE50AE06-563C-4EEE-84A4-AA93BEC93D1F}" name="Column2557"/>
    <tableColumn id="2560" xr3:uid="{F29B3D36-27EF-44E4-A310-1864CBFA2439}" name="Column2558"/>
    <tableColumn id="2561" xr3:uid="{9B99C12E-BF3C-4507-B973-5F65B7045879}" name="Column2559"/>
    <tableColumn id="2562" xr3:uid="{E793DCD8-0424-4F96-AE52-F2AB27CF3296}" name="Column2560"/>
    <tableColumn id="2563" xr3:uid="{D849496C-944F-4B07-A236-DEAF308FEEDE}" name="Column2561"/>
    <tableColumn id="2564" xr3:uid="{ABD7F916-26FA-4385-938B-416A38045E46}" name="Column2562"/>
    <tableColumn id="2565" xr3:uid="{FFAB5280-2462-4F6D-8CFB-E0E6BF88AB54}" name="Column2563"/>
    <tableColumn id="2566" xr3:uid="{AC65236A-1F89-4DD1-AE30-637ACB98B456}" name="Column2564"/>
    <tableColumn id="2567" xr3:uid="{EB4830B2-EF02-40DC-BFE6-D4AA7B13DC95}" name="Column2565"/>
    <tableColumn id="2568" xr3:uid="{130ABECA-85B6-4D06-97BF-E7AD9EB99517}" name="Column2566"/>
    <tableColumn id="2569" xr3:uid="{10CBF647-87C2-4A53-9D7F-DAC572009537}" name="Column2567"/>
    <tableColumn id="2570" xr3:uid="{A2A3D000-073F-43FE-801B-F8B752D94249}" name="Column2568"/>
    <tableColumn id="2571" xr3:uid="{00119972-B21D-4509-B93B-121EA6B71B2E}" name="Column2569"/>
    <tableColumn id="2572" xr3:uid="{5BD48336-6119-4987-9C2A-0C47C6047CDC}" name="Column2570"/>
    <tableColumn id="2573" xr3:uid="{68A74F32-3AC4-42CE-B61A-EA5B4A950BFE}" name="Column2571"/>
    <tableColumn id="2574" xr3:uid="{121401D5-E0F0-496F-B4A1-7F75EDA5397E}" name="Column2572"/>
    <tableColumn id="2575" xr3:uid="{1D09F955-4FF0-4F4A-8FEA-B71751B6AA1F}" name="Column2573"/>
    <tableColumn id="2576" xr3:uid="{F86F8AA7-67E8-486A-AFFF-324F6E688A73}" name="Column2574"/>
    <tableColumn id="2577" xr3:uid="{293B5913-EA58-4256-BB01-B4490AA76A07}" name="Column2575"/>
    <tableColumn id="2578" xr3:uid="{B7CD38E2-2941-4C38-9EB1-D285A1A7AE44}" name="Column2576"/>
    <tableColumn id="2579" xr3:uid="{36A9EF14-2046-4660-AC32-681FBFA35234}" name="Column2577"/>
    <tableColumn id="2580" xr3:uid="{E1167368-730E-4A0A-A4B0-F6D07E0EE8D3}" name="Column2578"/>
    <tableColumn id="2581" xr3:uid="{1E37CFF9-947D-422A-9EF8-066213FFFB78}" name="Column2579"/>
    <tableColumn id="2582" xr3:uid="{3C98DD7C-9727-42A6-8A8B-D9B5387E07F4}" name="Column2580"/>
    <tableColumn id="2583" xr3:uid="{63B6A1CF-D2EB-407B-992B-E46EFB67D2DF}" name="Column2581"/>
    <tableColumn id="2584" xr3:uid="{C4AD5D31-AE4D-428D-BC91-64DD4EBD31A4}" name="Column2582"/>
    <tableColumn id="2585" xr3:uid="{8312EAFB-B2AF-4FF4-91D1-846204395424}" name="Column2583"/>
    <tableColumn id="2586" xr3:uid="{F4AFE880-4966-4139-8BCB-94FAEE929633}" name="Column2584"/>
    <tableColumn id="2587" xr3:uid="{B0A44B62-352C-43FD-8418-2E6BB59A9CC6}" name="Column2585"/>
    <tableColumn id="2588" xr3:uid="{B5BA1389-DF23-421D-B759-56994C29E5DE}" name="Column2586"/>
    <tableColumn id="2589" xr3:uid="{F28D6497-CBDE-43BE-85C0-BCA18F5D551B}" name="Column2587"/>
    <tableColumn id="2590" xr3:uid="{8F303B8B-A096-4E3B-95A4-7B6D6E597283}" name="Column2588"/>
    <tableColumn id="2591" xr3:uid="{98B1417E-B5BC-4278-BF40-D71630A7E645}" name="Column2589"/>
    <tableColumn id="2592" xr3:uid="{A08BB93B-09B2-4D43-914B-B34929FA3C6E}" name="Column2590"/>
    <tableColumn id="2593" xr3:uid="{303F126C-A4FA-4F24-8B00-266CB1255502}" name="Column2591"/>
    <tableColumn id="2594" xr3:uid="{A182E6F8-1644-49E7-912F-97EBE042E7E6}" name="Column2592"/>
    <tableColumn id="2595" xr3:uid="{B95F6389-BCDB-4679-8BF8-BA5D3316712F}" name="Column2593"/>
    <tableColumn id="2596" xr3:uid="{03D86D83-B818-4AA8-994C-67B05D80B6D7}" name="Column2594"/>
    <tableColumn id="2597" xr3:uid="{1F68B665-A6F8-43E5-8BF1-3C45E1E0F508}" name="Column2595"/>
    <tableColumn id="2598" xr3:uid="{C43E5B42-975A-48D1-ABF4-1D245D32AB37}" name="Column2596"/>
    <tableColumn id="2599" xr3:uid="{A9291396-5C77-458C-83E7-6599BC07CCF4}" name="Column2597"/>
    <tableColumn id="2600" xr3:uid="{FDDB9C29-B51B-482F-BBAB-05FA7ED74120}" name="Column2598"/>
    <tableColumn id="2601" xr3:uid="{A51CDD3D-B494-4394-BC7A-3F6DBF81A495}" name="Column2599"/>
    <tableColumn id="2602" xr3:uid="{E3AED449-4320-4CF8-89E7-D40913782431}" name="Column2600"/>
    <tableColumn id="2603" xr3:uid="{7A4BD415-648B-42E2-9956-58810D3F392A}" name="Column2601"/>
    <tableColumn id="2604" xr3:uid="{2BCDC06F-B3D2-4957-A12D-26F92415D7AA}" name="Column2602"/>
    <tableColumn id="2605" xr3:uid="{E0848202-DAC7-4E0E-8CB6-CB7639349249}" name="Column2603"/>
    <tableColumn id="2606" xr3:uid="{A5FD23DB-261B-45DC-AD7D-1B47EC68BF22}" name="Column2604"/>
    <tableColumn id="2607" xr3:uid="{12BBEF7A-BF9E-4168-864C-301F0DEB60F0}" name="Column2605"/>
    <tableColumn id="2608" xr3:uid="{E77B625C-4FCB-4AB2-9F6E-C20866D230E0}" name="Column2606"/>
    <tableColumn id="2609" xr3:uid="{3C6A2F59-B589-47C0-A897-D5DE27F5080B}" name="Column2607"/>
    <tableColumn id="2610" xr3:uid="{7D32044C-DAED-4091-AAE5-87BF320AC9A4}" name="Column2608"/>
    <tableColumn id="2611" xr3:uid="{158D5A2F-A29C-4C7F-84A2-4779C702DAFA}" name="Column2609"/>
    <tableColumn id="2612" xr3:uid="{3C04C58D-D99D-4883-A0D2-FB92A06ED766}" name="Column2610"/>
    <tableColumn id="2613" xr3:uid="{4AD1082F-4259-4C3E-BEC3-DDA669B82D58}" name="Column2611"/>
    <tableColumn id="2614" xr3:uid="{44166A81-EFEA-4407-8CF0-DC557C2EE0BE}" name="Column2612"/>
    <tableColumn id="2615" xr3:uid="{418E9318-1DD2-4B36-B5AA-F284411E2D93}" name="Column2613"/>
    <tableColumn id="2616" xr3:uid="{EE9E7E7F-C597-4EF2-A8DC-0424A4BFB297}" name="Column2614"/>
    <tableColumn id="2617" xr3:uid="{4BF2578C-79C1-4AE1-BE85-FA49F1DB2305}" name="Column2615"/>
    <tableColumn id="2618" xr3:uid="{0330222F-C3F0-46FD-8BDA-440074B11111}" name="Column2616"/>
    <tableColumn id="2619" xr3:uid="{08C3516A-BF6C-4E1F-B43C-98C5AE63A448}" name="Column2617"/>
    <tableColumn id="2620" xr3:uid="{08BAB26A-F42B-4430-B638-DF3AC316ADD4}" name="Column2618"/>
    <tableColumn id="2621" xr3:uid="{A13816E5-D9BD-4460-A0B7-CD0F1D07665A}" name="Column2619"/>
    <tableColumn id="2622" xr3:uid="{1B99A7C1-3C28-406D-A2A9-FDC3D4183367}" name="Column2620"/>
    <tableColumn id="2623" xr3:uid="{00691C3A-1956-4BB1-A63D-EFE3FC3A34CE}" name="Column2621"/>
    <tableColumn id="2624" xr3:uid="{8799A91F-47CC-4C48-A2DB-648AECEBDD97}" name="Column2622"/>
    <tableColumn id="2625" xr3:uid="{BEADB687-E1B3-48E7-93C2-B95446168A6A}" name="Column2623"/>
    <tableColumn id="2626" xr3:uid="{FE234BA3-2439-4E3D-8EA7-FFCE56F08F64}" name="Column2624"/>
    <tableColumn id="2627" xr3:uid="{267E14CA-03E5-4C94-808D-78199F596112}" name="Column2625"/>
    <tableColumn id="2628" xr3:uid="{D65BB4DA-D672-437B-8D99-4E0D6DA8194E}" name="Column2626"/>
    <tableColumn id="2629" xr3:uid="{F4C55592-111B-43F1-856A-678AC046D46A}" name="Column2627"/>
    <tableColumn id="2630" xr3:uid="{56BD8004-3960-4CC7-BB01-9C5D859D18F5}" name="Column2628"/>
    <tableColumn id="2631" xr3:uid="{1767EA81-8067-4137-B797-0C4509B84BF7}" name="Column2629"/>
    <tableColumn id="2632" xr3:uid="{B350ED0D-0390-4C77-BAA8-40CDF4E6BF4A}" name="Column2630"/>
    <tableColumn id="2633" xr3:uid="{324F9CEC-353A-4AA7-BF27-F0F7E33D5983}" name="Column2631"/>
    <tableColumn id="2634" xr3:uid="{1C2A8966-CA8D-4D9E-A8A4-0C71D527C7FB}" name="Column2632"/>
    <tableColumn id="2635" xr3:uid="{3A6C44F1-D2BD-41B8-BE9B-0AF4EE0B487B}" name="Column2633"/>
    <tableColumn id="2636" xr3:uid="{50B4D726-C644-45E1-A0AB-F5FE4CD7A9A6}" name="Column2634"/>
    <tableColumn id="2637" xr3:uid="{E704AACF-1785-4FBC-B355-8788AF85E2D0}" name="Column2635"/>
    <tableColumn id="2638" xr3:uid="{5C4FCBB6-A184-4723-B765-6456A85DC1B3}" name="Column2636"/>
    <tableColumn id="2639" xr3:uid="{AEC168AE-3676-4881-A4B6-C6AC1CA2561D}" name="Column2637"/>
    <tableColumn id="2640" xr3:uid="{706365D9-3B68-4E10-A4B3-AA92BEA67383}" name="Column2638"/>
    <tableColumn id="2641" xr3:uid="{E9C7EA3B-B69D-411C-ADCA-F8D7B99035CB}" name="Column2639"/>
    <tableColumn id="2642" xr3:uid="{DBB6E87D-1D55-478E-877B-1A054DFDD3E2}" name="Column2640"/>
    <tableColumn id="2643" xr3:uid="{EFAB93BF-7F54-419D-B9B0-4F6111ECC2D3}" name="Column2641"/>
    <tableColumn id="2644" xr3:uid="{FA5E82A7-3B10-44D5-9E5C-864888D465DC}" name="Column2642"/>
    <tableColumn id="2645" xr3:uid="{778D6C6B-81E8-425E-A80A-0C62D5720524}" name="Column2643"/>
    <tableColumn id="2646" xr3:uid="{F96A3B3E-12BA-404D-AB65-87A26A10EC8D}" name="Column2644"/>
    <tableColumn id="2647" xr3:uid="{34073998-ABBC-47FF-9BB2-A46CAF3236C5}" name="Column2645"/>
    <tableColumn id="2648" xr3:uid="{99C084A4-C7A8-48AB-B851-7C2B1EF42ADF}" name="Column2646"/>
    <tableColumn id="2649" xr3:uid="{0088098B-8DA3-4277-A063-4D61EBA7808C}" name="Column2647"/>
    <tableColumn id="2650" xr3:uid="{1FD345EB-13E9-4C3E-ABC8-0AD077B0CFC8}" name="Column2648"/>
    <tableColumn id="2651" xr3:uid="{88F0F806-DF34-4F76-BE9E-3558C60BC293}" name="Column2649"/>
    <tableColumn id="2652" xr3:uid="{ABB64F60-D5A5-4D00-810B-AE4AEDFC2FC9}" name="Column2650"/>
    <tableColumn id="2653" xr3:uid="{AC2F6079-631C-49C7-98A4-62F723749EC9}" name="Column2651"/>
    <tableColumn id="2654" xr3:uid="{2FADA643-6A19-4905-8305-C5C06D37D2F4}" name="Column2652"/>
    <tableColumn id="2655" xr3:uid="{A6D7CDC1-1AEF-429F-A001-C1CD327C3C11}" name="Column2653"/>
    <tableColumn id="2656" xr3:uid="{718E7720-501B-417E-846A-B62DAC17F8A0}" name="Column2654"/>
    <tableColumn id="2657" xr3:uid="{7B068CAE-E485-4E4C-BEEF-3EB918111CA9}" name="Column2655"/>
    <tableColumn id="2658" xr3:uid="{45EBFA8A-4AD3-46FD-B234-F46276030428}" name="Column2656"/>
    <tableColumn id="2659" xr3:uid="{7A8817DC-CBDE-41F5-8941-B4BF88D42D1F}" name="Column2657"/>
    <tableColumn id="2660" xr3:uid="{0696EF11-C9F4-4784-84B4-5C2AC2575A0F}" name="Column2658"/>
    <tableColumn id="2661" xr3:uid="{CAF309A4-905A-49D8-A63C-7A11BA41303B}" name="Column2659"/>
    <tableColumn id="2662" xr3:uid="{6F9CF6F7-210F-4CB6-A9B9-D149AF2EEF1A}" name="Column2660"/>
    <tableColumn id="2663" xr3:uid="{3772340D-D6F7-4E24-AABA-6FB6FD4625FD}" name="Column2661"/>
    <tableColumn id="2664" xr3:uid="{9FB12B44-8666-4FA0-B56A-E9A3871BD537}" name="Column2662"/>
    <tableColumn id="2665" xr3:uid="{FFF252E0-17A4-4DF2-9B45-2D4885E31A41}" name="Column2663"/>
    <tableColumn id="2666" xr3:uid="{4B0C6F16-4FF1-4671-AF2B-30C21D609EDA}" name="Column2664"/>
    <tableColumn id="2667" xr3:uid="{1DF4A29C-B28B-471C-B459-45C22E814270}" name="Column2665"/>
    <tableColumn id="2668" xr3:uid="{B120AB1F-A57E-412C-AD82-CBE710C4F489}" name="Column2666"/>
    <tableColumn id="2669" xr3:uid="{B72ED7AB-1AE1-410A-B842-78450CB56279}" name="Column2667"/>
    <tableColumn id="2670" xr3:uid="{ADAC8011-FE3C-44B1-880C-D70CE7AE566D}" name="Column2668"/>
    <tableColumn id="2671" xr3:uid="{1FD82B83-C011-4FE4-8191-6274101E14C3}" name="Column2669"/>
    <tableColumn id="2672" xr3:uid="{A24A0AD4-A381-487E-84D5-0F15E7EBF431}" name="Column2670"/>
    <tableColumn id="2673" xr3:uid="{D1B8208E-B27D-4DB4-99F3-B7DD0AF6A216}" name="Column2671"/>
    <tableColumn id="2674" xr3:uid="{339800C8-65D7-4C65-B146-E17B5D6F7024}" name="Column2672"/>
    <tableColumn id="2675" xr3:uid="{515C26C0-D2CC-471A-840E-D03035351C55}" name="Column2673"/>
    <tableColumn id="2676" xr3:uid="{72597EB6-F658-4678-B0CB-47C4DDCA41B8}" name="Column2674"/>
    <tableColumn id="2677" xr3:uid="{75936F53-BF67-49AB-9262-613DD9CB66DC}" name="Column2675"/>
    <tableColumn id="2678" xr3:uid="{D7ACD9BE-1CCB-42C9-84A8-ED2FD87404AE}" name="Column2676"/>
    <tableColumn id="2679" xr3:uid="{DF9A3CE4-9E85-428C-9CE8-F5C99DC589AD}" name="Column2677"/>
    <tableColumn id="2680" xr3:uid="{98F44DEC-25CC-49EE-AB66-EDE6AB36B914}" name="Column2678"/>
    <tableColumn id="2681" xr3:uid="{C0E980F9-159B-4F85-93DE-0B486E6D5533}" name="Column2679"/>
    <tableColumn id="2682" xr3:uid="{995A3EBE-CD36-449B-A2FD-A9702A9EB0A2}" name="Column2680"/>
    <tableColumn id="2683" xr3:uid="{6C045A48-69BF-424C-8E39-76479767CA78}" name="Column2681"/>
    <tableColumn id="2684" xr3:uid="{696FAD65-0146-4C41-AC6D-9EADF7BEDD44}" name="Column2682"/>
    <tableColumn id="2685" xr3:uid="{50B688CD-13BD-425B-9387-1EBB7A8C9378}" name="Column2683"/>
    <tableColumn id="2686" xr3:uid="{D52E2BB4-F3E9-4F0E-A1F3-F9933805C7EB}" name="Column2684"/>
    <tableColumn id="2687" xr3:uid="{560664CE-B589-495E-BCE9-3999BC6793F4}" name="Column2685"/>
    <tableColumn id="2688" xr3:uid="{7D777C22-054D-4259-992E-042F00DE3049}" name="Column2686"/>
    <tableColumn id="2689" xr3:uid="{0BB6C962-7BB0-4AC5-A0A6-A0E77EE745E7}" name="Column2687"/>
    <tableColumn id="2690" xr3:uid="{59CECCCF-E058-4BD9-AB5C-D404B22F1913}" name="Column2688"/>
    <tableColumn id="2691" xr3:uid="{662812CB-2C44-483D-B22B-8113B27C7A4B}" name="Column2689"/>
    <tableColumn id="2692" xr3:uid="{DA235993-3570-4B38-BE24-CED90A7BC238}" name="Column2690"/>
    <tableColumn id="2693" xr3:uid="{BD421A35-FD83-44E2-8DD9-47290DD44890}" name="Column2691"/>
    <tableColumn id="2694" xr3:uid="{D54864C9-D7AC-4316-AC84-0200080DD4D1}" name="Column2692"/>
    <tableColumn id="2695" xr3:uid="{4BC6782F-1BBE-4A7A-9F58-0B659155544C}" name="Column2693"/>
    <tableColumn id="2696" xr3:uid="{BDC61BCA-452B-45FA-A335-29CD4BACED62}" name="Column2694"/>
    <tableColumn id="2697" xr3:uid="{A8B7EC2C-BF68-4DA1-B2D8-B3C22EE3DC59}" name="Column2695"/>
    <tableColumn id="2698" xr3:uid="{D4815117-69F0-4E78-BF95-9A4479971050}" name="Column2696"/>
    <tableColumn id="2699" xr3:uid="{8D7536E3-D945-4A67-BBD5-0B5909D00C00}" name="Column2697"/>
    <tableColumn id="2700" xr3:uid="{4DFEA103-FCCB-497D-B630-88253C6CED43}" name="Column2698"/>
    <tableColumn id="2701" xr3:uid="{8BA09CD7-C51C-41B2-945E-0A4F7222EC50}" name="Column2699"/>
    <tableColumn id="2702" xr3:uid="{48323B53-290E-4EC2-838B-2F7C25D267AA}" name="Column2700"/>
    <tableColumn id="2703" xr3:uid="{BEC31BDE-6145-4CA5-97BE-ADAB850BDE63}" name="Column2701"/>
    <tableColumn id="2704" xr3:uid="{5F680D0F-D879-475D-9585-5ACF011B5840}" name="Column2702"/>
    <tableColumn id="2705" xr3:uid="{50FAB29E-9ABE-4132-A9F2-3CAEE9A56F1C}" name="Column2703"/>
    <tableColumn id="2706" xr3:uid="{E80966B1-733A-45B7-AD63-21BB11278433}" name="Column2704"/>
    <tableColumn id="2707" xr3:uid="{C08524BB-B933-4D1B-A3E6-8D5A660C602E}" name="Column2705"/>
    <tableColumn id="2708" xr3:uid="{6243C05F-940D-4EAD-A252-44F95C8CF13B}" name="Column2706"/>
    <tableColumn id="2709" xr3:uid="{49A1539F-A294-46A9-A691-D27D432D0295}" name="Column2707"/>
    <tableColumn id="2710" xr3:uid="{2357325D-B327-42E2-96FC-DEA358495263}" name="Column2708"/>
    <tableColumn id="2711" xr3:uid="{E79D59BC-D17D-48A9-B3C1-3C36116EBDCA}" name="Column2709"/>
    <tableColumn id="2712" xr3:uid="{023165B3-61DF-4DDE-A26D-5E8D489A5D9C}" name="Column2710"/>
    <tableColumn id="2713" xr3:uid="{3F75D4FF-5495-4D94-8292-18BCF5094E0B}" name="Column2711"/>
    <tableColumn id="2714" xr3:uid="{C37C0CAF-703C-4660-81BB-864AC295CE93}" name="Column2712"/>
    <tableColumn id="2715" xr3:uid="{04A26D70-58BB-4704-A931-6D4C4CDBB22C}" name="Column2713"/>
    <tableColumn id="2716" xr3:uid="{B257CE9A-D219-4C82-B626-5354E6CF3830}" name="Column2714"/>
    <tableColumn id="2717" xr3:uid="{A419F472-9E6E-47AE-839C-C261A1B22710}" name="Column2715"/>
    <tableColumn id="2718" xr3:uid="{A3680FDF-C723-4AE8-B1D2-9A31B2C777DF}" name="Column2716"/>
    <tableColumn id="2719" xr3:uid="{869B0137-37BA-45F3-ADEF-15857E3F1C03}" name="Column2717"/>
    <tableColumn id="2720" xr3:uid="{6745D4A5-E1EA-449B-8D7F-36155B8EBD6D}" name="Column2718"/>
    <tableColumn id="2721" xr3:uid="{6609AD01-C32B-4AFB-8BE7-6B8336AA66C1}" name="Column2719"/>
    <tableColumn id="2722" xr3:uid="{05D462E6-BE32-429A-8F3D-D46F8136AF32}" name="Column2720"/>
    <tableColumn id="2723" xr3:uid="{9ACB6DC3-037C-46C8-BD69-D2AF94739B20}" name="Column2721"/>
    <tableColumn id="2724" xr3:uid="{2BAC4381-5C52-4B88-81DF-D443AF9887B7}" name="Column2722"/>
    <tableColumn id="2725" xr3:uid="{678AEB8E-3BB2-4797-8DF5-2614D6F9B23B}" name="Column2723"/>
    <tableColumn id="2726" xr3:uid="{4EE67547-3C43-4D59-AB9A-C7E9AC355E59}" name="Column2724"/>
    <tableColumn id="2727" xr3:uid="{5F02502F-F0DD-4D87-B697-76967F53764E}" name="Column2725"/>
    <tableColumn id="2728" xr3:uid="{291123F9-AC3B-4812-8BBF-E9B1BFABA1F7}" name="Column2726"/>
    <tableColumn id="2729" xr3:uid="{22C7E1CA-BE44-4C7B-8ABE-92D025BBB087}" name="Column2727"/>
    <tableColumn id="2730" xr3:uid="{0C1C3525-35C9-44E3-AD93-76A21C77F811}" name="Column2728"/>
    <tableColumn id="2731" xr3:uid="{16EFC524-7772-4AD6-BB28-BB999083556C}" name="Column2729"/>
    <tableColumn id="2732" xr3:uid="{A9EB753F-DEBA-4232-AE73-889E3906EA91}" name="Column2730"/>
    <tableColumn id="2733" xr3:uid="{A9BEE181-6D9E-44EC-A9CE-51D8E9504C5B}" name="Column2731"/>
    <tableColumn id="2734" xr3:uid="{BEC503DD-B4AB-451C-892B-3FBA8715871F}" name="Column2732"/>
    <tableColumn id="2735" xr3:uid="{E4652890-80F2-4C10-9791-C15B87F9097B}" name="Column2733"/>
    <tableColumn id="2736" xr3:uid="{79A834F7-0254-4EF0-AB28-B59949381B5B}" name="Column2734"/>
    <tableColumn id="2737" xr3:uid="{228F3211-C83A-41A3-9B95-4B72135EDCA1}" name="Column2735"/>
    <tableColumn id="2738" xr3:uid="{8249F720-CDE8-4B1A-B897-9E6CC77117AA}" name="Column2736"/>
    <tableColumn id="2739" xr3:uid="{F8FF6707-4F82-4DF8-A09F-E987BA76D81D}" name="Column2737"/>
    <tableColumn id="2740" xr3:uid="{9287C1B0-7095-48AE-A8E0-05887F12B132}" name="Column2738"/>
    <tableColumn id="2741" xr3:uid="{2D124F45-AF4F-4E6F-90B8-75006B934E6C}" name="Column2739"/>
    <tableColumn id="2742" xr3:uid="{5444A545-5E8B-42AC-A9BD-B1943BD39629}" name="Column2740"/>
    <tableColumn id="2743" xr3:uid="{2C5E7BB4-ACBF-4EEF-ABEA-3B2ACDDA8A35}" name="Column2741"/>
    <tableColumn id="2744" xr3:uid="{31FE80DD-AF5F-4B28-8180-4F9026FF3E8D}" name="Column2742"/>
    <tableColumn id="2745" xr3:uid="{F5787F17-D141-415A-8135-477D25A9A5FB}" name="Column2743"/>
    <tableColumn id="2746" xr3:uid="{C633D15C-62F5-4A88-87E7-57E6B76895F5}" name="Column2744"/>
    <tableColumn id="2747" xr3:uid="{91F2B7B0-E719-4063-846D-96728296D603}" name="Column2745"/>
    <tableColumn id="2748" xr3:uid="{13A7F2AD-54F4-4C90-BF98-7D6799078E13}" name="Column2746"/>
    <tableColumn id="2749" xr3:uid="{51C38BFD-FBB4-4487-B57D-67506991F0AB}" name="Column2747"/>
    <tableColumn id="2750" xr3:uid="{399F7A91-0D9C-43F8-8010-E8447736E8C1}" name="Column2748"/>
    <tableColumn id="2751" xr3:uid="{5A651FA6-AC1F-4952-9D05-3EA7F2F3DD46}" name="Column2749"/>
    <tableColumn id="2752" xr3:uid="{8B7BCBFD-8439-4194-8DB9-1F725A8F1F25}" name="Column2750"/>
    <tableColumn id="2753" xr3:uid="{ED759868-AC0A-42B6-92AC-51EEFFC54F4D}" name="Column2751"/>
    <tableColumn id="2754" xr3:uid="{BF1493CF-49B5-426D-A88D-91E9568B23CF}" name="Column2752"/>
    <tableColumn id="2755" xr3:uid="{40BB5A99-412B-40D7-916A-E5E6F2FC7347}" name="Column2753"/>
    <tableColumn id="2756" xr3:uid="{D3D1B032-C4A4-4234-876A-3C140290F460}" name="Column2754"/>
    <tableColumn id="2757" xr3:uid="{8B70A462-A47A-4C3C-86BE-8104BBDC47D0}" name="Column2755"/>
    <tableColumn id="2758" xr3:uid="{6EAB1C0F-69B8-4D01-898C-53D4C22EAB65}" name="Column2756"/>
    <tableColumn id="2759" xr3:uid="{18E54E73-E68F-4055-808D-53D6BC803C8D}" name="Column2757"/>
    <tableColumn id="2760" xr3:uid="{41559DE0-D776-4957-8570-866204F7D4E5}" name="Column2758"/>
    <tableColumn id="2761" xr3:uid="{96EB3994-584B-4E57-920A-281ABB03CF95}" name="Column2759"/>
    <tableColumn id="2762" xr3:uid="{8387071D-AB3B-4BA1-9753-8637421EFD0E}" name="Column2760"/>
    <tableColumn id="2763" xr3:uid="{99DF04C3-7ACD-4DD1-BBEC-C2432E032B78}" name="Column2761"/>
    <tableColumn id="2764" xr3:uid="{C9A46D56-69F2-4B25-9DFA-634C02AC4456}" name="Column2762"/>
    <tableColumn id="2765" xr3:uid="{602903DB-AB10-4FBC-B2BC-17E10C682761}" name="Column2763"/>
    <tableColumn id="2766" xr3:uid="{448979E9-6B56-4AA2-9075-528562142D97}" name="Column2764"/>
    <tableColumn id="2767" xr3:uid="{FF2722CC-6D01-4D1F-9A7E-96A341766646}" name="Column2765"/>
    <tableColumn id="2768" xr3:uid="{89F61C74-D8E5-46E0-A1A6-2809DF932487}" name="Column2766"/>
    <tableColumn id="2769" xr3:uid="{7056E473-42EE-4F08-9C36-A9F7F12089AA}" name="Column2767"/>
    <tableColumn id="2770" xr3:uid="{47A97859-0360-48B4-9347-B306E4A06CE2}" name="Column2768"/>
    <tableColumn id="2771" xr3:uid="{85823201-9A27-4953-B46D-610A456F9EC0}" name="Column2769"/>
    <tableColumn id="2772" xr3:uid="{4ADFB3DA-3BFB-4793-BDC1-9DF276A9422E}" name="Column2770"/>
    <tableColumn id="2773" xr3:uid="{15E36809-E474-48A1-9A23-C1A51A071734}" name="Column2771"/>
    <tableColumn id="2774" xr3:uid="{EACBB10B-5FC5-41D7-81CB-5C7E768FF863}" name="Column2772"/>
    <tableColumn id="2775" xr3:uid="{A106E247-976A-46E0-9DE9-7C6186263EFD}" name="Column2773"/>
    <tableColumn id="2776" xr3:uid="{2712248B-EDDB-437F-AEC6-95ADB713C95F}" name="Column2774"/>
    <tableColumn id="2777" xr3:uid="{76E40E10-CA1D-4B57-BADD-6A8BF4141A02}" name="Column2775"/>
    <tableColumn id="2778" xr3:uid="{6C7CA7B3-85EE-490F-93B1-5604B95B8F4B}" name="Column2776"/>
    <tableColumn id="2779" xr3:uid="{66809DA2-B704-4B13-B411-A6FC27D2AFFD}" name="Column2777"/>
    <tableColumn id="2780" xr3:uid="{5971D7BE-3A22-48F1-BB97-B410E11E6525}" name="Column2778"/>
    <tableColumn id="2781" xr3:uid="{31AD01C8-9DB0-416C-9094-EE9EAD45941E}" name="Column2779"/>
    <tableColumn id="2782" xr3:uid="{438DD236-EFFC-4A5D-8FCA-4300781DA75B}" name="Column2780"/>
    <tableColumn id="2783" xr3:uid="{BF8FDE50-CA06-45FD-BAA4-321A00647F3D}" name="Column2781"/>
    <tableColumn id="2784" xr3:uid="{C87216FB-5E92-41CC-85EF-D9393C9AC6EE}" name="Column2782"/>
    <tableColumn id="2785" xr3:uid="{9E65AE0C-D696-41F8-AB4F-279A87BEA87B}" name="Column2783"/>
    <tableColumn id="2786" xr3:uid="{889CC885-C369-47E8-B5B4-BF813F74160D}" name="Column2784"/>
    <tableColumn id="2787" xr3:uid="{4D05688C-4ADB-4850-9FF9-758ADEF68434}" name="Column2785"/>
    <tableColumn id="2788" xr3:uid="{D30AFB10-87AA-4FB7-AC36-1E0046CBDD34}" name="Column2786"/>
    <tableColumn id="2789" xr3:uid="{EA240E5F-DA3B-439A-923E-0AC869B82CC1}" name="Column2787"/>
    <tableColumn id="2790" xr3:uid="{3F9F6F14-D833-4A2B-B58A-0B085B4C105F}" name="Column2788"/>
    <tableColumn id="2791" xr3:uid="{A9684F69-D0EF-45D9-BBD2-3B5837605B4D}" name="Column2789"/>
    <tableColumn id="2792" xr3:uid="{D49D6B07-F1C6-4A7A-8668-6B1DD105E46A}" name="Column2790"/>
    <tableColumn id="2793" xr3:uid="{A7975034-7156-464C-81B7-828F31C21486}" name="Column2791"/>
    <tableColumn id="2794" xr3:uid="{ADF331F0-904A-45FB-8E61-84D6979F4166}" name="Column2792"/>
    <tableColumn id="2795" xr3:uid="{728A24D7-8BB6-4181-BE2A-7A38E6390244}" name="Column2793"/>
    <tableColumn id="2796" xr3:uid="{AADA4673-7AFC-441D-9344-491C4F2FBEFC}" name="Column2794"/>
    <tableColumn id="2797" xr3:uid="{6C2505D8-771E-4E25-87EF-F73FE6F5670D}" name="Column2795"/>
    <tableColumn id="2798" xr3:uid="{D4FA90F1-7C1A-4495-8072-6F45CE5D7CED}" name="Column2796"/>
    <tableColumn id="2799" xr3:uid="{B6CBFB86-CBD3-4750-A0A9-86A462B8201F}" name="Column2797"/>
    <tableColumn id="2800" xr3:uid="{80F20244-E418-4DF6-B4ED-565F1FA71163}" name="Column2798"/>
    <tableColumn id="2801" xr3:uid="{E7418CCB-698C-42C4-A954-EFD6F88BC422}" name="Column2799"/>
    <tableColumn id="2802" xr3:uid="{E1125D3F-F4BE-4F94-B300-7F18865A0E48}" name="Column2800"/>
    <tableColumn id="2803" xr3:uid="{3D6FD17B-2FA0-4FC4-A652-CBF2F60AF971}" name="Column2801"/>
    <tableColumn id="2804" xr3:uid="{7E9B7CFD-BA45-42E2-8FB2-26081F3BD17C}" name="Column2802"/>
    <tableColumn id="2805" xr3:uid="{6FE9C05A-3303-4400-A997-1B998C2623F7}" name="Column2803"/>
    <tableColumn id="2806" xr3:uid="{E0114AB4-65A5-4E88-B4E6-66187F47E2A3}" name="Column2804"/>
    <tableColumn id="2807" xr3:uid="{FBCF6280-DF7E-4C89-A5F7-7715232C7D19}" name="Column2805"/>
    <tableColumn id="2808" xr3:uid="{E1ACFBFA-46A0-4364-859F-4AC61D69630A}" name="Column2806"/>
    <tableColumn id="2809" xr3:uid="{3091A9A6-4C7B-4F5C-8F29-F243522F26E1}" name="Column2807"/>
    <tableColumn id="2810" xr3:uid="{FB0959C2-FC93-4B73-922C-AC0B8A7A6D7A}" name="Column2808"/>
    <tableColumn id="2811" xr3:uid="{34C47357-719E-4938-9118-3F5D11BB038B}" name="Column2809"/>
    <tableColumn id="2812" xr3:uid="{CA7ED487-4E8C-4D13-837A-E16000838FBA}" name="Column2810"/>
    <tableColumn id="2813" xr3:uid="{0DD9FFB1-C841-4731-8284-520A1C1B8491}" name="Column2811"/>
    <tableColumn id="2814" xr3:uid="{4D0D2D07-E511-498D-B5F3-6A6B5EA5A753}" name="Column2812"/>
    <tableColumn id="2815" xr3:uid="{70B5FBD1-318D-4F2F-A066-DB8ED7569E6E}" name="Column2813"/>
    <tableColumn id="2816" xr3:uid="{2D7BB89C-27F2-480B-BB6C-F22D70EDF3DE}" name="Column2814"/>
    <tableColumn id="2817" xr3:uid="{14054CE5-C157-4B8C-B673-B7FB685BE671}" name="Column2815"/>
    <tableColumn id="2818" xr3:uid="{1955CB58-FBF4-4701-BE27-6874B1C1B7FE}" name="Column2816"/>
    <tableColumn id="2819" xr3:uid="{8321C7B0-3599-4545-ADE2-65134DEE9C33}" name="Column2817"/>
    <tableColumn id="2820" xr3:uid="{98CE797A-6C96-4A4D-9545-292769B5B317}" name="Column2818"/>
    <tableColumn id="2821" xr3:uid="{EA9CFDB7-E832-4764-A319-FA6CDEF5E4D9}" name="Column2819"/>
    <tableColumn id="2822" xr3:uid="{1996FFD0-2FF6-4E97-ADE9-AAB8C6D93268}" name="Column2820"/>
    <tableColumn id="2823" xr3:uid="{A23125EF-1057-425F-BFBB-93DF8E0FFB45}" name="Column2821"/>
    <tableColumn id="2824" xr3:uid="{3EBE42AE-476F-4B8B-91B7-9E4D70A12E66}" name="Column2822"/>
    <tableColumn id="2825" xr3:uid="{E582D686-1B50-4EE0-8454-6A8A8611E4C0}" name="Column2823"/>
    <tableColumn id="2826" xr3:uid="{52243E2F-0554-4FB3-86F8-52059997515F}" name="Column2824"/>
    <tableColumn id="2827" xr3:uid="{0F8FD7F6-BFF4-41D4-844B-52C5E3B8F54E}" name="Column2825"/>
    <tableColumn id="2828" xr3:uid="{AB8FC99C-14A5-468D-B99E-8E65116388CB}" name="Column2826"/>
    <tableColumn id="2829" xr3:uid="{60BD922F-AA11-424E-A90B-5428EC530A36}" name="Column2827"/>
    <tableColumn id="2830" xr3:uid="{BBE07BA9-92BD-41D5-9A39-0C40DC0E2991}" name="Column2828"/>
    <tableColumn id="2831" xr3:uid="{905D6A69-EC58-48E6-A3C1-3C9091426F60}" name="Column2829"/>
    <tableColumn id="2832" xr3:uid="{49094680-6988-4227-80C6-6A9E03B8EFD4}" name="Column2830"/>
    <tableColumn id="2833" xr3:uid="{7084DC76-64DE-49A6-AB2B-147B56E4E971}" name="Column2831"/>
    <tableColumn id="2834" xr3:uid="{936EF982-C838-466C-8290-59662173D704}" name="Column2832"/>
    <tableColumn id="2835" xr3:uid="{66B63E7D-8C31-406C-8BC0-A462BE33FC90}" name="Column2833"/>
    <tableColumn id="2836" xr3:uid="{7F233552-751C-4954-B9E5-4D866DFF67DA}" name="Column2834"/>
    <tableColumn id="2837" xr3:uid="{25A55F24-8D07-4E33-9D6F-96296E64D8C1}" name="Column2835"/>
    <tableColumn id="2838" xr3:uid="{3035610A-F494-4399-8BEC-8BB1C5A634AB}" name="Column2836"/>
    <tableColumn id="2839" xr3:uid="{CA113C61-E681-4A65-8740-E0E59D24A675}" name="Column2837"/>
    <tableColumn id="2840" xr3:uid="{06E84929-C37A-42BE-8FDF-57E0A33D47BE}" name="Column2838"/>
    <tableColumn id="2841" xr3:uid="{40ED17BA-60C8-471F-9B85-848F0F2E1255}" name="Column2839"/>
    <tableColumn id="2842" xr3:uid="{B8D15131-0704-41EA-B718-86AE046659D9}" name="Column2840"/>
    <tableColumn id="2843" xr3:uid="{B5C77111-7C62-4394-A218-8E980CF5EAC7}" name="Column2841"/>
    <tableColumn id="2844" xr3:uid="{CB304FCF-056A-4100-9CBA-3BA2753C1496}" name="Column2842"/>
    <tableColumn id="2845" xr3:uid="{AB5FE4F7-D41E-4897-962A-4BD4C6EC98F6}" name="Column2843"/>
    <tableColumn id="2846" xr3:uid="{50CB056D-2503-4504-9107-D7D75213FD82}" name="Column2844"/>
    <tableColumn id="2847" xr3:uid="{AA623B66-B1A2-48DF-A941-FEA13B102881}" name="Column2845"/>
    <tableColumn id="2848" xr3:uid="{6E6A7FEE-551B-48E6-9446-C19E4AC6DF1D}" name="Column2846"/>
    <tableColumn id="2849" xr3:uid="{00964835-07B4-43DC-8778-70E159DB98F0}" name="Column2847"/>
    <tableColumn id="2850" xr3:uid="{831F4E8F-83BF-4723-9518-8F75C20D98C9}" name="Column2848"/>
    <tableColumn id="2851" xr3:uid="{598F38E4-207E-49B3-BFAA-68D4A89591B1}" name="Column2849"/>
    <tableColumn id="2852" xr3:uid="{D25E2254-62B6-427B-B615-37A5B188729E}" name="Column2850"/>
    <tableColumn id="2853" xr3:uid="{782A7A87-34FE-4C4F-BF25-447711C8E72E}" name="Column2851"/>
    <tableColumn id="2854" xr3:uid="{148C9F58-0D7B-4E62-8798-F59294E52ED9}" name="Column2852"/>
    <tableColumn id="2855" xr3:uid="{E7814EFB-D8DD-42CD-973F-1829EB79E0CE}" name="Column2853"/>
    <tableColumn id="2856" xr3:uid="{36885CEA-F925-465A-897D-0E2E71B893C2}" name="Column2854"/>
    <tableColumn id="2857" xr3:uid="{E00D53F1-424F-4D97-874D-7F67C6B547A7}" name="Column2855"/>
    <tableColumn id="2858" xr3:uid="{4A267D6B-6B44-4FCE-8F77-5FC44E235D7C}" name="Column2856"/>
    <tableColumn id="2859" xr3:uid="{74652D36-7E85-4EDC-9C7E-B9B3FEA1F4EC}" name="Column2857"/>
    <tableColumn id="2860" xr3:uid="{B064D5CF-BEB8-4228-802D-F448F6EBBECA}" name="Column2858"/>
    <tableColumn id="2861" xr3:uid="{1F39D56B-2BF3-4707-B2EA-92FD4204E6FA}" name="Column2859"/>
    <tableColumn id="2862" xr3:uid="{6600F3E7-3CB2-4FAA-8559-F85A5C100111}" name="Column2860"/>
    <tableColumn id="2863" xr3:uid="{4C01ED68-6F57-4F04-8437-221967539FEF}" name="Column2861"/>
    <tableColumn id="2864" xr3:uid="{1DC3CDA8-4BF8-4457-915A-DCC99CC25F51}" name="Column2862"/>
    <tableColumn id="2865" xr3:uid="{9D217A7A-A1A4-4734-ACB0-623193A712E9}" name="Column2863"/>
    <tableColumn id="2866" xr3:uid="{0656629C-B808-433A-8F5B-0385DA776410}" name="Column2864"/>
    <tableColumn id="2867" xr3:uid="{08893880-DCB4-4212-8214-600CB5E65D17}" name="Column2865"/>
    <tableColumn id="2868" xr3:uid="{7614AAEC-FEC8-45D0-B592-CA5034D248A0}" name="Column2866"/>
    <tableColumn id="2869" xr3:uid="{C9C49F30-9179-4EC3-9D3D-FB24CFF12B24}" name="Column2867"/>
    <tableColumn id="2870" xr3:uid="{4881375C-8071-414F-BFE9-76F2D67DF52C}" name="Column2868"/>
    <tableColumn id="2871" xr3:uid="{58F0ABDC-F4A5-4F63-8340-E9F8F84932BF}" name="Column2869"/>
    <tableColumn id="2872" xr3:uid="{E7FFE38A-D969-40FF-BD33-DB1FED577E30}" name="Column2870"/>
    <tableColumn id="2873" xr3:uid="{F1F982CE-453F-4BD8-9F6E-3D9D4EDBF989}" name="Column2871"/>
    <tableColumn id="2874" xr3:uid="{BC957FEF-45C5-47A9-8F54-F4439FC8685A}" name="Column2872"/>
    <tableColumn id="2875" xr3:uid="{5F909BC3-CB28-4232-B188-236E55C900B3}" name="Column2873"/>
    <tableColumn id="2876" xr3:uid="{8571A26B-9F88-462E-9188-C733FF739221}" name="Column2874"/>
    <tableColumn id="2877" xr3:uid="{7B35DC41-726A-4C79-B55F-56584873AA20}" name="Column2875"/>
    <tableColumn id="2878" xr3:uid="{79499CB6-4805-458A-BC17-1F6349B1B0A4}" name="Column2876"/>
    <tableColumn id="2879" xr3:uid="{CA2FE836-83F4-4139-A4A8-119016699924}" name="Column2877"/>
    <tableColumn id="2880" xr3:uid="{DC1191A5-B4BC-490B-B934-7B8A4F467C1D}" name="Column2878"/>
    <tableColumn id="2881" xr3:uid="{BA8A2153-273D-44F0-AE24-2F979341DBEC}" name="Column2879"/>
    <tableColumn id="2882" xr3:uid="{09033994-74A7-4BF3-BC90-BC83D88F40FA}" name="Column2880"/>
    <tableColumn id="2883" xr3:uid="{72CC2F4B-592E-484F-BCBF-CFC120D9F175}" name="Column2881"/>
    <tableColumn id="2884" xr3:uid="{4D33300A-25A9-413C-8AA7-7415B8957321}" name="Column2882"/>
    <tableColumn id="2885" xr3:uid="{ADFC0299-FBFC-42C7-98BD-F9158B70F025}" name="Column2883"/>
    <tableColumn id="2886" xr3:uid="{8960220B-962B-4617-9FEB-163421981974}" name="Column2884"/>
    <tableColumn id="2887" xr3:uid="{0AF871E6-5110-4091-B069-79B4A066678A}" name="Column2885"/>
    <tableColumn id="2888" xr3:uid="{3EFBD2DD-EC04-4028-BEC6-28E2E0D18C08}" name="Column2886"/>
    <tableColumn id="2889" xr3:uid="{BD00B44C-A379-40FE-BBF2-A04132FDC04F}" name="Column2887"/>
    <tableColumn id="2890" xr3:uid="{ECC36204-2519-45F0-A6F1-68D65960FAE2}" name="Column2888"/>
    <tableColumn id="2891" xr3:uid="{E6EC4BD1-7B24-4BC8-A8F0-6D053CF38760}" name="Column2889"/>
    <tableColumn id="2892" xr3:uid="{54D42E89-7EF6-43EB-825B-1D9D5221ED04}" name="Column2890"/>
    <tableColumn id="2893" xr3:uid="{6AFDDB8D-23D0-4D28-BE5B-0951F329C3E3}" name="Column2891"/>
    <tableColumn id="2894" xr3:uid="{4E412B45-D61C-443E-BD22-960587ACC675}" name="Column2892"/>
    <tableColumn id="2895" xr3:uid="{622D2883-2890-4B91-8082-B5066345031F}" name="Column2893"/>
    <tableColumn id="2896" xr3:uid="{FA9F7D01-AB99-479E-B10B-63279C1B85D2}" name="Column2894"/>
    <tableColumn id="2897" xr3:uid="{4432B665-097D-45E5-9400-F94062C97B0D}" name="Column2895"/>
    <tableColumn id="2898" xr3:uid="{AE5288F8-AAF2-4C4B-85BC-FEEA17E6E52F}" name="Column2896"/>
    <tableColumn id="2899" xr3:uid="{66EE56D9-98D3-4489-94AD-9CA8A55249F6}" name="Column2897"/>
    <tableColumn id="2900" xr3:uid="{B4C39786-79F5-483F-9697-49C830C47829}" name="Column2898"/>
    <tableColumn id="2901" xr3:uid="{779AB8FE-0F40-42D2-A031-B2561E136557}" name="Column2899"/>
    <tableColumn id="2902" xr3:uid="{5C4C2126-4F83-44B7-9C31-2BD082AF865D}" name="Column2900"/>
    <tableColumn id="2903" xr3:uid="{48D81288-4F66-4DB6-8CFD-039F4B5942F3}" name="Column2901"/>
    <tableColumn id="2904" xr3:uid="{F732CBDD-4EDD-4195-B56F-0036B0B931CC}" name="Column2902"/>
    <tableColumn id="2905" xr3:uid="{4AA9FE22-6B11-4ED1-BD3A-0DA7F3436E79}" name="Column2903"/>
    <tableColumn id="2906" xr3:uid="{CCC7CB64-E62F-4EEC-A7A0-6E203A17B653}" name="Column2904"/>
    <tableColumn id="2907" xr3:uid="{F9B52224-ACC8-4D97-B799-B8755EF8EA9A}" name="Column2905"/>
    <tableColumn id="2908" xr3:uid="{AFF88CF4-C17F-40E5-A918-B2FD147ADBC9}" name="Column2906"/>
    <tableColumn id="2909" xr3:uid="{586A22BF-B3DD-4895-8AAB-D9027EC64E58}" name="Column2907"/>
    <tableColumn id="2910" xr3:uid="{14249B32-1E26-4BD3-8430-AD85FE19F60D}" name="Column2908"/>
    <tableColumn id="2911" xr3:uid="{F845CF1C-6D61-4B63-841F-8B3D8C939B65}" name="Column2909"/>
    <tableColumn id="2912" xr3:uid="{BE9228E7-B869-4F11-9DEF-2A8158FDC753}" name="Column2910"/>
    <tableColumn id="2913" xr3:uid="{71C877E1-FA73-4BB8-8F5A-521D9A6CC985}" name="Column2911"/>
    <tableColumn id="2914" xr3:uid="{496B5DF8-3C88-4091-9D0A-7BCB44B38C08}" name="Column2912"/>
    <tableColumn id="2915" xr3:uid="{8A45E104-11DB-4D52-A833-D62E5A8D7F5F}" name="Column2913"/>
    <tableColumn id="2916" xr3:uid="{77FAF1A6-490B-4286-96C4-F35067717F9E}" name="Column2914"/>
    <tableColumn id="2917" xr3:uid="{AB21E3B9-2CB1-4F72-8DD3-EE1B6221667C}" name="Column2915"/>
    <tableColumn id="2918" xr3:uid="{8A52B9FC-88A0-464F-961C-CA81CF952AA7}" name="Column2916"/>
    <tableColumn id="2919" xr3:uid="{06AF8D5C-952E-402D-BA56-C3E476A73FC5}" name="Column2917"/>
    <tableColumn id="2920" xr3:uid="{44CF5E48-D105-4001-BF47-2033586B468A}" name="Column2918"/>
    <tableColumn id="2921" xr3:uid="{CC90464A-6FA9-4AC0-9162-B84109127691}" name="Column2919"/>
    <tableColumn id="2922" xr3:uid="{6DD05568-C038-46D4-9C21-406E232AABE3}" name="Column2920"/>
    <tableColumn id="2923" xr3:uid="{9E005DE6-EF6F-4986-BC2F-9791525B21F2}" name="Column2921"/>
    <tableColumn id="2924" xr3:uid="{D944328C-E7A5-42BB-80F5-79E6A8BA573F}" name="Column2922"/>
    <tableColumn id="2925" xr3:uid="{431E0590-FF60-435C-8BFE-F98A412A580B}" name="Column2923"/>
    <tableColumn id="2926" xr3:uid="{52D34487-7169-4DF1-AF50-1665C9676E68}" name="Column2924"/>
    <tableColumn id="2927" xr3:uid="{EE404C8E-69C0-4875-AA83-88866AE04609}" name="Column2925"/>
    <tableColumn id="2928" xr3:uid="{AE53FACD-3EBC-4F4F-95B6-A7145ED9AB10}" name="Column2926"/>
    <tableColumn id="2929" xr3:uid="{2744F276-B2E0-4EF3-95A0-1422FCE6101C}" name="Column2927"/>
    <tableColumn id="2930" xr3:uid="{8598DE0D-21BE-4DE0-93F9-AB5AA7E4709C}" name="Column2928"/>
    <tableColumn id="2931" xr3:uid="{533C41F8-646E-4E38-8812-066D953D6F3A}" name="Column2929"/>
    <tableColumn id="2932" xr3:uid="{9C71DA8D-2AA4-467D-8264-481DEDC44631}" name="Column2930"/>
    <tableColumn id="2933" xr3:uid="{8FCB1005-211F-4EBC-BC10-294E1106DB79}" name="Column2931"/>
    <tableColumn id="2934" xr3:uid="{BA08013F-C525-4ADF-B38A-7BDF07995BD6}" name="Column2932"/>
    <tableColumn id="2935" xr3:uid="{F62B5AC9-9BD4-4761-91EC-3CC262C08E2E}" name="Column2933"/>
    <tableColumn id="2936" xr3:uid="{0DDC6B71-6E22-4FCA-8C22-D3E5ACCFAA15}" name="Column2934"/>
    <tableColumn id="2937" xr3:uid="{653308FD-FB38-477E-A59C-AFF141457072}" name="Column2935"/>
    <tableColumn id="2938" xr3:uid="{C28A5F2A-3661-4D61-98B8-8C946EAABB10}" name="Column2936"/>
    <tableColumn id="2939" xr3:uid="{41962F82-CA60-440C-9E97-270E0D271654}" name="Column2937"/>
    <tableColumn id="2940" xr3:uid="{A92AA3CB-0640-4BF3-B64C-CAC17B047636}" name="Column2938"/>
    <tableColumn id="2941" xr3:uid="{7C0119A5-7ADA-404C-B544-7FA6D58C6CDC}" name="Column2939"/>
    <tableColumn id="2942" xr3:uid="{AEDF3563-1F39-4B11-8E40-367534BFEE79}" name="Column2940"/>
    <tableColumn id="2943" xr3:uid="{46236E0E-3121-4848-A136-91A321F5EF5D}" name="Column2941"/>
    <tableColumn id="2944" xr3:uid="{8CC99838-AE54-4A06-A2A2-BB2EDF0403B9}" name="Column2942"/>
    <tableColumn id="2945" xr3:uid="{26DA0C38-E893-4D43-9C91-2D57CE3D023C}" name="Column2943"/>
    <tableColumn id="2946" xr3:uid="{A417FBD5-B1F5-4215-A1B5-681CB9E95BD4}" name="Column2944"/>
    <tableColumn id="2947" xr3:uid="{733510C3-3E91-4195-8E2F-A515F92C981A}" name="Column2945"/>
    <tableColumn id="2948" xr3:uid="{E00F4124-67E7-4B2A-93FA-BD8C9E0C5FD9}" name="Column2946"/>
    <tableColumn id="2949" xr3:uid="{9E76249D-8C33-4340-8625-00D9E66A598A}" name="Column2947"/>
    <tableColumn id="2950" xr3:uid="{7B968473-DD76-45AB-88B8-2A562A533EE7}" name="Column2948"/>
    <tableColumn id="2951" xr3:uid="{D55219D7-E4C7-40CB-8ADA-1C60981C0F6D}" name="Column2949"/>
    <tableColumn id="2952" xr3:uid="{60BC69C0-16CF-4BC6-8BCE-8E3930170868}" name="Column2950"/>
    <tableColumn id="2953" xr3:uid="{8758FBB8-8990-4B17-B6B6-11F036A866B2}" name="Column2951"/>
    <tableColumn id="2954" xr3:uid="{D652FB39-BB46-412A-807F-E21D44F27C71}" name="Column2952"/>
    <tableColumn id="2955" xr3:uid="{34442916-D026-49E7-AA0C-B4E4CC6591A5}" name="Column2953"/>
    <tableColumn id="2956" xr3:uid="{D4ABC3FF-E799-4210-B8A9-55D7708EC38B}" name="Column2954"/>
    <tableColumn id="2957" xr3:uid="{CE0339B4-974D-481D-AB56-9AAB55B81441}" name="Column2955"/>
    <tableColumn id="2958" xr3:uid="{789AA793-82F8-433B-86AB-A26353626CDA}" name="Column2956"/>
    <tableColumn id="2959" xr3:uid="{BA53163E-369A-4C2A-A8BE-60ECFDA7731D}" name="Column2957"/>
    <tableColumn id="2960" xr3:uid="{F92A251C-429B-4E56-80ED-D542FD9670B4}" name="Column2958"/>
    <tableColumn id="2961" xr3:uid="{7D01D273-9063-4948-9AD7-53CC97C9B9A2}" name="Column2959"/>
    <tableColumn id="2962" xr3:uid="{1091A643-E2EF-4A59-90DA-02C3884FE7D3}" name="Column2960"/>
    <tableColumn id="2963" xr3:uid="{376948DF-053F-443A-BB3D-778D097BD938}" name="Column2961"/>
    <tableColumn id="2964" xr3:uid="{866A742D-BAD3-49C1-996F-6E92D63F81AC}" name="Column2962"/>
    <tableColumn id="2965" xr3:uid="{85BDC19A-C09F-416B-B666-7299FFB4898A}" name="Column2963"/>
    <tableColumn id="2966" xr3:uid="{3DB3050F-127E-4083-840D-DCE10C390842}" name="Column2964"/>
    <tableColumn id="2967" xr3:uid="{E99CD50A-048E-46BD-A6AD-029D4EE5B626}" name="Column2965"/>
    <tableColumn id="2968" xr3:uid="{DB798368-7C12-4994-B441-D35ABD43C177}" name="Column2966"/>
    <tableColumn id="2969" xr3:uid="{2A5C6CFA-93E5-496D-A850-BEE61351783B}" name="Column2967"/>
    <tableColumn id="2970" xr3:uid="{2C9A0390-A5F5-4FB9-B2F3-093A57A39948}" name="Column2968"/>
    <tableColumn id="2971" xr3:uid="{C6A75B18-1095-4251-9F14-6E54A5313C90}" name="Column2969"/>
    <tableColumn id="2972" xr3:uid="{7BC59E05-21C7-4C49-9802-14825F0B22E3}" name="Column2970"/>
    <tableColumn id="2973" xr3:uid="{03ADA798-4F38-4FE1-9D2A-992B3697510B}" name="Column2971"/>
    <tableColumn id="2974" xr3:uid="{262A6CE4-4776-4063-B72C-8ECB51751433}" name="Column2972"/>
    <tableColumn id="2975" xr3:uid="{7F9A27C9-A8B4-493D-991F-DBA0DBD73D71}" name="Column2973"/>
    <tableColumn id="2976" xr3:uid="{991F63A3-95ED-446A-A843-34BE416F4F06}" name="Column2974"/>
    <tableColumn id="2977" xr3:uid="{6EFD57F8-8B2F-493A-A36C-8627ECB8FCB6}" name="Column2975"/>
    <tableColumn id="2978" xr3:uid="{4DC201C7-732F-4870-BD3E-0656A4F59FED}" name="Column2976"/>
    <tableColumn id="2979" xr3:uid="{82F958FE-29A2-4724-A218-60BE51AA0FC8}" name="Column2977"/>
    <tableColumn id="2980" xr3:uid="{4A936E7C-992E-42DA-89D3-D37ABE42D421}" name="Column2978"/>
    <tableColumn id="2981" xr3:uid="{7F2845A4-15AA-4116-8B34-80D46879BF7A}" name="Column2979"/>
    <tableColumn id="2982" xr3:uid="{CDB9D97D-2514-4F59-9FD8-BD63748BE659}" name="Column2980"/>
    <tableColumn id="2983" xr3:uid="{B9C6FAE7-6EF0-407F-A146-5F1C5B5B2B6B}" name="Column2981"/>
    <tableColumn id="2984" xr3:uid="{5BFD453A-2408-46C3-BA0A-15B5B26B919C}" name="Column2982"/>
    <tableColumn id="2985" xr3:uid="{1DFD6287-7A56-4461-AEFB-4927AC2087A5}" name="Column2983"/>
    <tableColumn id="2986" xr3:uid="{60F486BB-0B4D-426F-8EC8-4A7128677168}" name="Column2984"/>
    <tableColumn id="2987" xr3:uid="{46D04CFE-446A-4174-83A1-ECAB2F575E35}" name="Column2985"/>
    <tableColumn id="2988" xr3:uid="{BA0081EA-0C04-4D17-ADEC-1B1CE1D170AB}" name="Column2986"/>
    <tableColumn id="2989" xr3:uid="{4A136703-8C91-4B15-B78C-05412B2C6D91}" name="Column2987"/>
    <tableColumn id="2990" xr3:uid="{EC87C4A2-A61D-43CB-B1BE-7B60D9E71633}" name="Column2988"/>
    <tableColumn id="2991" xr3:uid="{9528F3E0-F8ED-4164-AA9E-C7A430A44CD4}" name="Column2989"/>
    <tableColumn id="2992" xr3:uid="{A34C2D27-0307-4E8F-A184-DC3886E58117}" name="Column2990"/>
    <tableColumn id="2993" xr3:uid="{33FB86E5-C6B0-42E3-94CD-2CCEE70C9A5E}" name="Column2991"/>
    <tableColumn id="2994" xr3:uid="{97B8C8F4-B03F-4B36-AEAA-469A40D298EA}" name="Column2992"/>
    <tableColumn id="2995" xr3:uid="{A8EC5F51-7292-4631-9D5F-B95BBCA2A71B}" name="Column2993"/>
    <tableColumn id="2996" xr3:uid="{CBA0DCA2-2B39-4685-82C2-506518B99FE7}" name="Column2994"/>
    <tableColumn id="2997" xr3:uid="{55287742-4FB9-40F1-9C69-26D2F58B84C6}" name="Column2995"/>
    <tableColumn id="2998" xr3:uid="{42FF7269-A9DC-4150-B5DA-B97C31C27BB5}" name="Column2996"/>
    <tableColumn id="2999" xr3:uid="{081343CB-CCB2-44E3-B1AC-68611153C170}" name="Column2997"/>
    <tableColumn id="3000" xr3:uid="{CC3464CD-C69B-4DE0-B2F5-1E8B6AC5C82A}" name="Column2998"/>
    <tableColumn id="3001" xr3:uid="{E9BE4929-6215-49E8-8F79-7A558C8C84FD}" name="Column2999"/>
    <tableColumn id="3002" xr3:uid="{F6809AD8-1497-4E01-8919-81207224F868}" name="Column3000"/>
    <tableColumn id="3003" xr3:uid="{053602EC-FEFC-4F9B-83C1-EDB58C2AD113}" name="Column3001"/>
    <tableColumn id="3004" xr3:uid="{041FA92D-BA1D-4E68-B03B-886553C674D8}" name="Column3002"/>
    <tableColumn id="3005" xr3:uid="{39BD614C-0321-4FBD-A674-4510AAFEB84B}" name="Column3003"/>
    <tableColumn id="3006" xr3:uid="{5A99F76B-D233-45D6-940B-FFE472E4DCF3}" name="Column3004"/>
    <tableColumn id="3007" xr3:uid="{CD266FBE-31E2-4FDB-9E9C-7A309B524F60}" name="Column3005"/>
    <tableColumn id="3008" xr3:uid="{7C535294-CE9F-4273-800A-98A3F75E2018}" name="Column3006"/>
    <tableColumn id="3009" xr3:uid="{E8E9DCCC-707C-42D9-858A-8CFCB6029EE2}" name="Column3007"/>
    <tableColumn id="3010" xr3:uid="{D4944E31-DF35-4D1B-B0F7-9B586084025E}" name="Column3008"/>
    <tableColumn id="3011" xr3:uid="{5EE82AB8-4BBF-46F8-B719-4B9A5B148064}" name="Column3009"/>
    <tableColumn id="3012" xr3:uid="{C06FEEC2-E30C-4072-A78B-DEAB54F23DBD}" name="Column3010"/>
    <tableColumn id="3013" xr3:uid="{18101869-6859-4BCC-8399-CB2B0B9C6F9E}" name="Column3011"/>
    <tableColumn id="3014" xr3:uid="{982C4273-6FC5-400D-A355-6B20135DAB2B}" name="Column3012"/>
    <tableColumn id="3015" xr3:uid="{75593CF3-ED7B-489E-84B1-260D89B66036}" name="Column3013"/>
    <tableColumn id="3016" xr3:uid="{20830EF6-0B99-4BBB-8731-C9D61C03C45E}" name="Column3014"/>
    <tableColumn id="3017" xr3:uid="{99BF8A4C-4E20-4C84-BC9C-4E8D22BA67CB}" name="Column3015"/>
    <tableColumn id="3018" xr3:uid="{E45A8561-6E80-42BF-A35C-18A745E1F298}" name="Column3016"/>
    <tableColumn id="3019" xr3:uid="{0CA0F803-E7B3-4094-AA1B-AEE72800E8F6}" name="Column3017"/>
    <tableColumn id="3020" xr3:uid="{9E6B8C7B-9D09-4CD4-A83B-23FAC4FDC552}" name="Column3018"/>
    <tableColumn id="3021" xr3:uid="{E845A74F-50B4-4374-AA6D-A35F1FC48F65}" name="Column3019"/>
    <tableColumn id="3022" xr3:uid="{4CE2723F-CB46-4D89-A48D-100A6E1DCBD0}" name="Column3020"/>
    <tableColumn id="3023" xr3:uid="{31027D72-29D2-4B79-869C-9AB971A34D3F}" name="Column3021"/>
    <tableColumn id="3024" xr3:uid="{9C04CA69-E937-48C3-9AE7-107F3CAEB577}" name="Column3022"/>
    <tableColumn id="3025" xr3:uid="{3AAC0580-BF39-4EFF-8070-FDFE4C19E4C5}" name="Column3023"/>
    <tableColumn id="3026" xr3:uid="{EC4E9760-09C4-4C6E-8011-136E0BDC42C4}" name="Column3024"/>
    <tableColumn id="3027" xr3:uid="{54AEE645-6637-4C6B-9253-7DC5927C04C8}" name="Column3025"/>
    <tableColumn id="3028" xr3:uid="{7908E09D-6446-4566-8193-F520BC9499D5}" name="Column3026"/>
    <tableColumn id="3029" xr3:uid="{FAE444B9-33D2-4885-B2EE-DFA71CCAFCAC}" name="Column3027"/>
    <tableColumn id="3030" xr3:uid="{9DD3E8A9-24B3-4DE5-BF58-9B025E318D7B}" name="Column3028"/>
    <tableColumn id="3031" xr3:uid="{05BD5E91-B54E-48B9-B001-E7B150B510EE}" name="Column3029"/>
    <tableColumn id="3032" xr3:uid="{58F795E8-5453-4A61-9534-A85252E54E46}" name="Column3030"/>
    <tableColumn id="3033" xr3:uid="{06C56315-70B3-4BE1-AD43-D5EEC78F972F}" name="Column3031"/>
    <tableColumn id="3034" xr3:uid="{A1ADDB85-A065-4C36-9DE8-5BEC641D0CCE}" name="Column3032"/>
    <tableColumn id="3035" xr3:uid="{8E823D31-F48D-4941-BA66-0F1C931B0DA0}" name="Column3033"/>
    <tableColumn id="3036" xr3:uid="{E0933F31-5429-45E3-9998-B4402238AE51}" name="Column3034"/>
    <tableColumn id="3037" xr3:uid="{75475516-5668-4530-A7C0-DDD38CCF4DF3}" name="Column3035"/>
    <tableColumn id="3038" xr3:uid="{C38C0288-3699-42C6-A580-E633B6B8D6CE}" name="Column3036"/>
    <tableColumn id="3039" xr3:uid="{FD095687-92BC-4F90-BD7C-7AC00253BC02}" name="Column3037"/>
    <tableColumn id="3040" xr3:uid="{C0AE0F23-6FE0-431F-9E85-873CCC398319}" name="Column3038"/>
    <tableColumn id="3041" xr3:uid="{33F08A98-330B-4E83-A531-F385C932AEBD}" name="Column3039"/>
    <tableColumn id="3042" xr3:uid="{A6072DB7-0FA3-4799-88F8-896C1169C844}" name="Column3040"/>
    <tableColumn id="3043" xr3:uid="{5A6C0BB5-8EBC-4DF1-86DE-4D6FCD3751A1}" name="Column3041"/>
    <tableColumn id="3044" xr3:uid="{02389967-A9BF-41DB-8B25-41C6483BDA99}" name="Column3042"/>
    <tableColumn id="3045" xr3:uid="{102B4C53-5FF5-407A-BC96-BD04216864BD}" name="Column3043"/>
    <tableColumn id="3046" xr3:uid="{B079243D-420B-43EB-ADAA-57EB95076633}" name="Column3044"/>
    <tableColumn id="3047" xr3:uid="{C63C7AFD-B2CF-48F8-A588-31E0CCDF0CFF}" name="Column3045"/>
    <tableColumn id="3048" xr3:uid="{83857C1E-8D11-49FC-90CF-7531710C993E}" name="Column3046"/>
    <tableColumn id="3049" xr3:uid="{165C4A1D-5EB1-4095-8E58-06DF91E1672B}" name="Column3047"/>
    <tableColumn id="3050" xr3:uid="{C150EDCA-5E29-417A-971E-9105DCF29101}" name="Column3048"/>
    <tableColumn id="3051" xr3:uid="{184D8B25-56C7-43CE-86D9-1D73040C5673}" name="Column3049"/>
    <tableColumn id="3052" xr3:uid="{7EFA3B78-7E77-4812-82A1-5F5EA995EAB7}" name="Column3050"/>
    <tableColumn id="3053" xr3:uid="{04823BD4-0512-48F9-B38F-ADE6C66CA545}" name="Column3051"/>
    <tableColumn id="3054" xr3:uid="{4C82DF7F-144D-4EC8-95A3-E7A4C6AF60DA}" name="Column3052"/>
    <tableColumn id="3055" xr3:uid="{94763A6C-FC83-4EEE-825D-E8969D7D1213}" name="Column3053"/>
    <tableColumn id="3056" xr3:uid="{C47DB25D-C613-4FF0-8B24-D406A5E1B916}" name="Column3054"/>
    <tableColumn id="3057" xr3:uid="{F732C564-438F-485C-9189-CA9BDD9A72D8}" name="Column3055"/>
    <tableColumn id="3058" xr3:uid="{B5C305D6-8255-48A1-8EA3-4B2D60163464}" name="Column3056"/>
    <tableColumn id="3059" xr3:uid="{9944C37F-26E8-439D-81D5-6D2D491C56AA}" name="Column3057"/>
    <tableColumn id="3060" xr3:uid="{AE355DA4-F57D-425C-9250-20368191D7CF}" name="Column3058"/>
    <tableColumn id="3061" xr3:uid="{C5EFCD16-E2E2-4338-B0A8-F7B0963E2C49}" name="Column3059"/>
    <tableColumn id="3062" xr3:uid="{88C5B182-DC0A-4CB3-8EAA-D50D104D531F}" name="Column3060"/>
    <tableColumn id="3063" xr3:uid="{1E55A057-FBA0-4340-9499-1D4B3245927A}" name="Column3061"/>
    <tableColumn id="3064" xr3:uid="{D0DA0241-BFDC-4C19-8690-1C95544DB3B6}" name="Column3062"/>
    <tableColumn id="3065" xr3:uid="{50D2A566-24C9-4B1E-AD51-98DA58F5DF51}" name="Column3063"/>
    <tableColumn id="3066" xr3:uid="{C8CB5E29-0B88-4810-96AA-13B8AF196DFE}" name="Column3064"/>
    <tableColumn id="3067" xr3:uid="{691E00B2-7E40-48B8-A44B-96C33A93797A}" name="Column3065"/>
    <tableColumn id="3068" xr3:uid="{88DD0154-A732-4AEF-96D8-6E208D08D112}" name="Column3066"/>
    <tableColumn id="3069" xr3:uid="{B67818D1-4EEA-4B59-8787-B6CB73570173}" name="Column3067"/>
    <tableColumn id="3070" xr3:uid="{FF72A1D3-6559-4829-ABA2-7AB3FCC75138}" name="Column3068"/>
    <tableColumn id="3071" xr3:uid="{B96E895D-F67D-4B13-9B3F-70C9816CD15F}" name="Column3069"/>
    <tableColumn id="3072" xr3:uid="{F2F44EB0-585B-4A27-B170-B3C617D3CEA5}" name="Column3070"/>
    <tableColumn id="3073" xr3:uid="{66A6D1EC-009D-49D4-A707-0866CF18F0AD}" name="Column3071"/>
    <tableColumn id="3074" xr3:uid="{564AC248-6679-4D3E-8C3D-EDF5B5658018}" name="Column3072"/>
    <tableColumn id="3075" xr3:uid="{4C779788-D738-4CE7-B72D-935C220B1C2E}" name="Column3073"/>
    <tableColumn id="3076" xr3:uid="{182B986E-9C2F-41F1-8CF9-BEC55DE344C0}" name="Column3074"/>
    <tableColumn id="3077" xr3:uid="{2E2F7A08-9731-4D9D-91D9-612A49E23ADF}" name="Column3075"/>
    <tableColumn id="3078" xr3:uid="{E9E1B282-8583-42F5-8CDD-323C5D2623D7}" name="Column3076"/>
    <tableColumn id="3079" xr3:uid="{05C30125-F3D1-4364-8BE7-517DFB867F70}" name="Column3077"/>
    <tableColumn id="3080" xr3:uid="{55E7A436-CF10-445D-8161-B8EB5F4D45F2}" name="Column3078"/>
    <tableColumn id="3081" xr3:uid="{725691F4-5EB1-42A4-ABBC-F02E5DEB7274}" name="Column3079"/>
    <tableColumn id="3082" xr3:uid="{69F74FE9-773F-4313-A333-DE36CB897028}" name="Column3080"/>
    <tableColumn id="3083" xr3:uid="{108D9C53-0BCA-413E-AAE2-963ED3B2A0E8}" name="Column3081"/>
    <tableColumn id="3084" xr3:uid="{45A1B601-1DDF-48B5-83FA-C53B476FEFFE}" name="Column3082"/>
    <tableColumn id="3085" xr3:uid="{149C655B-7EBC-4FCA-908C-5012F60A0360}" name="Column3083"/>
    <tableColumn id="3086" xr3:uid="{8764ADD9-90C9-4970-800E-CD49DA0754DB}" name="Column3084"/>
    <tableColumn id="3087" xr3:uid="{A6782CEE-6E1A-466A-AF5A-736761298041}" name="Column3085"/>
    <tableColumn id="3088" xr3:uid="{19D59CAC-7092-4C8C-887D-2ECB3A537978}" name="Column3086"/>
    <tableColumn id="3089" xr3:uid="{CA44574B-75AD-4B1A-B3D3-6C907A2AAAF3}" name="Column3087"/>
    <tableColumn id="3090" xr3:uid="{5DE5E60D-0788-4061-9FEC-377C8E1D0D3D}" name="Column3088"/>
    <tableColumn id="3091" xr3:uid="{7EFA47ED-E9D1-4FA7-9E8C-B942EC349A49}" name="Column3089"/>
    <tableColumn id="3092" xr3:uid="{3C92E629-1C18-4AEE-9007-D3ACE771469D}" name="Column3090"/>
    <tableColumn id="3093" xr3:uid="{D3CAB949-0CDE-42B9-9BA9-8F1116B6EC80}" name="Column3091"/>
    <tableColumn id="3094" xr3:uid="{FBE86397-F733-4E62-AB82-F96AEF208181}" name="Column3092"/>
    <tableColumn id="3095" xr3:uid="{ABE61111-2B69-4157-AFB8-F3E39B15EA25}" name="Column3093"/>
    <tableColumn id="3096" xr3:uid="{95E0C821-3F02-4646-BB6E-1284EBD6ABD9}" name="Column3094"/>
    <tableColumn id="3097" xr3:uid="{42BFDC22-7E53-46F1-ACB0-72C874142938}" name="Column3095"/>
    <tableColumn id="3098" xr3:uid="{9B8B461C-F6CA-44DD-AAD5-5510E1F2DCD7}" name="Column3096"/>
    <tableColumn id="3099" xr3:uid="{B4B92372-F28C-4B7C-A4FC-EFC1382818D0}" name="Column3097"/>
    <tableColumn id="3100" xr3:uid="{85BFBAA4-BDE0-4B65-9A4E-54655015B525}" name="Column3098"/>
    <tableColumn id="3101" xr3:uid="{EB3AEB23-8CC9-4166-8DDD-7795E0B56E5D}" name="Column3099"/>
    <tableColumn id="3102" xr3:uid="{0D43E21E-9D4D-45CB-B86A-BC66527561A3}" name="Column3100"/>
    <tableColumn id="3103" xr3:uid="{85E22DA9-824C-4938-9795-4FCE0C4AF1D8}" name="Column3101"/>
    <tableColumn id="3104" xr3:uid="{3C8D5362-29E8-4112-B76D-2F404313A8D4}" name="Column3102"/>
    <tableColumn id="3105" xr3:uid="{EE404CBA-D20D-4AE6-8FC7-89E62E2BD176}" name="Column3103"/>
    <tableColumn id="3106" xr3:uid="{2A8478C6-A88D-438A-B560-A445D4A5F7DD}" name="Column3104"/>
    <tableColumn id="3107" xr3:uid="{2F58062A-F728-4A63-AEA7-28AE1286FF63}" name="Column3105"/>
    <tableColumn id="3108" xr3:uid="{B30CAD51-7B78-4574-8F9A-9B95D4A02F2A}" name="Column3106"/>
    <tableColumn id="3109" xr3:uid="{0F7FE9D7-9ACD-4AC1-93E1-6E0BBE2A90B4}" name="Column3107"/>
    <tableColumn id="3110" xr3:uid="{F4A785E8-FABF-4FC2-9159-9BB25528CADD}" name="Column3108"/>
    <tableColumn id="3111" xr3:uid="{C3103538-D583-4C94-86F2-3A84B637BEEE}" name="Column3109"/>
    <tableColumn id="3112" xr3:uid="{E461554D-BD3A-4594-95A2-2A22553C6DF0}" name="Column3110"/>
    <tableColumn id="3113" xr3:uid="{372869A4-FC4F-41A4-BAEA-E2713CA73E7A}" name="Column3111"/>
    <tableColumn id="3114" xr3:uid="{0A0AF2FE-1E95-43A4-8BE2-919072894F17}" name="Column3112"/>
    <tableColumn id="3115" xr3:uid="{AA3B52E7-B67F-4A99-B403-745D0C2DAD70}" name="Column3113"/>
    <tableColumn id="3116" xr3:uid="{66962387-EEF2-4D9E-8CC0-9DCC4569606B}" name="Column3114"/>
    <tableColumn id="3117" xr3:uid="{3CF0950E-53F3-494F-B227-AD630D23AE83}" name="Column3115"/>
    <tableColumn id="3118" xr3:uid="{FEA27AA4-F8DA-4807-ABE6-91A891637BB4}" name="Column3116"/>
    <tableColumn id="3119" xr3:uid="{F4236F53-4387-448A-8981-061C2BBF9D4F}" name="Column3117"/>
    <tableColumn id="3120" xr3:uid="{B1CAE44A-2875-401D-8321-27DF6B78FEFD}" name="Column3118"/>
    <tableColumn id="3121" xr3:uid="{DDC66911-0DBC-4792-BFD7-187FA53A192E}" name="Column3119"/>
    <tableColumn id="3122" xr3:uid="{8471307B-0507-4940-8A2B-8014A5F329A4}" name="Column3120"/>
    <tableColumn id="3123" xr3:uid="{3E8A3D98-A1CD-489B-A933-47EC3098112B}" name="Column3121"/>
    <tableColumn id="3124" xr3:uid="{CC190D4A-573A-4595-B1D9-407C6DCB4E91}" name="Column3122"/>
    <tableColumn id="3125" xr3:uid="{B1E5435B-8506-415A-9B03-A2EE58EE48A4}" name="Column3123"/>
    <tableColumn id="3126" xr3:uid="{6DC8AF23-2148-4E06-9645-76D1C514470C}" name="Column3124"/>
    <tableColumn id="3127" xr3:uid="{98714929-7586-42A5-BC39-E2636A7E4503}" name="Column3125"/>
    <tableColumn id="3128" xr3:uid="{714D5829-C682-42BB-9E43-912ADF60F077}" name="Column3126"/>
    <tableColumn id="3129" xr3:uid="{A89D008E-27D9-4E8A-8D09-8DFAE5A94AF3}" name="Column3127"/>
    <tableColumn id="3130" xr3:uid="{62254170-985E-432A-BC64-9655B55DC61D}" name="Column3128"/>
    <tableColumn id="3131" xr3:uid="{ACD661CE-578F-4CFC-9B15-9019C1956CBC}" name="Column3129"/>
    <tableColumn id="3132" xr3:uid="{04158228-FD3F-4292-8353-D1F9811BB39D}" name="Column3130"/>
    <tableColumn id="3133" xr3:uid="{0BD12359-B538-44A9-B53F-04B7FEA4950B}" name="Column3131"/>
    <tableColumn id="3134" xr3:uid="{2856B926-9E71-49DA-AAFC-E83BB40746EA}" name="Column3132"/>
    <tableColumn id="3135" xr3:uid="{15B8CA59-55E5-4ADC-A1A6-0B002D831060}" name="Column3133"/>
    <tableColumn id="3136" xr3:uid="{33880571-B3F3-46AB-BA5C-02E476F17D80}" name="Column3134"/>
    <tableColumn id="3137" xr3:uid="{0114280B-02FA-4476-98FA-D84FBC02A1F2}" name="Column3135"/>
    <tableColumn id="3138" xr3:uid="{60A945A2-351F-4148-A570-5CF4F9DC090F}" name="Column3136"/>
    <tableColumn id="3139" xr3:uid="{7DD82997-6AAF-4C52-8582-A6D48F335BEC}" name="Column3137"/>
    <tableColumn id="3140" xr3:uid="{8E5A3876-0968-4014-9090-98B8C5F74733}" name="Column3138"/>
    <tableColumn id="3141" xr3:uid="{BE57C282-DB54-4ECA-997C-ECDA5180AA12}" name="Column3139"/>
    <tableColumn id="3142" xr3:uid="{B6FD646B-71B6-4F54-B352-D373111ABAC6}" name="Column3140"/>
    <tableColumn id="3143" xr3:uid="{45452EA0-A715-4397-A82F-094AF409E4F8}" name="Column3141"/>
    <tableColumn id="3144" xr3:uid="{71D203E2-ECC1-4B17-97C1-BD2FE1548B73}" name="Column3142"/>
    <tableColumn id="3145" xr3:uid="{B47CDAC0-9465-4EDC-B30D-33AE971A780D}" name="Column3143"/>
    <tableColumn id="3146" xr3:uid="{865544D4-9183-4700-9159-CD165B147505}" name="Column3144"/>
    <tableColumn id="3147" xr3:uid="{679D1BE2-5019-4379-B150-8FB6E191EA4F}" name="Column3145"/>
    <tableColumn id="3148" xr3:uid="{345A8D85-250A-4176-B162-4078DDFF70F2}" name="Column3146"/>
    <tableColumn id="3149" xr3:uid="{686BCF45-6520-4132-8E44-F60FC2749480}" name="Column3147"/>
    <tableColumn id="3150" xr3:uid="{0C46FDCB-9AB2-41F3-81B1-96F462A378E1}" name="Column3148"/>
    <tableColumn id="3151" xr3:uid="{2C78E1AF-5019-4044-9768-18272693A758}" name="Column3149"/>
    <tableColumn id="3152" xr3:uid="{37C99915-73E7-4A65-AED5-8A7FE42E9BB0}" name="Column3150"/>
    <tableColumn id="3153" xr3:uid="{02A2D9A1-C845-4C37-B386-69D5813D4A18}" name="Column3151"/>
    <tableColumn id="3154" xr3:uid="{25715A40-1B0C-4BC5-B690-A7342DE773C7}" name="Column3152"/>
    <tableColumn id="3155" xr3:uid="{3B9FB87E-0678-486A-BA2F-C8A2DAE82893}" name="Column3153"/>
    <tableColumn id="3156" xr3:uid="{7EEB1AAD-8C3B-4236-9C40-83A1D26AE7FA}" name="Column3154"/>
    <tableColumn id="3157" xr3:uid="{8432C08B-5DD0-4337-B09B-467B169F7391}" name="Column3155"/>
    <tableColumn id="3158" xr3:uid="{ACBEF833-E9A3-4ABF-8D14-2A36F7C3EFD3}" name="Column3156"/>
    <tableColumn id="3159" xr3:uid="{87A3ACB3-E9E0-48EF-8C64-E72C86FB20F2}" name="Column3157"/>
    <tableColumn id="3160" xr3:uid="{BE3BDD7A-CBFC-4905-A0A7-4AE4B3023D01}" name="Column3158"/>
    <tableColumn id="3161" xr3:uid="{E86E0203-004B-48BD-A48F-762770FC1D63}" name="Column3159"/>
    <tableColumn id="3162" xr3:uid="{10EC5968-9CB8-4D69-A876-C39DF2320323}" name="Column3160"/>
    <tableColumn id="3163" xr3:uid="{79E4AE39-A1FA-4FCE-A638-EBEBDD3D5D3C}" name="Column3161"/>
    <tableColumn id="3164" xr3:uid="{3D860058-7867-4F9D-ACEC-7C83338AC4D9}" name="Column3162"/>
    <tableColumn id="3165" xr3:uid="{30586444-93E6-4501-97C1-F7E31EC6CBC2}" name="Column3163"/>
    <tableColumn id="3166" xr3:uid="{AE4EA81C-D5FF-4E86-820A-EE716F7EFBC9}" name="Column3164"/>
    <tableColumn id="3167" xr3:uid="{22BB49AE-101B-4B80-801F-6433DF15C1CA}" name="Column3165"/>
    <tableColumn id="3168" xr3:uid="{5FB2E2EB-D82E-49E5-8FCA-C51A2B4E53E7}" name="Column3166"/>
    <tableColumn id="3169" xr3:uid="{8CC2CA49-72B3-4595-A13D-434EA63958E5}" name="Column3167"/>
    <tableColumn id="3170" xr3:uid="{169EBCA5-90B6-4FE1-94DA-3B7A8302B22F}" name="Column3168"/>
    <tableColumn id="3171" xr3:uid="{A400C697-4471-4930-B959-68FCC14F7291}" name="Column3169"/>
    <tableColumn id="3172" xr3:uid="{2B68AA12-9759-4417-A1E3-34AD955C9D96}" name="Column3170"/>
    <tableColumn id="3173" xr3:uid="{DB618A47-AEBC-48C2-87A3-5F97051A3D7A}" name="Column3171"/>
    <tableColumn id="3174" xr3:uid="{A0930CFF-B89F-45C5-BDE5-79AAAE99EBE5}" name="Column3172"/>
    <tableColumn id="3175" xr3:uid="{5F0FA7C9-A477-48D7-B91A-1506C323065E}" name="Column3173"/>
    <tableColumn id="3176" xr3:uid="{4AE6D67B-B2F5-4BDF-A7EB-230B3F45F1FB}" name="Column3174"/>
    <tableColumn id="3177" xr3:uid="{63596843-2438-4EBB-9D54-794EC2C555B1}" name="Column3175"/>
    <tableColumn id="3178" xr3:uid="{B9B8C9CF-A875-41A3-AE9C-F0E2BB7DF625}" name="Column3176"/>
    <tableColumn id="3179" xr3:uid="{AAFB4297-6316-48F3-8E0D-54EAF4BDECD7}" name="Column3177"/>
    <tableColumn id="3180" xr3:uid="{0C874DE3-E62B-4162-BF7A-E6EACFD782FF}" name="Column3178"/>
    <tableColumn id="3181" xr3:uid="{62B0A821-8931-40AB-B059-02006485E2F4}" name="Column3179"/>
    <tableColumn id="3182" xr3:uid="{920C11E9-7FF9-4FAD-891E-99A4F3F10DE5}" name="Column3180"/>
    <tableColumn id="3183" xr3:uid="{5401803C-AEA1-4468-9558-907D12B1F8D7}" name="Column3181"/>
    <tableColumn id="3184" xr3:uid="{D5C7896F-5165-4006-B35F-7283FD69AAC0}" name="Column3182"/>
    <tableColumn id="3185" xr3:uid="{B41B9A61-E530-4AE0-B1B2-8D5BE3712CC0}" name="Column3183"/>
    <tableColumn id="3186" xr3:uid="{AE345D24-026F-422B-B5A2-5D671DFD11E2}" name="Column3184"/>
    <tableColumn id="3187" xr3:uid="{ECEF004F-1638-4333-BB16-1422D78858EF}" name="Column3185"/>
    <tableColumn id="3188" xr3:uid="{6F1D7D2E-F7A4-42B2-A95C-4DFDC85C9AE1}" name="Column3186"/>
    <tableColumn id="3189" xr3:uid="{6AD8ED33-8A9C-422D-82FF-E6B836B1C142}" name="Column3187"/>
    <tableColumn id="3190" xr3:uid="{2BC9D8FC-E6E4-43DE-BB59-820828EE8D59}" name="Column3188"/>
    <tableColumn id="3191" xr3:uid="{21B6675B-AA12-4383-A016-8D053BCF89C5}" name="Column3189"/>
    <tableColumn id="3192" xr3:uid="{1644433F-CDC4-4025-A5E4-DF1FD80F59E1}" name="Column3190"/>
    <tableColumn id="3193" xr3:uid="{E2E70C93-9BFC-42CC-A3F8-8582AE200FCE}" name="Column3191"/>
    <tableColumn id="3194" xr3:uid="{18111421-2653-4124-94FA-79CD5515981A}" name="Column3192"/>
    <tableColumn id="3195" xr3:uid="{3389BBB4-4282-4B6E-B027-9E400258FFE3}" name="Column3193"/>
    <tableColumn id="3196" xr3:uid="{B65E2761-B27D-4191-A07E-1D4E8485ED5D}" name="Column3194"/>
    <tableColumn id="3197" xr3:uid="{510174DB-59A3-4D71-A9B7-95ABA73389B2}" name="Column3195"/>
    <tableColumn id="3198" xr3:uid="{EA94BF38-99B3-4E42-848D-B9CB91B12709}" name="Column3196"/>
    <tableColumn id="3199" xr3:uid="{F1C65498-D372-4646-A56C-B28453E08F44}" name="Column3197"/>
    <tableColumn id="3200" xr3:uid="{F56BF945-F430-4852-99C8-3D45498AB6B9}" name="Column3198"/>
    <tableColumn id="3201" xr3:uid="{31A76CAF-2B3F-48D0-98EE-23AFEC65BB31}" name="Column3199"/>
    <tableColumn id="3202" xr3:uid="{9BE0E429-9A7E-45A0-8B75-17DF09CEA438}" name="Column3200"/>
    <tableColumn id="3203" xr3:uid="{4EEF5B8C-3865-4931-B21D-7158D3A2E874}" name="Column3201"/>
    <tableColumn id="3204" xr3:uid="{8C4F0EB9-CF24-45C2-9035-CAF9F4D4644A}" name="Column3202"/>
    <tableColumn id="3205" xr3:uid="{56B02B99-7645-4330-AAE8-1CF1B50E342F}" name="Column3203"/>
    <tableColumn id="3206" xr3:uid="{58E92AD7-B4AF-4E8C-A6CE-94FE76FF0E11}" name="Column3204"/>
    <tableColumn id="3207" xr3:uid="{931B0B8B-001F-476D-A1FA-08DA1382EE19}" name="Column3205"/>
    <tableColumn id="3208" xr3:uid="{B1349288-9328-4A0A-83E9-42E573EF8F9B}" name="Column3206"/>
    <tableColumn id="3209" xr3:uid="{4BA23A4A-06F9-4E3C-A35A-5E982198EDDB}" name="Column3207"/>
    <tableColumn id="3210" xr3:uid="{487BEC21-2F2D-4645-91DF-46342C638E73}" name="Column3208"/>
    <tableColumn id="3211" xr3:uid="{AEED7A31-DDEA-4446-ADD3-D3275B1BBF7A}" name="Column3209"/>
    <tableColumn id="3212" xr3:uid="{A885DA43-E530-4845-A557-50FA03CD8CE7}" name="Column3210"/>
    <tableColumn id="3213" xr3:uid="{5191F12B-E1B6-4630-BFE4-0CCF5513B5CD}" name="Column3211"/>
    <tableColumn id="3214" xr3:uid="{63F6A515-B4F9-4427-9177-2378896FACBE}" name="Column3212"/>
    <tableColumn id="3215" xr3:uid="{12904FC9-8200-4BE2-88C2-B4CC703486A0}" name="Column3213"/>
    <tableColumn id="3216" xr3:uid="{E41D3334-1D60-42C3-BF5B-4540C6EFCE84}" name="Column3214"/>
    <tableColumn id="3217" xr3:uid="{E69AE54C-FA74-47F6-9F76-11E9AF237D46}" name="Column3215"/>
    <tableColumn id="3218" xr3:uid="{36ADAD45-E76A-48A5-A9E4-165121698DE0}" name="Column3216"/>
    <tableColumn id="3219" xr3:uid="{3C9CDF9F-7A69-4EB2-BDD6-CAC2E1374894}" name="Column3217"/>
    <tableColumn id="3220" xr3:uid="{F6E0F582-AFA3-4BFE-983D-D96533F20C0E}" name="Column3218"/>
    <tableColumn id="3221" xr3:uid="{8C8F3E8A-E8AF-4BA4-BEEF-829EFBD16B8E}" name="Column3219"/>
    <tableColumn id="3222" xr3:uid="{1EEAB12B-CE6D-4F50-99C8-0AF5725CD4E1}" name="Column3220"/>
    <tableColumn id="3223" xr3:uid="{971BC589-F358-4D98-877B-CE5D95D93495}" name="Column3221"/>
    <tableColumn id="3224" xr3:uid="{9C459B91-08D6-40D8-B63E-FE54392E1661}" name="Column3222"/>
    <tableColumn id="3225" xr3:uid="{89DD638A-453E-4D11-A96A-DD9440EB8DF7}" name="Column3223"/>
    <tableColumn id="3226" xr3:uid="{761C3824-A8D1-41BE-8C45-F15309AB3B3A}" name="Column3224"/>
    <tableColumn id="3227" xr3:uid="{AF89214C-094F-49E3-8970-24947DEEEE4B}" name="Column3225"/>
    <tableColumn id="3228" xr3:uid="{ECD51348-00ED-443B-A0B6-F3079928B2B3}" name="Column3226"/>
    <tableColumn id="3229" xr3:uid="{FD9116E3-89F8-4363-8BEF-9598BDDBAD85}" name="Column3227"/>
    <tableColumn id="3230" xr3:uid="{2E8DA398-FDFB-443D-9C42-193FE13BDE55}" name="Column3228"/>
    <tableColumn id="3231" xr3:uid="{37551910-C91C-472D-8B60-13A7DD3E1101}" name="Column3229"/>
    <tableColumn id="3232" xr3:uid="{904BAA6F-0D58-4B08-BAAD-873AC4BED949}" name="Column3230"/>
    <tableColumn id="3233" xr3:uid="{503F4E69-FA52-4EC6-A938-D614988AD849}" name="Column3231"/>
    <tableColumn id="3234" xr3:uid="{FD4A824F-9611-4B19-87CB-AE2C81E7FF93}" name="Column3232"/>
    <tableColumn id="3235" xr3:uid="{2705ABB0-0B97-478B-AAC8-5E8E22DDBB54}" name="Column3233"/>
    <tableColumn id="3236" xr3:uid="{B2B58B28-3962-4CE3-BB26-DA4D5357ECF7}" name="Column3234"/>
    <tableColumn id="3237" xr3:uid="{9785C29C-C5DD-422B-AEFB-EDCDD0B0FEE9}" name="Column3235"/>
    <tableColumn id="3238" xr3:uid="{46B298BA-C113-4633-B93A-2D4A4B690D71}" name="Column3236"/>
    <tableColumn id="3239" xr3:uid="{0390B018-2A16-41AE-9E08-F15673FB3D33}" name="Column3237"/>
    <tableColumn id="3240" xr3:uid="{43E40584-A017-4591-BBF3-5DC9CAC084C2}" name="Column3238"/>
    <tableColumn id="3241" xr3:uid="{4A594EA7-8D69-4E4B-8591-A230CE8BFD75}" name="Column3239"/>
    <tableColumn id="3242" xr3:uid="{143A7CA5-B5EA-44FB-9BBB-95782C642CCD}" name="Column3240"/>
    <tableColumn id="3243" xr3:uid="{DE6CABEA-F8D8-4B4D-BA5B-63AF9F94472E}" name="Column3241"/>
    <tableColumn id="3244" xr3:uid="{B3044F9B-8BE9-4267-8316-C9D8DA541015}" name="Column3242"/>
    <tableColumn id="3245" xr3:uid="{497268C8-9059-424B-BF9B-8D530200B907}" name="Column3243"/>
    <tableColumn id="3246" xr3:uid="{FF423AE3-6170-42CD-A8E8-BBA9AE5E9343}" name="Column3244"/>
    <tableColumn id="3247" xr3:uid="{79EFAADF-E6B8-4A77-95B1-03D000DD6441}" name="Column3245"/>
    <tableColumn id="3248" xr3:uid="{BD6A17DB-41DE-4BF4-BA39-A97AD4906874}" name="Column3246"/>
    <tableColumn id="3249" xr3:uid="{98613B20-2222-4BD9-800F-1C69D1FB3C09}" name="Column3247"/>
    <tableColumn id="3250" xr3:uid="{B9435574-E422-4532-BDD9-15304CED280C}" name="Column3248"/>
    <tableColumn id="3251" xr3:uid="{42F6BA4D-C59E-420D-AA21-EDA4778FF9E4}" name="Column3249"/>
    <tableColumn id="3252" xr3:uid="{4CB9F5AB-C489-409D-88C4-2E3AB9C7FCB5}" name="Column3250"/>
    <tableColumn id="3253" xr3:uid="{2B3C8395-3D32-4D58-9515-73F98FA698FF}" name="Column3251"/>
    <tableColumn id="3254" xr3:uid="{6E82611F-070C-4275-A073-08551BE0404B}" name="Column3252"/>
    <tableColumn id="3255" xr3:uid="{74C7D145-5A16-45E6-8F80-10408B94CDD8}" name="Column3253"/>
    <tableColumn id="3256" xr3:uid="{FF7EB7D9-F1EE-4EB6-ACEB-5E9C49F03647}" name="Column3254"/>
    <tableColumn id="3257" xr3:uid="{C572AC67-E2A8-480D-95BC-F332F1E80FF6}" name="Column3255"/>
    <tableColumn id="3258" xr3:uid="{22F5BD08-D88E-4037-843F-42372E4C8086}" name="Column3256"/>
    <tableColumn id="3259" xr3:uid="{02495EC3-00BE-442A-A05E-B549C45C9BCC}" name="Column3257"/>
    <tableColumn id="3260" xr3:uid="{3F4BF192-198A-4045-B1B0-85BBDAB00A7D}" name="Column3258"/>
    <tableColumn id="3261" xr3:uid="{9CA62133-BCEB-41B0-B2BA-4D747879D3E9}" name="Column3259"/>
    <tableColumn id="3262" xr3:uid="{3697088F-6937-4D2D-ABED-96ACC41C4857}" name="Column3260"/>
    <tableColumn id="3263" xr3:uid="{D415F0A8-2DF2-499B-9ECB-DE8A8518433D}" name="Column3261"/>
    <tableColumn id="3264" xr3:uid="{12F227FA-37B9-4743-B593-4B7B5A84F0D0}" name="Column3262"/>
    <tableColumn id="3265" xr3:uid="{E0DB1495-735A-4BAA-A2A9-59DC86AA9C64}" name="Column3263"/>
    <tableColumn id="3266" xr3:uid="{18A317BE-2C75-4908-B5E8-E93EC8D45784}" name="Column3264"/>
    <tableColumn id="3267" xr3:uid="{B88AFDE0-54BF-4766-98D7-68DD5777E3BF}" name="Column3265"/>
    <tableColumn id="3268" xr3:uid="{1DFC754B-FF87-4C18-96E8-F21ED982AEDC}" name="Column3266"/>
    <tableColumn id="3269" xr3:uid="{54C88FD2-F245-4798-85D1-49B0B218034D}" name="Column3267"/>
    <tableColumn id="3270" xr3:uid="{1E82C3A5-45E5-4848-8F91-F5C75FF68FE7}" name="Column3268"/>
    <tableColumn id="3271" xr3:uid="{9ABB4713-CA94-4E77-9068-1F176E16146C}" name="Column3269"/>
    <tableColumn id="3272" xr3:uid="{D9A06485-921C-498D-B363-4856C89DEE8D}" name="Column3270"/>
    <tableColumn id="3273" xr3:uid="{069B37BF-B2C5-471F-A518-E293B97A9367}" name="Column3271"/>
    <tableColumn id="3274" xr3:uid="{D7194687-442B-4618-886C-B81BD3E509E7}" name="Column3272"/>
    <tableColumn id="3275" xr3:uid="{D3973419-3CE4-435F-AF50-DEDC3C2E294C}" name="Column3273"/>
    <tableColumn id="3276" xr3:uid="{4A1C3C28-769D-4A3F-9C72-3F05DFE3781E}" name="Column3274"/>
    <tableColumn id="3277" xr3:uid="{49FC3326-C79C-4CEF-BD2E-A4C1FAC30316}" name="Column3275"/>
    <tableColumn id="3278" xr3:uid="{C0818D4A-D826-4171-B2FA-014C497CA365}" name="Column3276"/>
    <tableColumn id="3279" xr3:uid="{F49B36E2-2401-495D-A509-F50CDE9A1DF7}" name="Column3277"/>
    <tableColumn id="3280" xr3:uid="{A554DEFE-2759-4F53-B68B-613A3D7E847C}" name="Column3278"/>
    <tableColumn id="3281" xr3:uid="{C7D1853F-3A6B-4326-B7C4-55F6738E5A53}" name="Column3279"/>
    <tableColumn id="3282" xr3:uid="{9B0FA77D-A775-41DF-9E53-BD07CE637E28}" name="Column3280"/>
    <tableColumn id="3283" xr3:uid="{8990E95B-B1D1-417A-9799-43840F63DD73}" name="Column3281"/>
    <tableColumn id="3284" xr3:uid="{D60B78B9-1C29-4677-AC05-167F70BF60F9}" name="Column3282"/>
    <tableColumn id="3285" xr3:uid="{451D21D6-7B76-4F4A-86D7-145FB8F860C3}" name="Column3283"/>
    <tableColumn id="3286" xr3:uid="{3B3EAF62-22ED-4175-9108-F6E4A3CC43E7}" name="Column3284"/>
    <tableColumn id="3287" xr3:uid="{4D2B05D2-5AFF-4F7B-B6BA-C37945B07B90}" name="Column3285"/>
    <tableColumn id="3288" xr3:uid="{A627B7FD-0B6D-4157-957E-1D7BB7588B8E}" name="Column3286"/>
    <tableColumn id="3289" xr3:uid="{6E392075-6C32-4A38-8A06-EAE7D0620082}" name="Column3287"/>
    <tableColumn id="3290" xr3:uid="{E0EC4AFE-DDE4-4D9B-8CC3-CE6403B194AB}" name="Column3288"/>
    <tableColumn id="3291" xr3:uid="{3A4904C6-72EC-45E5-B815-61D65C493C55}" name="Column3289"/>
    <tableColumn id="3292" xr3:uid="{E766E96F-0D8A-440D-A7F6-73C39D135DA2}" name="Column3290"/>
    <tableColumn id="3293" xr3:uid="{23E24C55-6CBD-4F22-9CA1-AEA9AEA36C27}" name="Column3291"/>
    <tableColumn id="3294" xr3:uid="{050C8186-BD73-4301-8904-5E771F4BA3B0}" name="Column3292"/>
    <tableColumn id="3295" xr3:uid="{824BAD75-CE31-4259-B090-A3E608AE20AD}" name="Column3293"/>
    <tableColumn id="3296" xr3:uid="{5D645387-8F0F-4D77-8CFD-B8478BDDB7A7}" name="Column3294"/>
    <tableColumn id="3297" xr3:uid="{D632FDF0-8D69-41A1-867A-D2086DE404B8}" name="Column3295"/>
    <tableColumn id="3298" xr3:uid="{834FB552-B623-4099-85AA-64F0DD5A353F}" name="Column3296"/>
    <tableColumn id="3299" xr3:uid="{7DB3B866-2CED-4A88-97FA-7F0A36C5CB79}" name="Column3297"/>
    <tableColumn id="3300" xr3:uid="{91A4F510-3FF0-47D9-87A9-5C43A0A10256}" name="Column3298"/>
    <tableColumn id="3301" xr3:uid="{DD1EC240-ACAA-4346-B4EA-EEA07BDB9E4D}" name="Column3299"/>
    <tableColumn id="3302" xr3:uid="{C93CCED0-D18B-441F-B9D6-9D1095B710B4}" name="Column3300"/>
    <tableColumn id="3303" xr3:uid="{558767DF-2542-4F35-A697-D97C83939BEA}" name="Column3301"/>
    <tableColumn id="3304" xr3:uid="{57D8FB1F-D063-44A5-9C05-1088DCDBE1BB}" name="Column3302"/>
    <tableColumn id="3305" xr3:uid="{064A943B-85DC-49B4-8381-677F000528E1}" name="Column3303"/>
    <tableColumn id="3306" xr3:uid="{96FE38B3-E1C4-4B50-9D1D-AF037ACB0008}" name="Column3304"/>
    <tableColumn id="3307" xr3:uid="{9BC2D2BD-7BE1-468F-A58F-0F0F4DCDB4A3}" name="Column3305"/>
    <tableColumn id="3308" xr3:uid="{AAB2E7BD-3CDE-47EB-A8C4-CB5889E8A787}" name="Column3306"/>
    <tableColumn id="3309" xr3:uid="{FDDE5FF6-5419-49EF-BC42-563BD9DAF9AB}" name="Column3307"/>
    <tableColumn id="3310" xr3:uid="{561748A2-8691-4C62-B144-92F6F03E266C}" name="Column3308"/>
    <tableColumn id="3311" xr3:uid="{CACDF49B-54E7-4F03-965C-8B0EA1A3D28F}" name="Column3309"/>
    <tableColumn id="3312" xr3:uid="{9400404A-0CF3-4441-AEC1-A12A977C8165}" name="Column3310"/>
    <tableColumn id="3313" xr3:uid="{D0095244-5D67-4A6F-B8CB-F76DA4ABF377}" name="Column3311"/>
    <tableColumn id="3314" xr3:uid="{43344426-22DC-407C-9C4F-7B098C8AF179}" name="Column3312"/>
    <tableColumn id="3315" xr3:uid="{EE9AF06A-40A1-4714-9B57-680080C27472}" name="Column3313"/>
    <tableColumn id="3316" xr3:uid="{5C947116-8B15-4AD2-9523-A18F1CAD9C47}" name="Column3314"/>
    <tableColumn id="3317" xr3:uid="{CC5BEB01-E707-4145-A52F-0346EEDD19CA}" name="Column3315"/>
    <tableColumn id="3318" xr3:uid="{9021E664-6060-4181-A08B-2455B8A51DD3}" name="Column3316"/>
    <tableColumn id="3319" xr3:uid="{5C66415E-1AA4-43CC-845F-D5EED13DF7D5}" name="Column3317"/>
    <tableColumn id="3320" xr3:uid="{303B39B1-001F-4AD4-8A01-E75372A57C9D}" name="Column3318"/>
    <tableColumn id="3321" xr3:uid="{620E3860-20B9-470A-8B45-5B69E47BAA30}" name="Column3319"/>
    <tableColumn id="3322" xr3:uid="{4BB43365-1419-45B0-8203-F04733E3A9EE}" name="Column3320"/>
    <tableColumn id="3323" xr3:uid="{25736929-F072-43C0-9EA5-F2553CF69607}" name="Column3321"/>
    <tableColumn id="3324" xr3:uid="{85E3A0A3-9694-4B78-A433-48DC3141CF7D}" name="Column3322"/>
    <tableColumn id="3325" xr3:uid="{C7ABF3F4-472C-4E23-B0CB-710ADD413F64}" name="Column3323"/>
    <tableColumn id="3326" xr3:uid="{74355852-8931-49D4-9658-188C83226B04}" name="Column3324"/>
    <tableColumn id="3327" xr3:uid="{488D10EB-F26D-4D23-AA20-C36606DA49C7}" name="Column3325"/>
    <tableColumn id="3328" xr3:uid="{B73ED27D-8F16-4A63-8120-F3672CD1422F}" name="Column3326"/>
    <tableColumn id="3329" xr3:uid="{7394624B-481B-4D47-9D27-753D6D382F1A}" name="Column3327"/>
    <tableColumn id="3330" xr3:uid="{E96C0376-BAFE-4137-8EC5-7FE767604B8A}" name="Column3328"/>
    <tableColumn id="3331" xr3:uid="{88800A82-3F49-446A-B5FD-CEFC64CF08C3}" name="Column3329"/>
    <tableColumn id="3332" xr3:uid="{869F7C07-00BA-4A21-9830-688644897A41}" name="Column3330"/>
    <tableColumn id="3333" xr3:uid="{77EDA0D9-6CE4-4030-9F20-0607E6392367}" name="Column3331"/>
    <tableColumn id="3334" xr3:uid="{A8D4975C-7DB7-40E3-85C3-B4FC49588814}" name="Column3332"/>
    <tableColumn id="3335" xr3:uid="{E8D2A12F-335F-431D-9CCF-3F69BA563441}" name="Column3333"/>
    <tableColumn id="3336" xr3:uid="{5E7FB61F-4892-4294-BEA9-C08EAC6BF69F}" name="Column3334"/>
    <tableColumn id="3337" xr3:uid="{E285B347-FBD7-440D-8268-BF6868AA50EF}" name="Column3335"/>
    <tableColumn id="3338" xr3:uid="{E512AD28-47B2-4EC3-AB37-B323E9E027C3}" name="Column3336"/>
    <tableColumn id="3339" xr3:uid="{F5702CC5-484A-44A0-9FC7-1E36A2AB7D03}" name="Column3337"/>
    <tableColumn id="3340" xr3:uid="{03AA9DCE-6BDA-4156-AFDB-CCA82E208342}" name="Column3338"/>
    <tableColumn id="3341" xr3:uid="{09D17B88-2A19-496C-84B1-B8A20CD1C760}" name="Column3339"/>
    <tableColumn id="3342" xr3:uid="{66DF5703-ECDE-4F45-BA34-1DD1CF4C7C97}" name="Column3340"/>
    <tableColumn id="3343" xr3:uid="{6890D9BB-7E88-476D-9BAE-D670C8B04034}" name="Column3341"/>
    <tableColumn id="3344" xr3:uid="{816E7C2D-8ECD-4458-9EEA-ACB76F4C0AD1}" name="Column3342"/>
    <tableColumn id="3345" xr3:uid="{ACF95B1A-3DD1-4C7A-8703-A5CFEAA437DB}" name="Column3343"/>
    <tableColumn id="3346" xr3:uid="{50972A31-C240-430F-A854-3570201DFF49}" name="Column3344"/>
    <tableColumn id="3347" xr3:uid="{61BBAB5C-72DE-4D12-826B-AFA0A7D25B11}" name="Column3345"/>
    <tableColumn id="3348" xr3:uid="{30706C30-BFE4-48CB-AA7C-E84F7DE029BE}" name="Column3346"/>
    <tableColumn id="3349" xr3:uid="{0F0ABAB7-8D14-4EDC-A5BD-B59A7327271C}" name="Column3347"/>
    <tableColumn id="3350" xr3:uid="{AC831EE3-CBC2-4520-A7DB-5BA83A206AA7}" name="Column3348"/>
    <tableColumn id="3351" xr3:uid="{F2F11134-6251-434F-8326-729382D69F40}" name="Column3349"/>
    <tableColumn id="3352" xr3:uid="{0112CDB4-1DBC-44C0-8A43-6EE83790212A}" name="Column3350"/>
    <tableColumn id="3353" xr3:uid="{0EC5CB7E-119F-479B-A656-67E9638D97B3}" name="Column3351"/>
    <tableColumn id="3354" xr3:uid="{BD231886-9CE6-4DF7-A92A-D418F613E8C6}" name="Column3352"/>
    <tableColumn id="3355" xr3:uid="{82893CD0-8967-4012-B6C0-BC08E541F404}" name="Column3353"/>
    <tableColumn id="3356" xr3:uid="{CC6E6616-E32E-409F-8D59-CF6F2C286F3C}" name="Column3354"/>
    <tableColumn id="3357" xr3:uid="{BD04D6C7-3415-4292-80A0-EFF82B86C7D7}" name="Column3355"/>
    <tableColumn id="3358" xr3:uid="{1141B35F-B6D1-4848-865D-C944E3EF2D31}" name="Column3356"/>
    <tableColumn id="3359" xr3:uid="{22E61F79-54E1-470E-9409-DAFBFE4EC86E}" name="Column3357"/>
    <tableColumn id="3360" xr3:uid="{A77E166B-489D-4DCE-96C2-8BC7DC3C89A6}" name="Column3358"/>
    <tableColumn id="3361" xr3:uid="{33D27683-FAA0-4700-908E-E5CCF2958A90}" name="Column3359"/>
    <tableColumn id="3362" xr3:uid="{65F2D046-551B-44E8-96D6-6002FD764065}" name="Column3360"/>
    <tableColumn id="3363" xr3:uid="{ECBACAF6-D9A4-4B68-B6FF-7DC0A5C79D66}" name="Column3361"/>
    <tableColumn id="3364" xr3:uid="{59082314-39CC-4DF6-8AAA-DB63748C716B}" name="Column3362"/>
    <tableColumn id="3365" xr3:uid="{D00FF67C-CA76-4D0D-B1A3-36A07EA8D833}" name="Column3363"/>
    <tableColumn id="3366" xr3:uid="{DE6E5644-1368-4D2B-8E9F-4D7B4BC5E38E}" name="Column3364"/>
    <tableColumn id="3367" xr3:uid="{04CC7F88-388D-4180-9375-7C7F1F0BB316}" name="Column3365"/>
    <tableColumn id="3368" xr3:uid="{080B40E0-8885-450E-96A2-3B03F584596B}" name="Column3366"/>
    <tableColumn id="3369" xr3:uid="{E33658E1-8A5C-4119-AFA0-EA66B7AAD4F5}" name="Column3367"/>
    <tableColumn id="3370" xr3:uid="{8D54FD97-215B-4983-8847-F113F249AEFC}" name="Column3368"/>
    <tableColumn id="3371" xr3:uid="{71DD476D-F4ED-4EFF-A9AE-849F1D9EECC8}" name="Column3369"/>
    <tableColumn id="3372" xr3:uid="{1796D0E3-1064-4E5A-8A5C-BD3A4B4569E4}" name="Column3370"/>
    <tableColumn id="3373" xr3:uid="{6B49B729-0810-46EC-8C23-9740A9567A63}" name="Column3371"/>
    <tableColumn id="3374" xr3:uid="{58557412-D0CD-4116-87E2-FADB6E427C95}" name="Column3372"/>
    <tableColumn id="3375" xr3:uid="{B6536A83-601D-45A1-BD44-EE254B92AA65}" name="Column3373"/>
    <tableColumn id="3376" xr3:uid="{920EBBD3-D79A-4172-8454-E395165D42D9}" name="Column3374"/>
    <tableColumn id="3377" xr3:uid="{92B1B2F7-756C-4142-A953-B42945447292}" name="Column3375"/>
    <tableColumn id="3378" xr3:uid="{0F64A693-8B4D-4E90-B99B-31711E67B23C}" name="Column3376"/>
    <tableColumn id="3379" xr3:uid="{620374F0-CDD8-4623-B820-B2BC7E5C71FA}" name="Column3377"/>
    <tableColumn id="3380" xr3:uid="{D897FB93-C796-4E05-830B-D9C11437C5AB}" name="Column3378"/>
    <tableColumn id="3381" xr3:uid="{F7912A8E-AF1E-4CC8-AA9F-BA8EF74215FF}" name="Column3379"/>
    <tableColumn id="3382" xr3:uid="{54A1C8BB-193D-48A5-8854-59C6D155F7A6}" name="Column3380"/>
    <tableColumn id="3383" xr3:uid="{EB713E54-A0DC-434F-9DBB-814A220C0AD1}" name="Column3381"/>
    <tableColumn id="3384" xr3:uid="{4974B46B-2794-441C-8D25-D0A0D310B916}" name="Column3382"/>
    <tableColumn id="3385" xr3:uid="{452AC79F-AE27-44AC-83D8-133CCB2ACC23}" name="Column3383"/>
    <tableColumn id="3386" xr3:uid="{D5E82E0F-A1D8-4F25-AC92-82A4366A9BE9}" name="Column3384"/>
    <tableColumn id="3387" xr3:uid="{E367FD28-09B2-484A-940E-1F07BC46DBC7}" name="Column3385"/>
    <tableColumn id="3388" xr3:uid="{7EB06B43-CE27-46C6-BF2C-9E24765DD3E4}" name="Column3386"/>
    <tableColumn id="3389" xr3:uid="{10D45853-6F70-4890-9C7D-61C1FF38B44A}" name="Column3387"/>
    <tableColumn id="3390" xr3:uid="{D5727398-92AF-4B94-B97E-992981A27DF5}" name="Column3388"/>
    <tableColumn id="3391" xr3:uid="{81F090BA-297E-4D6F-ADE0-49DB9B09C5BC}" name="Column3389"/>
    <tableColumn id="3392" xr3:uid="{F8171799-8A81-4902-BF24-87E0FB54C1D7}" name="Column3390"/>
    <tableColumn id="3393" xr3:uid="{4F4023F2-A90B-4796-8C7B-597A4216251B}" name="Column3391"/>
    <tableColumn id="3394" xr3:uid="{C326BBC2-ED43-4B7C-97CF-216487C1D0D2}" name="Column3392"/>
    <tableColumn id="3395" xr3:uid="{C6C94674-9A87-4B4E-8F1A-007198510F04}" name="Column3393"/>
    <tableColumn id="3396" xr3:uid="{77E77EB3-5E48-44A2-A206-7BF2D0DB1AE9}" name="Column3394"/>
    <tableColumn id="3397" xr3:uid="{991A8474-C2E3-40B0-9DB3-FDFC99A4F52E}" name="Column3395"/>
    <tableColumn id="3398" xr3:uid="{BC579286-5D77-4405-8537-CBFCC7E3C6EC}" name="Column3396"/>
    <tableColumn id="3399" xr3:uid="{92F21EA9-0E2E-486F-A627-DDA79545E6AB}" name="Column3397"/>
    <tableColumn id="3400" xr3:uid="{13BF6A0D-04B7-4E1B-9E67-46CC5486D4A4}" name="Column3398"/>
    <tableColumn id="3401" xr3:uid="{9639D2EF-4E41-45B7-8347-8BA14695417B}" name="Column3399"/>
    <tableColumn id="3402" xr3:uid="{5842A240-83F1-40FD-A9A9-993EB3A4F3F7}" name="Column3400"/>
    <tableColumn id="3403" xr3:uid="{77122C2D-56AD-4092-9869-494313E9BC6B}" name="Column3401"/>
    <tableColumn id="3404" xr3:uid="{2A128362-4337-4822-92B5-F67CBBCB8866}" name="Column3402"/>
    <tableColumn id="3405" xr3:uid="{1F299C1E-6183-49A8-980C-228F373B60AC}" name="Column3403"/>
    <tableColumn id="3406" xr3:uid="{168C3F2D-933C-467F-B656-3A4C8AAABDC4}" name="Column3404"/>
    <tableColumn id="3407" xr3:uid="{D6AF6E9F-D98D-463B-B1DA-D13CC03794ED}" name="Column3405"/>
    <tableColumn id="3408" xr3:uid="{12615364-417C-453B-91EA-D167A04F2291}" name="Column3406"/>
    <tableColumn id="3409" xr3:uid="{0260EACB-C73B-4ECC-9A46-5D1756978836}" name="Column3407"/>
    <tableColumn id="3410" xr3:uid="{E6055529-FC07-4CB0-BDCC-B21D3FE053F8}" name="Column3408"/>
    <tableColumn id="3411" xr3:uid="{6F718EE2-717C-4944-B787-5B324EA20C03}" name="Column3409"/>
    <tableColumn id="3412" xr3:uid="{2D8AF9CE-63A3-40C4-AE71-E7286786F106}" name="Column3410"/>
    <tableColumn id="3413" xr3:uid="{7185CAAB-43F4-42EA-8876-0AAFA33FF4AB}" name="Column3411"/>
    <tableColumn id="3414" xr3:uid="{B9CF66CB-12E9-45A1-88A7-1C96508EB3D5}" name="Column3412"/>
    <tableColumn id="3415" xr3:uid="{6E5EF65C-9299-4F7D-90FC-ACC347F65EAA}" name="Column3413"/>
    <tableColumn id="3416" xr3:uid="{668D7507-B3EB-4C08-A7A9-426371B98521}" name="Column3414"/>
    <tableColumn id="3417" xr3:uid="{A5C75E74-D804-4637-904B-54A100E16CFF}" name="Column3415"/>
    <tableColumn id="3418" xr3:uid="{FF397B6A-C1B3-47E2-9A2A-A06FB0E2D637}" name="Column3416"/>
    <tableColumn id="3419" xr3:uid="{6B5AEE78-8013-46DA-B19E-241C7D092C21}" name="Column3417"/>
    <tableColumn id="3420" xr3:uid="{2FF324A7-AC18-41EF-B717-EB2BF1797BEA}" name="Column3418"/>
    <tableColumn id="3421" xr3:uid="{77923A2B-7592-4D40-9EB3-E328F449B8C6}" name="Column3419"/>
    <tableColumn id="3422" xr3:uid="{EE722821-10F1-4BC0-8224-F33528A97F0C}" name="Column3420"/>
    <tableColumn id="3423" xr3:uid="{0EB00E7D-506D-4297-9A13-05AA0E068216}" name="Column3421"/>
    <tableColumn id="3424" xr3:uid="{CD50E9C7-A924-44E8-BBAA-07108886A4E8}" name="Column3422"/>
    <tableColumn id="3425" xr3:uid="{7C6B6BBE-4296-4364-8EAA-633910B3820E}" name="Column3423"/>
    <tableColumn id="3426" xr3:uid="{E57D2202-99B0-44D7-B42D-EBDC9BD09C95}" name="Column3424"/>
    <tableColumn id="3427" xr3:uid="{96EEC175-6E0C-41FB-A4E0-1EE53326507F}" name="Column3425"/>
    <tableColumn id="3428" xr3:uid="{01EA659E-A968-4BC1-8292-FCE32CD856BA}" name="Column3426"/>
    <tableColumn id="3429" xr3:uid="{66CC3C74-F139-4101-B9C2-409C2CFFD662}" name="Column3427"/>
    <tableColumn id="3430" xr3:uid="{A5DD7D7B-AD7E-48EF-8E35-3ACB4B3433C7}" name="Column3428"/>
    <tableColumn id="3431" xr3:uid="{2D0E5864-B9F7-470A-82C4-B3141CE3F9EC}" name="Column3429"/>
    <tableColumn id="3432" xr3:uid="{F297DD59-F0D1-408A-B590-93B8871AEEF4}" name="Column3430"/>
    <tableColumn id="3433" xr3:uid="{50C4D511-44A0-4016-B15D-5D03CF2EF025}" name="Column3431"/>
    <tableColumn id="3434" xr3:uid="{800543CC-D60E-4499-9007-C118750E7E71}" name="Column3432"/>
    <tableColumn id="3435" xr3:uid="{8E40FB94-51D3-4F06-8CB5-481F19B6C279}" name="Column3433"/>
    <tableColumn id="3436" xr3:uid="{FB778504-71C0-4E48-BC29-89F2792DD11F}" name="Column3434"/>
    <tableColumn id="3437" xr3:uid="{D336DD7A-4B49-4AE2-957A-9EB36DC9DF22}" name="Column3435"/>
    <tableColumn id="3438" xr3:uid="{EFF33DDE-8249-4DAA-B3E1-B8F5D53B990B}" name="Column3436"/>
    <tableColumn id="3439" xr3:uid="{1F89C21A-73C4-4B67-9971-04CB8E55FF6F}" name="Column3437"/>
    <tableColumn id="3440" xr3:uid="{A15A43F1-C5BA-4480-A31C-584236716A50}" name="Column3438"/>
    <tableColumn id="3441" xr3:uid="{2286F480-3298-4975-A63F-D60EE0C9CA8A}" name="Column3439"/>
    <tableColumn id="3442" xr3:uid="{AA0B03D9-FE73-4EF7-A413-B7FAD0A3D7AC}" name="Column3440"/>
    <tableColumn id="3443" xr3:uid="{B1D8DA3F-0082-497D-9DE8-383E4D74A915}" name="Column3441"/>
    <tableColumn id="3444" xr3:uid="{21115152-4096-4AC4-9B8E-2D4A9C0871D1}" name="Column3442"/>
    <tableColumn id="3445" xr3:uid="{6F80923D-7D49-4497-A2CD-F055128A0967}" name="Column3443"/>
    <tableColumn id="3446" xr3:uid="{9E41A82C-6A22-4EDE-9285-964742059C0F}" name="Column3444"/>
    <tableColumn id="3447" xr3:uid="{25C62D3E-4073-433D-BE45-B556C314E746}" name="Column3445"/>
    <tableColumn id="3448" xr3:uid="{C2A3A818-399B-41D4-9A21-2BB3D3029A88}" name="Column3446"/>
    <tableColumn id="3449" xr3:uid="{EFEB02A8-82E0-428A-A2FA-171C55B39B75}" name="Column3447"/>
    <tableColumn id="3450" xr3:uid="{0412ACE9-6B0A-4403-AD42-9CB6196CCC77}" name="Column3448"/>
    <tableColumn id="3451" xr3:uid="{DD8031AA-F2E4-4BEE-A6BF-FE2546B2CD2A}" name="Column3449"/>
    <tableColumn id="3452" xr3:uid="{FDA7CF9C-6CFF-4B4D-9C99-8573BA03B414}" name="Column3450"/>
    <tableColumn id="3453" xr3:uid="{906E1731-0B8A-44C1-A25A-2AEA63BAFA49}" name="Column3451"/>
    <tableColumn id="3454" xr3:uid="{8DBE8D59-921B-42D5-8ED9-6E5303CB7F6C}" name="Column3452"/>
    <tableColumn id="3455" xr3:uid="{2C02A134-E9C4-4CE1-8134-5BE8E9BAEA96}" name="Column3453"/>
    <tableColumn id="3456" xr3:uid="{2C71FFB5-AD7E-4431-87F1-FE462125D244}" name="Column3454"/>
    <tableColumn id="3457" xr3:uid="{4321EC65-61D5-419C-B4A7-7C25E5467305}" name="Column3455"/>
    <tableColumn id="3458" xr3:uid="{D859BF53-C7A7-4932-9993-EEBFF50FAE56}" name="Column3456"/>
    <tableColumn id="3459" xr3:uid="{6C94492A-6540-4CF0-87BF-37D908FD6163}" name="Column3457"/>
    <tableColumn id="3460" xr3:uid="{B0C50F12-9550-4A3A-8582-F6D1B8584E15}" name="Column3458"/>
    <tableColumn id="3461" xr3:uid="{48CAFCED-6B14-418A-8D05-7AFE6BCC657E}" name="Column3459"/>
    <tableColumn id="3462" xr3:uid="{A7BBB344-47B3-4C68-BA4F-951C8179F16E}" name="Column3460"/>
    <tableColumn id="3463" xr3:uid="{0DB6AEC0-799C-4BC2-83F3-F5037F2A081D}" name="Column3461"/>
    <tableColumn id="3464" xr3:uid="{F1DD56E6-832C-4642-8C97-0EFE079D7793}" name="Column3462"/>
    <tableColumn id="3465" xr3:uid="{236D7452-891C-44F2-9221-86BBC834CF4E}" name="Column3463"/>
    <tableColumn id="3466" xr3:uid="{8017023C-B169-4D7F-AD12-2CD09AA8C017}" name="Column3464"/>
    <tableColumn id="3467" xr3:uid="{A36B4862-8354-4E9E-8377-08A9BCCFBD99}" name="Column3465"/>
    <tableColumn id="3468" xr3:uid="{31AF9124-6C85-41C0-88BB-031575DAD6E7}" name="Column3466"/>
    <tableColumn id="3469" xr3:uid="{51C5792F-6248-4852-91F4-DC8502C1F0FE}" name="Column3467"/>
    <tableColumn id="3470" xr3:uid="{2846D142-1801-4CE2-BD51-E4F87E8994E9}" name="Column3468"/>
    <tableColumn id="3471" xr3:uid="{663530EB-A059-4DDE-9168-BAD88554230B}" name="Column3469"/>
    <tableColumn id="3472" xr3:uid="{A85EB633-ACF5-44A9-8DE9-31B81ABCEF4A}" name="Column3470"/>
    <tableColumn id="3473" xr3:uid="{A6315FEF-5B8A-41CB-9E40-88D8B6DA9CCC}" name="Column3471"/>
    <tableColumn id="3474" xr3:uid="{39E4EB2F-BB95-4655-993E-E5B9F141EFF6}" name="Column3472"/>
    <tableColumn id="3475" xr3:uid="{BFAD75B3-6FD7-4BF9-915B-A64D5FA24F2D}" name="Column3473"/>
    <tableColumn id="3476" xr3:uid="{14364287-3FA6-45BC-83B5-F764E3844C97}" name="Column3474"/>
    <tableColumn id="3477" xr3:uid="{5E19E081-4DF5-4C16-B9D0-7716BF94DFD8}" name="Column3475"/>
    <tableColumn id="3478" xr3:uid="{BF4B8F38-E072-4BA4-BFF0-B79FB9E86B17}" name="Column3476"/>
    <tableColumn id="3479" xr3:uid="{86258BE2-1A26-44E6-8EC8-A629B50FD614}" name="Column3477"/>
    <tableColumn id="3480" xr3:uid="{5F13982A-083F-42E1-B1FE-F2932D2F8BB8}" name="Column3478"/>
    <tableColumn id="3481" xr3:uid="{0634B3BF-A5E2-4660-B2E9-DC16303F8896}" name="Column3479"/>
    <tableColumn id="3482" xr3:uid="{3117934E-0604-4880-991A-513E73F3F713}" name="Column3480"/>
    <tableColumn id="3483" xr3:uid="{7CB7875C-C86D-4349-A46B-A303AC6DA945}" name="Column3481"/>
    <tableColumn id="3484" xr3:uid="{11570D57-8A4C-4E5D-9EEF-3CC85C9066CE}" name="Column3482"/>
    <tableColumn id="3485" xr3:uid="{6A07C8CA-DCA5-4ADA-B664-276BD29DCF87}" name="Column3483"/>
    <tableColumn id="3486" xr3:uid="{FF5BADFC-8CD2-403B-8210-0B75F7FB5FA7}" name="Column3484"/>
    <tableColumn id="3487" xr3:uid="{C01857BE-1698-4292-9CCE-D63031CCB028}" name="Column3485"/>
    <tableColumn id="3488" xr3:uid="{B0A776AE-43AB-4669-99B1-02672617D359}" name="Column3486"/>
    <tableColumn id="3489" xr3:uid="{C7361C2D-90BC-448E-9DDC-80FB283D003B}" name="Column3487"/>
    <tableColumn id="3490" xr3:uid="{4D75DE16-442C-4D00-8FFE-4EBB7D33D376}" name="Column3488"/>
    <tableColumn id="3491" xr3:uid="{C967F6E0-E963-48FA-97B2-5F2F0A3F6BF0}" name="Column3489"/>
    <tableColumn id="3492" xr3:uid="{E72A17F6-0311-45AF-ACDE-1A6D6AC016C4}" name="Column3490"/>
    <tableColumn id="3493" xr3:uid="{286B4A81-B885-4F58-8082-3C167D5272D8}" name="Column3491"/>
    <tableColumn id="3494" xr3:uid="{21873D7D-1B7C-4B38-A011-4136F7C8FA2A}" name="Column3492"/>
    <tableColumn id="3495" xr3:uid="{BFC2D43D-D638-4C73-AF88-BF794CFFD9FC}" name="Column3493"/>
    <tableColumn id="3496" xr3:uid="{7A3A5D39-BF53-4122-A112-6105537A5DA8}" name="Column3494"/>
    <tableColumn id="3497" xr3:uid="{23868BE7-65AE-4207-8C02-56D17964EC43}" name="Column3495"/>
    <tableColumn id="3498" xr3:uid="{5CBB4955-48F2-4401-9176-539E08A6601D}" name="Column3496"/>
    <tableColumn id="3499" xr3:uid="{9723B3F0-3E58-4361-9F87-C7938643BD4F}" name="Column3497"/>
    <tableColumn id="3500" xr3:uid="{E58D63F5-62F6-4B22-84F1-A3DB124E7866}" name="Column3498"/>
    <tableColumn id="3501" xr3:uid="{17E3FA98-2917-41DF-BF61-FFA700831B54}" name="Column3499"/>
    <tableColumn id="3502" xr3:uid="{B05ECED5-D867-4EBF-B767-077EA6F116B8}" name="Column3500"/>
    <tableColumn id="3503" xr3:uid="{8881BAD1-45CF-4F5D-A8D0-51E1F27442CB}" name="Column3501"/>
    <tableColumn id="3504" xr3:uid="{334F4E24-4166-409F-A6DA-8131D5A867A6}" name="Column3502"/>
    <tableColumn id="3505" xr3:uid="{FC2FA8CE-2691-4A23-9876-EEAB1E16CF81}" name="Column3503"/>
    <tableColumn id="3506" xr3:uid="{A58D6381-6029-4C46-89F0-180C753DD015}" name="Column3504"/>
    <tableColumn id="3507" xr3:uid="{9F589E53-5741-4760-A80E-9DE77258F862}" name="Column3505"/>
    <tableColumn id="3508" xr3:uid="{9FBFB2DA-D4B7-4F70-AD79-CDD01A6838F7}" name="Column3506"/>
    <tableColumn id="3509" xr3:uid="{9BB93478-8E9D-4C3A-8DC6-2961670BC5E6}" name="Column3507"/>
    <tableColumn id="3510" xr3:uid="{CD499372-B205-482F-9E97-1AAB4AB93590}" name="Column3508"/>
    <tableColumn id="3511" xr3:uid="{2C5E4F74-CEC2-4FDF-A436-84F4B377F11B}" name="Column3509"/>
    <tableColumn id="3512" xr3:uid="{014D8746-3A72-4C3C-9D49-C2BA90A63F76}" name="Column3510"/>
    <tableColumn id="3513" xr3:uid="{365E1549-D6BE-41EB-AA0D-A9706D1ACDF6}" name="Column3511"/>
    <tableColumn id="3514" xr3:uid="{F291807E-B4CD-44DD-AE46-80BD6E5C5D10}" name="Column3512"/>
    <tableColumn id="3515" xr3:uid="{B34FE878-A651-4C33-B6F0-D8C237E2514C}" name="Column3513"/>
    <tableColumn id="3516" xr3:uid="{BCDBB68D-CB09-48BE-AFA0-7884A0813EA8}" name="Column3514"/>
    <tableColumn id="3517" xr3:uid="{E4EFEB2F-16D1-4F9D-B704-F1E158D2D06E}" name="Column3515"/>
    <tableColumn id="3518" xr3:uid="{BA517562-4C02-4E0F-B24C-677C296A516C}" name="Column3516"/>
    <tableColumn id="3519" xr3:uid="{BD077378-473B-4BDD-83EF-088B70FBDA64}" name="Column3517"/>
    <tableColumn id="3520" xr3:uid="{1E6F59AD-6923-4B53-88CD-CD0147A6F0B9}" name="Column3518"/>
    <tableColumn id="3521" xr3:uid="{5A9FEF1A-8BE7-40D4-AA12-E804CB4F5030}" name="Column3519"/>
    <tableColumn id="3522" xr3:uid="{2EF36D9B-B0CB-4D3F-AFC4-4AF923672E59}" name="Column3520"/>
    <tableColumn id="3523" xr3:uid="{DF8B13B1-F4A5-4CE4-8537-A8D4563B8FB0}" name="Column3521"/>
    <tableColumn id="3524" xr3:uid="{842DE886-43C7-40D7-B9C3-251F9ED9169B}" name="Column3522"/>
    <tableColumn id="3525" xr3:uid="{C0576456-9562-445A-BED2-A053314BE147}" name="Column3523"/>
    <tableColumn id="3526" xr3:uid="{2610F9CD-C42A-48C0-80B9-ACDB56D35F33}" name="Column3524"/>
    <tableColumn id="3527" xr3:uid="{59C3FACE-8FDB-4E45-B796-7B214090ED18}" name="Column3525"/>
    <tableColumn id="3528" xr3:uid="{CE59C9A3-AEC5-45E3-9FD8-0AF64F582F98}" name="Column3526"/>
    <tableColumn id="3529" xr3:uid="{C729E7A5-3B85-4F89-BB90-8B14EB4B8029}" name="Column3527"/>
    <tableColumn id="3530" xr3:uid="{31129264-6C40-445B-ADFF-F76C211B02E8}" name="Column3528"/>
    <tableColumn id="3531" xr3:uid="{3027F493-0ACB-447F-A0C8-850038014E47}" name="Column3529"/>
    <tableColumn id="3532" xr3:uid="{30FE9377-D391-4823-A050-5E983FF27BCE}" name="Column3530"/>
    <tableColumn id="3533" xr3:uid="{65A4E1D8-EEDF-4401-B2C9-CAAD3E151204}" name="Column3531"/>
    <tableColumn id="3534" xr3:uid="{70FE0DCA-9A88-49C8-8FE5-E29940910DB7}" name="Column3532"/>
    <tableColumn id="3535" xr3:uid="{C54BFD28-CD94-4D27-9DFE-C20B392740FD}" name="Column3533"/>
    <tableColumn id="3536" xr3:uid="{7A006249-15AD-4DF4-ABD7-ADE92AC0E831}" name="Column3534"/>
    <tableColumn id="3537" xr3:uid="{F2EC260E-CFDC-4DC6-B2A9-6BCE1CB1BD7C}" name="Column3535"/>
    <tableColumn id="3538" xr3:uid="{A03748BF-3C9D-406A-B87F-01DA2AF577B8}" name="Column3536"/>
    <tableColumn id="3539" xr3:uid="{D57CFA2E-CE0A-4819-8774-B7511CC5D167}" name="Column3537"/>
    <tableColumn id="3540" xr3:uid="{B73F8CF9-B92D-435A-915D-5A9A92C3A827}" name="Column3538"/>
    <tableColumn id="3541" xr3:uid="{BC47F70C-0FA8-4688-AD5B-005887022DF5}" name="Column3539"/>
    <tableColumn id="3542" xr3:uid="{15EC7592-5A53-445C-9D69-2457E33B4CAE}" name="Column3540"/>
    <tableColumn id="3543" xr3:uid="{4EA45C15-AB11-42F5-BB1B-1436EA796C2D}" name="Column3541"/>
    <tableColumn id="3544" xr3:uid="{541031F7-FE62-442A-9B0B-72A796F99F29}" name="Column3542"/>
    <tableColumn id="3545" xr3:uid="{AF684313-113A-4B5E-B438-027B6EC168CA}" name="Column3543"/>
    <tableColumn id="3546" xr3:uid="{FD219D6A-C933-4D64-BA17-CE7CF20D0F80}" name="Column3544"/>
    <tableColumn id="3547" xr3:uid="{967E3289-98DF-4C94-B5C3-02EB8557EA91}" name="Column3545"/>
    <tableColumn id="3548" xr3:uid="{6199EE10-E123-492C-84C7-238C02D798CD}" name="Column3546"/>
    <tableColumn id="3549" xr3:uid="{547590D8-BFDF-4A40-B10E-2517404755CD}" name="Column3547"/>
    <tableColumn id="3550" xr3:uid="{4EC9398B-30BD-43A7-9549-D4BB95D222DA}" name="Column3548"/>
    <tableColumn id="3551" xr3:uid="{5D14A760-7505-43DC-8A1D-0F3B398BB14C}" name="Column3549"/>
    <tableColumn id="3552" xr3:uid="{BF9074AF-4A2C-4ED1-8483-2C88C2DEB37B}" name="Column3550"/>
    <tableColumn id="3553" xr3:uid="{2E86C910-98B6-47FA-9D5D-5A08877D27C7}" name="Column3551"/>
    <tableColumn id="3554" xr3:uid="{33541719-E021-4793-8781-1431ADE4D01F}" name="Column3552"/>
    <tableColumn id="3555" xr3:uid="{34F5BE10-42BD-43DA-B771-E3B2A5CE8FBA}" name="Column3553"/>
    <tableColumn id="3556" xr3:uid="{AE931822-2B9C-4EA1-BB1E-950681B0B949}" name="Column3554"/>
    <tableColumn id="3557" xr3:uid="{C7534450-6922-47FC-95D9-455F04EF9190}" name="Column3555"/>
    <tableColumn id="3558" xr3:uid="{D35840B8-2D85-44F2-9A06-A92BC8A8CD58}" name="Column3556"/>
    <tableColumn id="3559" xr3:uid="{C57EA911-E4DE-462B-BEA6-0C4E7EC486FA}" name="Column3557"/>
    <tableColumn id="3560" xr3:uid="{FDCFAE61-2B38-44DF-A0A5-E50F43B107E9}" name="Column3558"/>
    <tableColumn id="3561" xr3:uid="{AE3A184F-B3EE-4435-A8BC-EB5729E004D4}" name="Column3559"/>
    <tableColumn id="3562" xr3:uid="{386B1C94-A75F-44E1-BC76-34D01361840F}" name="Column3560"/>
    <tableColumn id="3563" xr3:uid="{4A359A6E-5191-45E3-B157-B1EB207C34AE}" name="Column3561"/>
    <tableColumn id="3564" xr3:uid="{5FF679D5-9ECE-4E68-9068-850BBA86A953}" name="Column3562"/>
    <tableColumn id="3565" xr3:uid="{F09C49C9-468E-4DDA-8D5F-67C0AB264AF8}" name="Column3563"/>
    <tableColumn id="3566" xr3:uid="{E4F7DF04-96B4-49B4-A97E-9DF481BF98AB}" name="Column3564"/>
    <tableColumn id="3567" xr3:uid="{6ABEF02A-5937-4706-A079-B340994236AA}" name="Column3565"/>
    <tableColumn id="3568" xr3:uid="{38C80BD3-65A9-42AB-BB2E-A427931D7763}" name="Column3566"/>
    <tableColumn id="3569" xr3:uid="{AB6E4E66-71C4-4C03-929F-A6DA8F3AF596}" name="Column3567"/>
    <tableColumn id="3570" xr3:uid="{E06044B0-3607-4332-9B2A-864CCEE7BD08}" name="Column3568"/>
    <tableColumn id="3571" xr3:uid="{9D6D46CB-04A7-4864-9B68-66F656586D52}" name="Column3569"/>
    <tableColumn id="3572" xr3:uid="{A5FB855C-5351-49AC-96A5-5D4CD8CF4BD8}" name="Column3570"/>
    <tableColumn id="3573" xr3:uid="{D6216997-233B-4F33-837B-231AD613FD46}" name="Column3571"/>
    <tableColumn id="3574" xr3:uid="{92687879-5846-4FFA-825E-023903B4B148}" name="Column3572"/>
    <tableColumn id="3575" xr3:uid="{A47CD56D-8C43-4049-8409-86C0E9CF9F6B}" name="Column3573"/>
    <tableColumn id="3576" xr3:uid="{013114A3-33A9-416E-9146-559417B5961D}" name="Column3574"/>
    <tableColumn id="3577" xr3:uid="{57B775BC-0B71-47EA-937D-9938397C2EA5}" name="Column3575"/>
    <tableColumn id="3578" xr3:uid="{221C541E-CE8E-4F83-95FC-0712A84B4A25}" name="Column3576"/>
    <tableColumn id="3579" xr3:uid="{E72A39C3-62A8-41C5-B600-11758C9D513F}" name="Column3577"/>
    <tableColumn id="3580" xr3:uid="{25B649E7-50C4-4FD1-B42C-3E26C7751B6C}" name="Column3578"/>
    <tableColumn id="3581" xr3:uid="{EBB6DC46-5E4A-467D-93FE-97288F5AFEB9}" name="Column3579"/>
    <tableColumn id="3582" xr3:uid="{9D2C088D-634F-4D1A-B37A-D50AF5AD2128}" name="Column3580"/>
    <tableColumn id="3583" xr3:uid="{5682B004-7327-4209-BCF1-F4BE8BD08337}" name="Column3581"/>
    <tableColumn id="3584" xr3:uid="{3928751B-755E-47AE-B00A-7FDEAFCC0B3E}" name="Column3582"/>
    <tableColumn id="3585" xr3:uid="{65342D13-6FC4-41AE-97DC-C5D91D51E2F3}" name="Column3583"/>
    <tableColumn id="3586" xr3:uid="{48D355CE-CB82-44E2-90D4-7F1B1FC31D83}" name="Column3584"/>
    <tableColumn id="3587" xr3:uid="{5C47E92C-FBB9-4CA2-B2B9-954F8DE9172B}" name="Column3585"/>
    <tableColumn id="3588" xr3:uid="{AE1AB052-8134-4570-8297-387F9D6601BD}" name="Column3586"/>
    <tableColumn id="3589" xr3:uid="{76B2B6CD-AC13-4C4D-B027-97D693590C92}" name="Column3587"/>
    <tableColumn id="3590" xr3:uid="{59DAD2EC-7028-4821-B988-EBDFE93DDC2B}" name="Column3588"/>
    <tableColumn id="3591" xr3:uid="{846F0F6C-C9EE-4C88-9D2E-91CA8DF03609}" name="Column3589"/>
    <tableColumn id="3592" xr3:uid="{285680F6-020C-4E48-9CA0-B2EF50D951E7}" name="Column3590"/>
    <tableColumn id="3593" xr3:uid="{4DD0A451-8219-4364-8EF2-E71D38A050E3}" name="Column3591"/>
    <tableColumn id="3594" xr3:uid="{6879CA26-DF87-43D0-A24D-E6F22A82A5EE}" name="Column3592"/>
    <tableColumn id="3595" xr3:uid="{890BC2D6-C2E8-4103-9FEC-A52135C6AA39}" name="Column3593"/>
    <tableColumn id="3596" xr3:uid="{0E235EBA-F68C-4E92-851B-6EDB9FC3CB69}" name="Column3594"/>
    <tableColumn id="3597" xr3:uid="{0BBB658E-626B-4EAF-A3B5-9B1440E10BF8}" name="Column3595"/>
    <tableColumn id="3598" xr3:uid="{6D4725E2-E083-44F8-826F-F3D39C3E0B70}" name="Column3596"/>
    <tableColumn id="3599" xr3:uid="{495DFD68-A3C9-4434-855A-E21D5BE9D2AE}" name="Column3597"/>
    <tableColumn id="3600" xr3:uid="{26C1BE84-4D04-43ED-95BD-58EA82113ADB}" name="Column3598"/>
    <tableColumn id="3601" xr3:uid="{9AC78030-0F3A-4B35-B6FB-349291B6AA68}" name="Column3599"/>
    <tableColumn id="3602" xr3:uid="{D78F0A08-1D3E-4300-A3A9-C36D92E057A9}" name="Column3600"/>
    <tableColumn id="3603" xr3:uid="{005D57C3-E547-474B-99E3-0BF1CC9A626F}" name="Column3601"/>
    <tableColumn id="3604" xr3:uid="{FFF84D58-91AA-4C18-8898-B650E4709A87}" name="Column3602"/>
    <tableColumn id="3605" xr3:uid="{7BA9C067-820B-4597-BB07-70D0FC431CE7}" name="Column3603"/>
    <tableColumn id="3606" xr3:uid="{A4BB12C9-3613-4952-A837-6AD5C55ACFAF}" name="Column3604"/>
    <tableColumn id="3607" xr3:uid="{4D915DA6-F25A-4A3B-BCE9-493039193E16}" name="Column3605"/>
    <tableColumn id="3608" xr3:uid="{37D8558B-64CC-401B-8D07-532A4EB2BCA2}" name="Column3606"/>
    <tableColumn id="3609" xr3:uid="{1DB97A75-2B4C-4F7C-8344-AD7DA31945A0}" name="Column3607"/>
    <tableColumn id="3610" xr3:uid="{343502CA-4469-49BD-9640-7A88EA0680A5}" name="Column3608"/>
    <tableColumn id="3611" xr3:uid="{DBDAAC71-09BA-43A2-BAE9-76436BCF60A6}" name="Column3609"/>
    <tableColumn id="3612" xr3:uid="{4CDE636C-D0B1-4B02-9525-B336968B66B6}" name="Column3610"/>
    <tableColumn id="3613" xr3:uid="{65F14F1A-3AF3-4274-A675-EFC570CA6EA6}" name="Column3611"/>
    <tableColumn id="3614" xr3:uid="{C7454B00-15C5-4626-A165-4C846FF3B69E}" name="Column3612"/>
    <tableColumn id="3615" xr3:uid="{6AFB799A-1B70-4CFE-8AEA-AAB668469F71}" name="Column3613"/>
    <tableColumn id="3616" xr3:uid="{241A4320-2A2F-4DBE-9DCE-C6F2F2EBB7EB}" name="Column3614"/>
    <tableColumn id="3617" xr3:uid="{645D0FA5-9A5A-4B5F-A3AD-B73E528CFA92}" name="Column3615"/>
    <tableColumn id="3618" xr3:uid="{09F566FB-24A3-4A48-B5C7-CA94ADC4A4A2}" name="Column3616"/>
    <tableColumn id="3619" xr3:uid="{D18F9596-99CD-49A1-B22A-45A4ACD99865}" name="Column3617"/>
    <tableColumn id="3620" xr3:uid="{D353EE6F-09D3-40B1-B0E0-CE4A3B4C8B34}" name="Column3618"/>
    <tableColumn id="3621" xr3:uid="{226B60DF-1ED5-47D0-85DA-D2F604E8C246}" name="Column3619"/>
    <tableColumn id="3622" xr3:uid="{0356796B-D134-4827-93EA-E9D5C1D7AB66}" name="Column3620"/>
    <tableColumn id="3623" xr3:uid="{06547A6C-B7E1-405C-97A9-22FD545E6EE5}" name="Column3621"/>
    <tableColumn id="3624" xr3:uid="{8F7622E7-0CAB-40F5-9331-28D94060BB42}" name="Column3622"/>
    <tableColumn id="3625" xr3:uid="{826F8889-E161-4FB0-B430-9E29D7A1C488}" name="Column3623"/>
    <tableColumn id="3626" xr3:uid="{FF2688E4-E379-444B-AE30-7225F173E7B8}" name="Column3624"/>
    <tableColumn id="3627" xr3:uid="{080BAB14-3DE8-43BE-9F2F-5814B5CD2B2B}" name="Column3625"/>
    <tableColumn id="3628" xr3:uid="{54E7C4AE-2969-4597-890B-390779F9A3DE}" name="Column3626"/>
    <tableColumn id="3629" xr3:uid="{3ED11162-EBC8-4A84-9533-25FBFD9E7968}" name="Column3627"/>
    <tableColumn id="3630" xr3:uid="{27CDC1A4-4658-4ACF-A9BE-73697DA3D8FF}" name="Column3628"/>
    <tableColumn id="3631" xr3:uid="{8601797E-D68C-4736-93AA-A05F3C531D08}" name="Column3629"/>
    <tableColumn id="3632" xr3:uid="{155087D1-E4EC-4472-9388-F99DD3A31459}" name="Column3630"/>
    <tableColumn id="3633" xr3:uid="{BDC9EDE5-350C-4F20-AD58-9F424E74337D}" name="Column3631"/>
    <tableColumn id="3634" xr3:uid="{68CD4BEC-5F5D-4DF6-AB2C-3BCCFF58A1D5}" name="Column3632"/>
    <tableColumn id="3635" xr3:uid="{1D8D9BE9-7951-4B0E-A955-B76B3160525F}" name="Column3633"/>
    <tableColumn id="3636" xr3:uid="{BEB141B5-B0EB-4910-95EC-18B6E0738C58}" name="Column3634"/>
    <tableColumn id="3637" xr3:uid="{CE0E6F37-2E38-4262-929A-EE4358EBC47E}" name="Column3635"/>
    <tableColumn id="3638" xr3:uid="{4DC26DF9-7BC3-43E2-B8E2-0CBFACEF047D}" name="Column3636"/>
    <tableColumn id="3639" xr3:uid="{91453A38-710E-4D5F-88D5-A1124CE6D5D6}" name="Column3637"/>
    <tableColumn id="3640" xr3:uid="{BC49E1CE-75D2-4613-96E7-AB67B55A6A95}" name="Column3638"/>
    <tableColumn id="3641" xr3:uid="{351AC02E-08FD-4439-BADF-10F06F17400B}" name="Column3639"/>
    <tableColumn id="3642" xr3:uid="{ACFD2140-E9FA-4EB8-BDB5-E390B97E1E98}" name="Column3640"/>
    <tableColumn id="3643" xr3:uid="{4403B977-1A5D-4DFA-AC18-A55457448384}" name="Column3641"/>
    <tableColumn id="3644" xr3:uid="{0390296E-A5E4-49F6-83D6-08C2F19B98DC}" name="Column3642"/>
    <tableColumn id="3645" xr3:uid="{A6CFD92F-7105-48B9-83AA-72B5EF5BCFE0}" name="Column3643"/>
    <tableColumn id="3646" xr3:uid="{825B7580-4949-406F-8B45-93F7B34226C0}" name="Column3644"/>
    <tableColumn id="3647" xr3:uid="{78F6534C-4ACD-44FA-AEE4-5DC57FEF2108}" name="Column3645"/>
    <tableColumn id="3648" xr3:uid="{535A2CD1-8DE4-47B7-AF6F-8C316A27B455}" name="Column3646"/>
    <tableColumn id="3649" xr3:uid="{662EE160-BCC0-4DE9-A6F1-8E9161E79745}" name="Column3647"/>
    <tableColumn id="3650" xr3:uid="{C2D3B194-BB21-41A4-95F2-25E8640551D7}" name="Column3648"/>
    <tableColumn id="3651" xr3:uid="{5A7AE79E-3858-4C01-B6F5-AE2CC73C246C}" name="Column3649"/>
    <tableColumn id="3652" xr3:uid="{49E9EBC8-9ECD-4BF1-840B-FBD345511416}" name="Column3650"/>
    <tableColumn id="3653" xr3:uid="{8BBC0691-1E4B-4D41-B7FA-8DAC4F4204D3}" name="Column3651"/>
    <tableColumn id="3654" xr3:uid="{D9DBA816-368F-4B3D-A917-024DFE539CFA}" name="Column3652"/>
    <tableColumn id="3655" xr3:uid="{83099F59-D8D2-460E-A028-A62E60904A6B}" name="Column3653"/>
    <tableColumn id="3656" xr3:uid="{8533751F-4F19-4E83-B50E-863CCD1EF81F}" name="Column3654"/>
    <tableColumn id="3657" xr3:uid="{5BF14100-10B3-4EEA-A7AF-6B64F6228EEF}" name="Column3655"/>
    <tableColumn id="3658" xr3:uid="{3C5E79DD-044C-476A-89F8-23EC8A9F6514}" name="Column3656"/>
    <tableColumn id="3659" xr3:uid="{DE1C448F-7A16-403F-90A9-C3D51FB20435}" name="Column3657"/>
    <tableColumn id="3660" xr3:uid="{59AC9A20-6E0A-477B-98EB-76D827DAC942}" name="Column3658"/>
    <tableColumn id="3661" xr3:uid="{E7D38CA7-D88C-45C1-AFE0-7C3F8EE7E409}" name="Column3659"/>
    <tableColumn id="3662" xr3:uid="{B15BA92D-48C2-4B40-BBC4-2ECEDA5BA158}" name="Column3660"/>
    <tableColumn id="3663" xr3:uid="{80DC3AE4-BF00-43B9-808D-16DB01EBBAB4}" name="Column3661"/>
    <tableColumn id="3664" xr3:uid="{C897B09B-2A67-4AF0-A9E3-9213635EB363}" name="Column3662"/>
    <tableColumn id="3665" xr3:uid="{9D8549D0-8AA4-44C1-A418-3CFA4D722D5D}" name="Column3663"/>
    <tableColumn id="3666" xr3:uid="{779F367E-A81C-452C-8421-374A8D78E542}" name="Column3664"/>
    <tableColumn id="3667" xr3:uid="{9137FF91-5AFD-4195-8FFA-C1C3D7873B58}" name="Column3665"/>
    <tableColumn id="3668" xr3:uid="{F9F508FA-92E1-48E2-B9DB-AC805839E8AF}" name="Column3666"/>
    <tableColumn id="3669" xr3:uid="{CFA32882-328E-4B2C-8F2F-19AE9F19B3E2}" name="Column3667"/>
    <tableColumn id="3670" xr3:uid="{7DBCFD21-E9CE-4E25-8BCB-596180B726AC}" name="Column3668"/>
    <tableColumn id="3671" xr3:uid="{F17EBE11-428A-4E11-92D3-3EDB37978867}" name="Column3669"/>
    <tableColumn id="3672" xr3:uid="{2DA365EC-37B7-4EFA-B8C3-4CB8ECFEC128}" name="Column3670"/>
    <tableColumn id="3673" xr3:uid="{4E5D0846-B43E-46FE-9FDB-650DF93CB099}" name="Column3671"/>
    <tableColumn id="3674" xr3:uid="{762047B5-4B3C-458A-BCEE-8632DC9D19E3}" name="Column3672"/>
    <tableColumn id="3675" xr3:uid="{17B18DAB-FE4D-4B89-968B-79DFFA09DBB8}" name="Column3673"/>
    <tableColumn id="3676" xr3:uid="{C1338CCE-7EE6-4A1F-8549-824B1B604F9F}" name="Column3674"/>
    <tableColumn id="3677" xr3:uid="{6EF10358-DC52-4378-AF67-31118FB33B4F}" name="Column3675"/>
    <tableColumn id="3678" xr3:uid="{267A8934-8018-4CF9-AC0B-2FA780DD397E}" name="Column3676"/>
    <tableColumn id="3679" xr3:uid="{B934ECF8-4BD9-4899-A264-8936058B7EAF}" name="Column3677"/>
    <tableColumn id="3680" xr3:uid="{0643B78F-0585-4D8B-8190-21E5CEF658CA}" name="Column3678"/>
    <tableColumn id="3681" xr3:uid="{F5B2EDBE-0335-4FE7-AC13-7AA6F0B2D7CB}" name="Column3679"/>
    <tableColumn id="3682" xr3:uid="{65022668-3CE9-4E1A-BB13-6EDBAB480D22}" name="Column3680"/>
    <tableColumn id="3683" xr3:uid="{1042D5D1-6BE9-4CB5-B639-DF3312C0CA7D}" name="Column3681"/>
    <tableColumn id="3684" xr3:uid="{F934B10A-B60D-4C9C-AAD4-2F79AC225270}" name="Column3682"/>
    <tableColumn id="3685" xr3:uid="{01A6B35A-2EF8-4DC5-9050-9781FBACDD20}" name="Column3683"/>
    <tableColumn id="3686" xr3:uid="{A565F0DF-2C5A-40DB-9C52-D5B01131E20C}" name="Column3684"/>
    <tableColumn id="3687" xr3:uid="{BFF4DC32-684F-41EC-A6FF-D378055A5E88}" name="Column3685"/>
    <tableColumn id="3688" xr3:uid="{AB07CE38-8E2A-4FA4-8ACD-03C3EA790516}" name="Column3686"/>
    <tableColumn id="3689" xr3:uid="{BA139237-182B-4098-8524-FA5546B27062}" name="Column3687"/>
    <tableColumn id="3690" xr3:uid="{251BFBC2-8F49-437B-AC1D-FFF6EFE4EF27}" name="Column3688"/>
    <tableColumn id="3691" xr3:uid="{92AE0C64-4FB6-4A60-A1DA-024CEDFD2A6F}" name="Column3689"/>
    <tableColumn id="3692" xr3:uid="{746AB07C-6BCE-45EA-8FE8-4A2DBED57BAB}" name="Column3690"/>
    <tableColumn id="3693" xr3:uid="{A5F45B02-1257-4B65-AF44-927FB55DBA25}" name="Column3691"/>
    <tableColumn id="3694" xr3:uid="{651D4646-1446-4F77-91B1-4BA976755776}" name="Column3692"/>
    <tableColumn id="3695" xr3:uid="{4A89A829-7CB6-4793-AA8B-A639CCA62B0E}" name="Column3693"/>
    <tableColumn id="3696" xr3:uid="{9B7D5560-29F5-413B-AC3D-E7BB7DA71DEC}" name="Column3694"/>
    <tableColumn id="3697" xr3:uid="{3C244E01-F0EC-4949-A67F-3467A49AD5CF}" name="Column3695"/>
    <tableColumn id="3698" xr3:uid="{8E3A83DF-9F27-4F05-8901-5C5D20934AE8}" name="Column3696"/>
    <tableColumn id="3699" xr3:uid="{8B6CB084-EEC0-4A5B-83FA-4B0C86205CB6}" name="Column3697"/>
    <tableColumn id="3700" xr3:uid="{656CCA47-59A8-4007-A614-A4656D665ACD}" name="Column3698"/>
    <tableColumn id="3701" xr3:uid="{606CC146-BBBD-49E1-94DB-C7C9CB776D8C}" name="Column3699"/>
    <tableColumn id="3702" xr3:uid="{AECC75A3-37F3-4484-9C35-74A5C016CF95}" name="Column3700"/>
    <tableColumn id="3703" xr3:uid="{7981B970-0923-4DBD-9670-01BE1A8395B9}" name="Column3701"/>
    <tableColumn id="3704" xr3:uid="{B893EB39-9C63-4405-8748-657B0843EF96}" name="Column3702"/>
    <tableColumn id="3705" xr3:uid="{CAD24553-F2A2-413A-9003-7AC98A361A25}" name="Column3703"/>
    <tableColumn id="3706" xr3:uid="{61983E4B-60A6-4C96-8683-6F43E2085D46}" name="Column3704"/>
    <tableColumn id="3707" xr3:uid="{5CAC3FDA-63B1-40B2-AEAF-D158070D6E26}" name="Column3705"/>
    <tableColumn id="3708" xr3:uid="{C695CE3B-364B-4DEA-A614-902D89590E2D}" name="Column3706"/>
    <tableColumn id="3709" xr3:uid="{F0454CF3-8823-4F43-94E9-0875A24611F8}" name="Column3707"/>
    <tableColumn id="3710" xr3:uid="{BB6C8D9E-423D-45FA-855E-E979644198FA}" name="Column3708"/>
    <tableColumn id="3711" xr3:uid="{0F62A61D-8521-4346-8149-00558A071AF6}" name="Column3709"/>
    <tableColumn id="3712" xr3:uid="{F97CEFC7-4FE4-4BF3-A24F-7F335156BE91}" name="Column3710"/>
    <tableColumn id="3713" xr3:uid="{395F8E03-1B7B-4EDE-93BB-00AC30730476}" name="Column3711"/>
    <tableColumn id="3714" xr3:uid="{4203E9C5-8E10-4E03-B61F-FF90F160227B}" name="Column3712"/>
    <tableColumn id="3715" xr3:uid="{B1F0F745-B329-4102-9122-01885AC6DA2E}" name="Column3713"/>
    <tableColumn id="3716" xr3:uid="{7FE3D438-D3F5-45BE-8DD3-5B9854648343}" name="Column3714"/>
    <tableColumn id="3717" xr3:uid="{9E8AAC20-C3FF-432E-ABC8-5C8146322273}" name="Column3715"/>
    <tableColumn id="3718" xr3:uid="{F86F779E-4750-43CA-9315-B90F77E27774}" name="Column3716"/>
    <tableColumn id="3719" xr3:uid="{57BE4859-674D-46BA-8001-0D7552A02082}" name="Column3717"/>
    <tableColumn id="3720" xr3:uid="{16313DAF-104B-40B6-94D7-194A80948C3F}" name="Column3718"/>
    <tableColumn id="3721" xr3:uid="{EFAA8A24-0E2E-486D-90F4-1B97059131B0}" name="Column3719"/>
    <tableColumn id="3722" xr3:uid="{55BA0128-7B7F-48FF-95C0-114FC9550C60}" name="Column3720"/>
    <tableColumn id="3723" xr3:uid="{9EDD5A12-5FFB-4052-A277-434BE2240ADF}" name="Column3721"/>
    <tableColumn id="3724" xr3:uid="{13F85C45-1F61-42D0-9EB7-11F2EA6C0560}" name="Column3722"/>
    <tableColumn id="3725" xr3:uid="{74D427E8-5797-49B6-B108-B8D5762730C4}" name="Column3723"/>
    <tableColumn id="3726" xr3:uid="{E092D24E-4224-45B3-88FD-C1D8E56AA155}" name="Column3724"/>
    <tableColumn id="3727" xr3:uid="{5CB5BD4A-59F1-4480-A594-6667E0753397}" name="Column3725"/>
    <tableColumn id="3728" xr3:uid="{F3550E0C-A30A-4ADF-BB23-B7FC0E085DA9}" name="Column3726"/>
    <tableColumn id="3729" xr3:uid="{5011554A-9E40-4739-85E7-B939531AB679}" name="Column3727"/>
    <tableColumn id="3730" xr3:uid="{286B3971-19AE-4E1E-B5CC-305F3C176C40}" name="Column3728"/>
    <tableColumn id="3731" xr3:uid="{4252677C-5F45-4651-A9D3-523F3FBAA00E}" name="Column3729"/>
    <tableColumn id="3732" xr3:uid="{63C3DE2F-F091-40C7-9F89-13B749849AF0}" name="Column3730"/>
    <tableColumn id="3733" xr3:uid="{E592D7C1-6526-4D9F-9D0D-0675458C0555}" name="Column3731"/>
    <tableColumn id="3734" xr3:uid="{C3EBD4E8-2E59-479E-B78F-C9A9193248F9}" name="Column3732"/>
    <tableColumn id="3735" xr3:uid="{F6C25BED-E7E2-4195-9975-C9F3BD041BE4}" name="Column3733"/>
    <tableColumn id="3736" xr3:uid="{93AFC18D-B9F4-4E16-AC33-956B06DDBE37}" name="Column3734"/>
    <tableColumn id="3737" xr3:uid="{23B01BD9-35D7-47F6-8FC4-E3487C04A2E9}" name="Column3735"/>
    <tableColumn id="3738" xr3:uid="{33A064F0-3C6B-4097-8166-338A335266DF}" name="Column3736"/>
    <tableColumn id="3739" xr3:uid="{CCFA08DA-952B-4C5D-A1FC-139CD5B5579A}" name="Column3737"/>
    <tableColumn id="3740" xr3:uid="{0998B80F-49A0-41C1-AABC-FFD2E991F612}" name="Column3738"/>
    <tableColumn id="3741" xr3:uid="{4F22D531-7243-4AF1-A3EA-062C23E57D48}" name="Column3739"/>
    <tableColumn id="3742" xr3:uid="{B2C29C7F-7B78-47B4-AF50-9EB31C68E53A}" name="Column3740"/>
    <tableColumn id="3743" xr3:uid="{44B177C9-15A0-4950-B55B-9F2BF99ED2C2}" name="Column3741"/>
    <tableColumn id="3744" xr3:uid="{8DDFBFCC-B716-4BB9-9526-6349ADB9684E}" name="Column3742"/>
    <tableColumn id="3745" xr3:uid="{FBE3ACEE-644A-4C5D-AA84-20AAC16D7015}" name="Column3743"/>
    <tableColumn id="3746" xr3:uid="{491BDCE2-5034-441C-BF8D-A36309991A64}" name="Column3744"/>
    <tableColumn id="3747" xr3:uid="{2021347C-CD8C-44D7-87CA-11D64E29D2EB}" name="Column3745"/>
    <tableColumn id="3748" xr3:uid="{F4507618-8A9E-49F0-8AA0-3EA26DC79E76}" name="Column3746"/>
    <tableColumn id="3749" xr3:uid="{F2BEC7F8-A55D-40E1-97FD-4A2E01990992}" name="Column3747"/>
    <tableColumn id="3750" xr3:uid="{A77A68C7-93CC-4C3B-B218-8B2A2D166710}" name="Column3748"/>
    <tableColumn id="3751" xr3:uid="{7B26D16D-8C39-405C-9236-55527A61A135}" name="Column3749"/>
    <tableColumn id="3752" xr3:uid="{BC866DE4-854C-4D76-A301-379BA5E6FF0E}" name="Column3750"/>
    <tableColumn id="3753" xr3:uid="{278937B2-64FF-47A1-9F85-C1430A4BE88F}" name="Column3751"/>
    <tableColumn id="3754" xr3:uid="{3EC48C14-42C9-4FFA-ABEB-61894DF3A2E8}" name="Column3752"/>
    <tableColumn id="3755" xr3:uid="{8413C982-054B-45DA-867B-D7E19DC3C815}" name="Column3753"/>
    <tableColumn id="3756" xr3:uid="{B282DDA3-8090-4102-B4DB-1DDAC7C8A18B}" name="Column3754"/>
    <tableColumn id="3757" xr3:uid="{A4677A30-1827-4B96-B2F5-1E5401EA1AE6}" name="Column3755"/>
    <tableColumn id="3758" xr3:uid="{FE32E958-28EB-4A93-930C-014D1BE44FBC}" name="Column3756"/>
    <tableColumn id="3759" xr3:uid="{FEDE96BF-FB4F-4660-AC0D-37B9BAB059CA}" name="Column3757"/>
    <tableColumn id="3760" xr3:uid="{984052E6-BC98-494C-A5D3-C73F14A31CA8}" name="Column3758"/>
    <tableColumn id="3761" xr3:uid="{DA019891-E14D-4192-8717-543F4B71A734}" name="Column3759"/>
    <tableColumn id="3762" xr3:uid="{BF74CA30-9AB4-4D71-AFF8-08BD997FF9A9}" name="Column3760"/>
    <tableColumn id="3763" xr3:uid="{F4D4E469-536B-4ACA-A377-2A681539425F}" name="Column3761"/>
    <tableColumn id="3764" xr3:uid="{059E9FF2-A07E-40DB-A2FD-0C6C5BBD2BCF}" name="Column3762"/>
    <tableColumn id="3765" xr3:uid="{0F2B31C4-1CE1-4075-A8C7-56AF570A7BF6}" name="Column3763"/>
    <tableColumn id="3766" xr3:uid="{823EC9FD-BB2A-4A11-84F0-CBAD749221A5}" name="Column3764"/>
    <tableColumn id="3767" xr3:uid="{FABAE56E-B5C8-41F7-B515-06B701ECF67E}" name="Column3765"/>
    <tableColumn id="3768" xr3:uid="{F7C8F3BA-F47A-4DC7-B3DD-1697241EDF2D}" name="Column3766"/>
    <tableColumn id="3769" xr3:uid="{71F5896F-98F4-4068-9A35-60E20ECE8FA6}" name="Column3767"/>
    <tableColumn id="3770" xr3:uid="{FBFC0CE8-C1F9-4620-A4E7-E23B49213036}" name="Column3768"/>
    <tableColumn id="3771" xr3:uid="{C246958D-4A5F-4BCC-A9BC-A78B0EBDFF24}" name="Column3769"/>
    <tableColumn id="3772" xr3:uid="{78C949CA-1186-4A5B-AE0D-A0195ACEAA0A}" name="Column3770"/>
    <tableColumn id="3773" xr3:uid="{69FE62F2-9709-470B-8E0A-3435E60132B4}" name="Column3771"/>
    <tableColumn id="3774" xr3:uid="{A733762B-8D03-4048-A074-BE428304BF30}" name="Column3772"/>
    <tableColumn id="3775" xr3:uid="{449DD51F-DDDE-44B4-9538-61C43D4F8B5C}" name="Column3773"/>
    <tableColumn id="3776" xr3:uid="{E678F7B1-F4C1-4E27-9DA7-943DA7A56CBB}" name="Column3774"/>
    <tableColumn id="3777" xr3:uid="{67A49596-A703-4A36-9721-8B1D84C50A95}" name="Column3775"/>
    <tableColumn id="3778" xr3:uid="{5CCCE0F4-127C-4CC4-BAA2-FB1E0EA21EC7}" name="Column3776"/>
    <tableColumn id="3779" xr3:uid="{DE3D1CDC-6B59-49E5-9800-23FD6DDFA983}" name="Column3777"/>
    <tableColumn id="3780" xr3:uid="{3C3628CA-3C67-49C5-8A6D-2A40B6A79090}" name="Column3778"/>
    <tableColumn id="3781" xr3:uid="{55BAB040-CE33-470E-9502-16159E9FD17E}" name="Column3779"/>
    <tableColumn id="3782" xr3:uid="{135B2482-81AA-4DBD-BA62-7E828A53073F}" name="Column3780"/>
    <tableColumn id="3783" xr3:uid="{BE54A637-F811-4C22-9BD8-221F0C43873D}" name="Column3781"/>
    <tableColumn id="3784" xr3:uid="{8053B6BB-171A-470A-8CAD-C1B2DEA9A30A}" name="Column3782"/>
    <tableColumn id="3785" xr3:uid="{AB807C3F-7C2E-4F38-9B0B-EC651EF6459E}" name="Column3783"/>
    <tableColumn id="3786" xr3:uid="{30F748FD-0CAD-4BAB-A514-8C41E2932719}" name="Column3784"/>
    <tableColumn id="3787" xr3:uid="{83668BEE-24D4-441D-A853-2C4854FCB092}" name="Column3785"/>
    <tableColumn id="3788" xr3:uid="{479D4E4B-E349-4A76-94FB-EED7323E12E8}" name="Column3786"/>
    <tableColumn id="3789" xr3:uid="{4969D150-22CC-48FB-848C-4146DD06C44F}" name="Column3787"/>
    <tableColumn id="3790" xr3:uid="{FB25478B-0C5A-4C81-B20A-4FAF9E8A4382}" name="Column3788"/>
    <tableColumn id="3791" xr3:uid="{227871F3-E00B-4584-918F-645247A14D5B}" name="Column3789"/>
    <tableColumn id="3792" xr3:uid="{B71C9131-CE09-4F9A-87A9-8C379FE8CC7E}" name="Column3790"/>
    <tableColumn id="3793" xr3:uid="{F9A4956E-83EA-4DCD-A53D-F28E6CB31AA9}" name="Column3791"/>
    <tableColumn id="3794" xr3:uid="{DD510A90-AED5-499F-BC0F-3A72B073BA9E}" name="Column3792"/>
    <tableColumn id="3795" xr3:uid="{508A96B3-A002-43A2-B612-BA85EA7B138D}" name="Column3793"/>
    <tableColumn id="3796" xr3:uid="{EFF1F10F-6E6B-4780-91AF-6894F52A5FD3}" name="Column3794"/>
    <tableColumn id="3797" xr3:uid="{A9471741-7CEE-4F50-A954-A6EA02CF1031}" name="Column3795"/>
    <tableColumn id="3798" xr3:uid="{9096E4B3-183B-46C7-B4E7-96C7D110DA21}" name="Column3796"/>
    <tableColumn id="3799" xr3:uid="{3F30E856-6132-4393-BF31-21886FEDF12B}" name="Column3797"/>
    <tableColumn id="3800" xr3:uid="{FEFB70CE-ED99-4E1E-B94A-2AFC6F7F5D48}" name="Column3798"/>
    <tableColumn id="3801" xr3:uid="{A8BD8F65-A920-4FBB-B133-BCCB8100BDCB}" name="Column3799"/>
    <tableColumn id="3802" xr3:uid="{CBA11F05-A2A2-408A-BB94-957703F1FA34}" name="Column3800"/>
    <tableColumn id="3803" xr3:uid="{E4E2332F-084D-47C0-AD09-B7EF4C4E773C}" name="Column3801"/>
    <tableColumn id="3804" xr3:uid="{8C60F15A-1232-4172-BAE4-5FC3B2312048}" name="Column3802"/>
    <tableColumn id="3805" xr3:uid="{78677FB1-67CB-4972-B299-A122345F1778}" name="Column3803"/>
    <tableColumn id="3806" xr3:uid="{C6F1A20C-54D5-4D79-9F9F-F3277C5D109B}" name="Column3804"/>
    <tableColumn id="3807" xr3:uid="{E3C3BB2E-C83D-4F14-B40D-ADA3CC9A1155}" name="Column3805"/>
    <tableColumn id="3808" xr3:uid="{FDD794E6-3B2B-456C-8D27-D504599D5F64}" name="Column3806"/>
    <tableColumn id="3809" xr3:uid="{8BD42D3E-F374-4E46-9B9A-F14F0C49B0F4}" name="Column3807"/>
    <tableColumn id="3810" xr3:uid="{CCEE7BB3-B286-4206-8E7D-11893D7CC6F0}" name="Column3808"/>
    <tableColumn id="3811" xr3:uid="{6D5517B8-9B65-4F52-8CE5-47A09A0FD4D2}" name="Column3809"/>
    <tableColumn id="3812" xr3:uid="{97F49837-A124-45A3-A6A3-5D0EFFE96EA8}" name="Column3810"/>
    <tableColumn id="3813" xr3:uid="{E052E866-12F5-4A01-8FD4-40B248A2F02E}" name="Column3811"/>
    <tableColumn id="3814" xr3:uid="{B5035F5E-7EE3-4AE5-B746-1095493EB6C9}" name="Column3812"/>
    <tableColumn id="3815" xr3:uid="{87393896-AB42-49A0-B1B7-18E62A7662F4}" name="Column3813"/>
    <tableColumn id="3816" xr3:uid="{308CBC55-EC3A-4AEF-AB00-C8FC069E4672}" name="Column3814"/>
    <tableColumn id="3817" xr3:uid="{920B0FCF-D0EC-46D2-817D-EFD5E840B3DA}" name="Column3815"/>
    <tableColumn id="3818" xr3:uid="{709B2463-D0F5-466F-86CD-6F1B47E2D9AA}" name="Column3816"/>
    <tableColumn id="3819" xr3:uid="{98E3109B-FE1E-491B-9E39-3E4723EC449C}" name="Column3817"/>
    <tableColumn id="3820" xr3:uid="{58A2F1D6-652A-4C65-9607-072C0DDFC4C7}" name="Column3818"/>
    <tableColumn id="3821" xr3:uid="{8399AC59-EAE3-4F0B-BB3B-5E000882B966}" name="Column3819"/>
    <tableColumn id="3822" xr3:uid="{2405ED7C-F188-4B56-B64D-4FAC76CCC08C}" name="Column3820"/>
    <tableColumn id="3823" xr3:uid="{A3531342-3DF0-418A-90F5-6727AD1C660B}" name="Column3821"/>
    <tableColumn id="3824" xr3:uid="{FDE1562A-668A-4009-B1CC-F2827258BAC5}" name="Column3822"/>
    <tableColumn id="3825" xr3:uid="{F04B428C-3DA5-42FF-BAD2-23CFAFAAED7F}" name="Column3823"/>
    <tableColumn id="3826" xr3:uid="{82632845-6E3E-4B28-836F-2F149BCFD5EF}" name="Column3824"/>
    <tableColumn id="3827" xr3:uid="{D6B27930-293B-4633-AB3B-ABD2F6EB965F}" name="Column3825"/>
    <tableColumn id="3828" xr3:uid="{D5C5D046-BB64-4ACD-A511-4A7939748D5A}" name="Column3826"/>
    <tableColumn id="3829" xr3:uid="{F1C531FE-F7F5-4265-8BFB-ED70A8D36B76}" name="Column3827"/>
    <tableColumn id="3830" xr3:uid="{D3F9E19C-CF69-4FFB-B0AA-49720362B0AA}" name="Column3828"/>
    <tableColumn id="3831" xr3:uid="{2A1F35A4-CD61-460C-AE31-4874BA1F7EF7}" name="Column3829"/>
    <tableColumn id="3832" xr3:uid="{79CD99AF-EBEF-415C-ABE1-F8DE4D7491EB}" name="Column3830"/>
    <tableColumn id="3833" xr3:uid="{8A801E89-98F1-4F4C-B6EC-E7272AF91519}" name="Column3831"/>
    <tableColumn id="3834" xr3:uid="{79EF5C4B-C8E0-436F-89F5-8D266B83D4BC}" name="Column3832"/>
    <tableColumn id="3835" xr3:uid="{447F7CEC-E05C-4C4D-B88E-52F71B421BE1}" name="Column3833"/>
    <tableColumn id="3836" xr3:uid="{DFC99416-D6C4-48E7-A015-EC29C0E327B6}" name="Column3834"/>
    <tableColumn id="3837" xr3:uid="{E18FF8DF-24C1-4F10-9320-84E41AD90613}" name="Column3835"/>
    <tableColumn id="3838" xr3:uid="{039FAFF6-5B22-429F-98B9-8BD8D63BD82C}" name="Column3836"/>
    <tableColumn id="3839" xr3:uid="{313587D5-FC4C-47EC-A165-D109B27F7AD1}" name="Column3837"/>
    <tableColumn id="3840" xr3:uid="{E308F250-E044-47A0-9C30-A88FEF7333F0}" name="Column3838"/>
    <tableColumn id="3841" xr3:uid="{90B4E6A7-4363-4A1A-B6C6-8468E3F06B73}" name="Column3839"/>
    <tableColumn id="3842" xr3:uid="{4B66254D-C69A-45D6-A9D3-6BDF56C24F28}" name="Column3840"/>
    <tableColumn id="3843" xr3:uid="{D4DF8874-AAEF-48C8-9D9B-AD7D27E13176}" name="Column3841"/>
    <tableColumn id="3844" xr3:uid="{403B8FB6-037F-463C-9546-9E5CAB5AB8E9}" name="Column3842"/>
    <tableColumn id="3845" xr3:uid="{A7BE367E-E0B3-4700-8C04-846A81F7D218}" name="Column3843"/>
    <tableColumn id="3846" xr3:uid="{961C5B54-63C8-43BA-A90D-401B8EE1FEAB}" name="Column3844"/>
    <tableColumn id="3847" xr3:uid="{B1BC6C0B-9EA8-4501-A7A2-D39895229C0F}" name="Column3845"/>
    <tableColumn id="3848" xr3:uid="{3ADDE3C5-8C81-475A-B033-1D947358084D}" name="Column3846"/>
    <tableColumn id="3849" xr3:uid="{B7BC97A9-87A2-4352-B8EA-8A4B71D94293}" name="Column3847"/>
    <tableColumn id="3850" xr3:uid="{7FDBC61E-D85F-4C3C-BE7A-6CE07C86C703}" name="Column3848"/>
    <tableColumn id="3851" xr3:uid="{51C04BAA-407E-42BF-8C93-DCE229A7A404}" name="Column3849"/>
    <tableColumn id="3852" xr3:uid="{55C6D4D1-0460-4E59-91B5-42A4F7777CE7}" name="Column3850"/>
    <tableColumn id="3853" xr3:uid="{6215BC78-259E-4389-BEA9-71EA8376A69E}" name="Column3851"/>
    <tableColumn id="3854" xr3:uid="{3D93DF96-D2FC-4875-A45B-9B1073756F9C}" name="Column3852"/>
    <tableColumn id="3855" xr3:uid="{8B6D91A7-A678-4179-9860-FCFA4EFF5C07}" name="Column3853"/>
    <tableColumn id="3856" xr3:uid="{B04C0435-BA5A-4536-B383-98CB2E859931}" name="Column3854"/>
    <tableColumn id="3857" xr3:uid="{DCF8338E-4221-4AC8-8F0A-CA59B3203EFC}" name="Column3855"/>
    <tableColumn id="3858" xr3:uid="{E299189E-03BD-4D6F-B256-2132205407BA}" name="Column3856"/>
    <tableColumn id="3859" xr3:uid="{2E3E1A11-8054-423A-878D-D6A956A4668E}" name="Column3857"/>
    <tableColumn id="3860" xr3:uid="{6B25B039-C629-47A0-9DF7-02D3A1988A49}" name="Column3858"/>
    <tableColumn id="3861" xr3:uid="{12364F41-706C-4400-84DC-6FB84CCC949A}" name="Column3859"/>
    <tableColumn id="3862" xr3:uid="{81FD55C1-1585-4DCC-9C1C-EF40897DE544}" name="Column3860"/>
    <tableColumn id="3863" xr3:uid="{95030190-09DD-4465-8A02-A9AAA5BB8BF7}" name="Column3861"/>
    <tableColumn id="3864" xr3:uid="{ACFD2D92-0E12-46E1-8854-FE0934872B77}" name="Column3862"/>
    <tableColumn id="3865" xr3:uid="{F40D3AC0-1956-48BA-9753-83843F7AA496}" name="Column3863"/>
    <tableColumn id="3866" xr3:uid="{022C2723-5CF6-4D1F-ADCD-CAC9390DE24D}" name="Column3864"/>
    <tableColumn id="3867" xr3:uid="{8C50B2ED-CD4D-479B-A87E-9388B790BF24}" name="Column3865"/>
    <tableColumn id="3868" xr3:uid="{75C95E1E-375D-454C-8D4D-512FB63C0336}" name="Column3866"/>
    <tableColumn id="3869" xr3:uid="{407C0A7D-C25F-48BB-8405-29C88489D4FB}" name="Column3867"/>
    <tableColumn id="3870" xr3:uid="{A708924E-AB8F-4389-982C-090848370FC7}" name="Column3868"/>
    <tableColumn id="3871" xr3:uid="{EBCA1532-3578-4E26-9F9F-1297C1462D96}" name="Column3869"/>
    <tableColumn id="3872" xr3:uid="{1AEB7D17-C218-4226-8A26-9C06685742CD}" name="Column3870"/>
    <tableColumn id="3873" xr3:uid="{014ECC31-CC20-4730-B046-93897B614A5F}" name="Column3871"/>
    <tableColumn id="3874" xr3:uid="{43915BBC-4BBF-4BD5-885F-4B155C98FAD5}" name="Column3872"/>
    <tableColumn id="3875" xr3:uid="{F876F2D4-0E0F-4E8E-9610-8260EC48AA3E}" name="Column3873"/>
    <tableColumn id="3876" xr3:uid="{45E007CD-469E-42EE-AE43-6FD833BF8FC3}" name="Column3874"/>
    <tableColumn id="3877" xr3:uid="{4F6E1023-575B-46ED-8E53-EF3E623B5581}" name="Column3875"/>
    <tableColumn id="3878" xr3:uid="{2C45D0B0-DE83-4283-A229-70C320608262}" name="Column3876"/>
    <tableColumn id="3879" xr3:uid="{AD666160-654A-4E90-9392-12519675F6B8}" name="Column3877"/>
    <tableColumn id="3880" xr3:uid="{D7CBC15E-F38B-434E-BFF8-93D383B284D0}" name="Column3878"/>
    <tableColumn id="3881" xr3:uid="{18F4CCFA-83C1-4697-BFD9-3B2E8AA3DDE7}" name="Column3879"/>
    <tableColumn id="3882" xr3:uid="{15B09404-15F5-4C38-97B5-A0313FFCE042}" name="Column3880"/>
    <tableColumn id="3883" xr3:uid="{C1F77330-0A0E-4A9C-9EA2-CF437F5FB525}" name="Column3881"/>
    <tableColumn id="3884" xr3:uid="{267AFF71-8E43-49C5-A31F-E9408E8E393D}" name="Column3882"/>
    <tableColumn id="3885" xr3:uid="{2C1F02B1-3C2F-4CC8-8CA1-891AD3AC46E4}" name="Column3883"/>
    <tableColumn id="3886" xr3:uid="{353A7737-72E4-422B-A389-443D7350C585}" name="Column3884"/>
    <tableColumn id="3887" xr3:uid="{2ECAD863-F092-41FE-9581-151EAEE87157}" name="Column3885"/>
    <tableColumn id="3888" xr3:uid="{33F2FDF4-0C59-4290-B68D-7084586E5AC2}" name="Column3886"/>
    <tableColumn id="3889" xr3:uid="{6DC8DBFC-AB55-4103-9B7A-FF43CEA6D5E2}" name="Column3887"/>
    <tableColumn id="3890" xr3:uid="{086B6AA3-F702-414C-967F-0906401B1FE2}" name="Column3888"/>
    <tableColumn id="3891" xr3:uid="{D62831D4-4697-4604-B64A-E08265CCC2F8}" name="Column3889"/>
    <tableColumn id="3892" xr3:uid="{410718B7-1680-47BD-AFD9-DD4C180698F9}" name="Column3890"/>
    <tableColumn id="3893" xr3:uid="{DA4BED15-97CD-42C9-8CE9-BA583942CC16}" name="Column3891"/>
    <tableColumn id="3894" xr3:uid="{E8BE73C5-4331-4037-AB5E-019F97850C64}" name="Column3892"/>
    <tableColumn id="3895" xr3:uid="{83A0131C-F8C2-483F-A9C4-7FE6999AB468}" name="Column3893"/>
    <tableColumn id="3896" xr3:uid="{64DEB421-7513-4E18-B741-088C5CA2CC92}" name="Column3894"/>
    <tableColumn id="3897" xr3:uid="{6868526F-6DEA-4B8E-97BE-4A05779253A1}" name="Column3895"/>
    <tableColumn id="3898" xr3:uid="{6AE016B0-5E49-4EA3-A55B-93A6660780CA}" name="Column3896"/>
    <tableColumn id="3899" xr3:uid="{84D23856-16B6-4C93-BD9A-CC238C9B9283}" name="Column3897"/>
    <tableColumn id="3900" xr3:uid="{602B79FE-C401-474D-9A19-F2BA61718273}" name="Column3898"/>
    <tableColumn id="3901" xr3:uid="{9E7CC0D6-158C-429B-8863-FCF03F91954C}" name="Column3899"/>
    <tableColumn id="3902" xr3:uid="{FE971198-FA58-45B3-BA94-AFF6357FEF66}" name="Column3900"/>
    <tableColumn id="3903" xr3:uid="{D407D734-1858-46FB-8543-61B989BB9414}" name="Column3901"/>
    <tableColumn id="3904" xr3:uid="{4C1D0081-08B0-4D9D-A9E2-1129989B6D23}" name="Column3902"/>
    <tableColumn id="3905" xr3:uid="{39FA3AF9-51AE-4AA2-BFB4-9DD1E1E49407}" name="Column3903"/>
    <tableColumn id="3906" xr3:uid="{DE0674C3-722B-4D38-A97F-B9E08E58483C}" name="Column3904"/>
    <tableColumn id="3907" xr3:uid="{30480AC7-A137-40AA-AE54-65254B9B15B8}" name="Column3905"/>
    <tableColumn id="3908" xr3:uid="{C87A562E-B53E-4EE6-989C-9FAD4D43F544}" name="Column3906"/>
    <tableColumn id="3909" xr3:uid="{8B6CC5CE-6F3E-4F43-8DDE-6BB493D51F94}" name="Column3907"/>
    <tableColumn id="3910" xr3:uid="{6CA3F061-FC5D-4EB0-B189-0C407B94867C}" name="Column3908"/>
    <tableColumn id="3911" xr3:uid="{AB5A5469-D7FF-4C5B-885A-E7A92016FE5C}" name="Column3909"/>
    <tableColumn id="3912" xr3:uid="{45197631-E7BF-44A1-889B-597D9FD0C71C}" name="Column3910"/>
    <tableColumn id="3913" xr3:uid="{0C20AF00-60E1-4D72-9426-8FFA7864E482}" name="Column3911"/>
    <tableColumn id="3914" xr3:uid="{48F4274C-9A78-4A91-8591-7BDC2905BBDF}" name="Column3912"/>
    <tableColumn id="3915" xr3:uid="{B8D4A18F-D638-4438-8821-684A5122E9DE}" name="Column3913"/>
    <tableColumn id="3916" xr3:uid="{477D6C34-9701-42B1-BE51-C3BB8E7979C3}" name="Column3914"/>
    <tableColumn id="3917" xr3:uid="{E78E00CC-E9DA-4839-85CD-388F9FAD8CDC}" name="Column3915"/>
    <tableColumn id="3918" xr3:uid="{C0D4B139-2F47-44D6-B417-2439B7532EE3}" name="Column3916"/>
    <tableColumn id="3919" xr3:uid="{0AC0316B-64B6-4F44-99C4-CFFB3253E30D}" name="Column3917"/>
    <tableColumn id="3920" xr3:uid="{33022734-DE96-4BEA-A157-4D134665F860}" name="Column3918"/>
    <tableColumn id="3921" xr3:uid="{0C557225-13FD-4ED8-92D6-C8F6C94874EC}" name="Column3919"/>
    <tableColumn id="3922" xr3:uid="{7463416D-704D-4D59-BF2E-11D1D67F8B7C}" name="Column3920"/>
    <tableColumn id="3923" xr3:uid="{C5472C0E-99AE-405C-A749-2A40257D2687}" name="Column3921"/>
    <tableColumn id="3924" xr3:uid="{4A5D443C-FDA2-4DE3-BE18-9607D90184BC}" name="Column3922"/>
    <tableColumn id="3925" xr3:uid="{CE719EF4-68D9-4885-A583-E25F1ED6AE4E}" name="Column3923"/>
    <tableColumn id="3926" xr3:uid="{5B412D7F-5694-443E-B950-FA0CB289DC7A}" name="Column3924"/>
    <tableColumn id="3927" xr3:uid="{85A9E65A-E8D5-4470-9858-ACC0DC5B1C06}" name="Column3925"/>
    <tableColumn id="3928" xr3:uid="{E846CD96-E178-4564-9AA3-DB58071BA30E}" name="Column3926"/>
    <tableColumn id="3929" xr3:uid="{A0083B6B-5F2F-4D69-8D7B-5C883EB2A772}" name="Column3927"/>
    <tableColumn id="3930" xr3:uid="{7CB1469C-BEB0-414F-B331-A649C477D9CC}" name="Column3928"/>
    <tableColumn id="3931" xr3:uid="{63B9A838-B74E-4CBE-8998-4EFBC0659255}" name="Column3929"/>
    <tableColumn id="3932" xr3:uid="{27B97766-8288-412E-A085-C30E19179370}" name="Column3930"/>
    <tableColumn id="3933" xr3:uid="{A1AFCE56-4103-4C7A-862F-D6C63A9290ED}" name="Column3931"/>
    <tableColumn id="3934" xr3:uid="{782991A8-C765-48CE-B7AB-79416DC07D33}" name="Column3932"/>
    <tableColumn id="3935" xr3:uid="{D52121D0-C90A-4B4D-8798-BEA4EE353D72}" name="Column3933"/>
    <tableColumn id="3936" xr3:uid="{6DCFCB5C-2648-47A5-8846-17B6758AF963}" name="Column3934"/>
    <tableColumn id="3937" xr3:uid="{FD6C4313-90CF-456D-83FA-16EF1C5C32A5}" name="Column3935"/>
    <tableColumn id="3938" xr3:uid="{93CCA7C2-492E-4E92-B965-D04124CE4551}" name="Column3936"/>
    <tableColumn id="3939" xr3:uid="{E1A1A671-0E91-4741-B662-CAF0629BB560}" name="Column3937"/>
    <tableColumn id="3940" xr3:uid="{9F74B1E0-CC9D-4D94-8428-99CC419A401B}" name="Column3938"/>
    <tableColumn id="3941" xr3:uid="{79DAB701-EF1F-460D-9911-CEE074907991}" name="Column3939"/>
    <tableColumn id="3942" xr3:uid="{6AE54E4F-251E-42A6-80B9-A4C980CE0713}" name="Column3940"/>
    <tableColumn id="3943" xr3:uid="{4499AA34-B1D7-411E-8ACA-C7E5977F24BD}" name="Column3941"/>
    <tableColumn id="3944" xr3:uid="{7B9DF883-2605-40FE-9885-F40DA1510488}" name="Column3942"/>
    <tableColumn id="3945" xr3:uid="{0E7D2EFF-5E1D-4D5D-A63A-40DAB006C3C4}" name="Column3943"/>
    <tableColumn id="3946" xr3:uid="{95FF5ED5-FC64-4860-B14D-70EB02431AE9}" name="Column3944"/>
    <tableColumn id="3947" xr3:uid="{878008F8-CEE5-4529-99A8-ECE092436FE4}" name="Column3945"/>
    <tableColumn id="3948" xr3:uid="{A5348AF0-BA4E-4E89-9D4D-E689BFC01134}" name="Column3946"/>
    <tableColumn id="3949" xr3:uid="{104A87AD-1993-4C2C-8766-1301509E87B3}" name="Column3947"/>
    <tableColumn id="3950" xr3:uid="{9E7AAC32-996C-4282-908E-9C73672CA128}" name="Column3948"/>
    <tableColumn id="3951" xr3:uid="{23BCF414-9352-4B68-9B2D-6BEBB1B5A634}" name="Column3949"/>
    <tableColumn id="3952" xr3:uid="{F50E88BB-BC4B-49E4-8A6D-EF5B5AD90E9D}" name="Column3950"/>
    <tableColumn id="3953" xr3:uid="{2E3E6BE1-64F1-4A0D-9BDF-6EB3AE1E9799}" name="Column3951"/>
    <tableColumn id="3954" xr3:uid="{04A4CE5A-A457-4B3C-895B-EBDC58F50C57}" name="Column3952"/>
    <tableColumn id="3955" xr3:uid="{C298A7F3-D7DC-4433-AB73-463CD49F6E3B}" name="Column3953"/>
    <tableColumn id="3956" xr3:uid="{3D45F30E-6601-402B-97A0-0DBBBD37679C}" name="Column3954"/>
    <tableColumn id="3957" xr3:uid="{041F04DB-86DC-4915-AA75-00A46A551A14}" name="Column3955"/>
    <tableColumn id="3958" xr3:uid="{1D681D87-804D-49C9-8856-BE22A6D449B9}" name="Column3956"/>
    <tableColumn id="3959" xr3:uid="{211B631E-1291-4969-9CF0-44796514D40B}" name="Column3957"/>
    <tableColumn id="3960" xr3:uid="{300DFFB7-2104-4AAA-AC04-E17DB501A077}" name="Column3958"/>
    <tableColumn id="3961" xr3:uid="{0AF0DE52-0F5E-4F66-80F5-2FA61C532372}" name="Column3959"/>
    <tableColumn id="3962" xr3:uid="{6C4DC162-208B-41B9-8E91-D107759A283E}" name="Column3960"/>
    <tableColumn id="3963" xr3:uid="{2C839F82-A00A-43C4-8EFF-8C4661B54B53}" name="Column3961"/>
    <tableColumn id="3964" xr3:uid="{B72D523C-C498-4069-9E7C-D79E42C38E3F}" name="Column3962"/>
    <tableColumn id="3965" xr3:uid="{71973FEA-50B9-445C-8F54-D3188C82A2DF}" name="Column3963"/>
    <tableColumn id="3966" xr3:uid="{242BDFCA-5898-46D8-9A7E-012F857B8A45}" name="Column3964"/>
    <tableColumn id="3967" xr3:uid="{5C77FD07-D6F2-49BE-90CC-66F37C070709}" name="Column3965"/>
    <tableColumn id="3968" xr3:uid="{F1B07586-41DD-4E27-A1AD-6F6C6B8B1802}" name="Column3966"/>
    <tableColumn id="3969" xr3:uid="{C9ADEF70-B4BB-4B75-813C-BB6A4229BF26}" name="Column3967"/>
    <tableColumn id="3970" xr3:uid="{3CDA2BE6-876F-44B5-AD24-016F6F762855}" name="Column3968"/>
    <tableColumn id="3971" xr3:uid="{1B106475-6CE0-4341-AAAB-4CDF0AEB7F65}" name="Column3969"/>
    <tableColumn id="3972" xr3:uid="{452DB9DE-023F-429C-9BE0-93BA68CDD00F}" name="Column3970"/>
    <tableColumn id="3973" xr3:uid="{E4CDB681-F2AE-4AC1-9138-5F861C06076A}" name="Column3971"/>
    <tableColumn id="3974" xr3:uid="{A45D9CA4-7967-4B43-A1D9-07D7E43BF28E}" name="Column3972"/>
    <tableColumn id="3975" xr3:uid="{59B5A2A2-7309-4DB7-9B63-FE93ACDE9172}" name="Column3973"/>
    <tableColumn id="3976" xr3:uid="{AAB8A585-1FB9-42C0-8FE7-0FD1679EC3A9}" name="Column3974"/>
    <tableColumn id="3977" xr3:uid="{600194EA-C179-4E27-B358-329402715C2C}" name="Column3975"/>
    <tableColumn id="3978" xr3:uid="{01BE63D0-585F-4D79-AE24-01E4ACF5E6DB}" name="Column3976"/>
    <tableColumn id="3979" xr3:uid="{FC9DD827-51FE-4CD0-B284-37CE616616FE}" name="Column3977"/>
    <tableColumn id="3980" xr3:uid="{B7832A6D-F41B-45D5-B7D6-B23D35786375}" name="Column3978"/>
    <tableColumn id="3981" xr3:uid="{C5E1F95C-37DA-4C55-BA79-C01C07892B4A}" name="Column3979"/>
    <tableColumn id="3982" xr3:uid="{08229BC4-1298-4FA2-8E4A-2D4FDEB31408}" name="Column3980"/>
    <tableColumn id="3983" xr3:uid="{C804D187-30D9-441C-9C0B-928A1DFA4854}" name="Column3981"/>
    <tableColumn id="3984" xr3:uid="{401BC466-17F1-4162-ADAE-A337E420E21B}" name="Column3982"/>
    <tableColumn id="3985" xr3:uid="{D9BC8DA8-D43F-43D1-877C-B39AF0B830C6}" name="Column3983"/>
    <tableColumn id="3986" xr3:uid="{6AF5A2E5-9466-45FE-8374-1625D0703102}" name="Column3984"/>
    <tableColumn id="3987" xr3:uid="{FEF653DF-B29F-4F2F-A624-9C9F5B27636A}" name="Column3985"/>
    <tableColumn id="3988" xr3:uid="{D56BC894-A240-40F9-9059-F243F6AF7D53}" name="Column3986"/>
    <tableColumn id="3989" xr3:uid="{61D0238D-8A61-429D-BC2D-146F4FBDF69E}" name="Column3987"/>
    <tableColumn id="3990" xr3:uid="{E938184F-F226-4759-932A-DE09E53FF8D9}" name="Column3988"/>
    <tableColumn id="3991" xr3:uid="{D7A5F5C2-6CA8-4DAE-9AB0-C6214C1C176D}" name="Column3989"/>
    <tableColumn id="3992" xr3:uid="{185E3887-19D5-4832-9534-ABCDFEF7D9A8}" name="Column3990"/>
    <tableColumn id="3993" xr3:uid="{A4DA7980-E171-47CF-9EA7-39850B5BE146}" name="Column3991"/>
    <tableColumn id="3994" xr3:uid="{E3A8DD47-F930-431B-8F97-84D57D2FFCAC}" name="Column3992"/>
    <tableColumn id="3995" xr3:uid="{F1222027-CD85-4C75-8F9D-865E7236592F}" name="Column3993"/>
    <tableColumn id="3996" xr3:uid="{92A7EDA2-0109-4EF9-901A-1D8B6DBFA02A}" name="Column3994"/>
    <tableColumn id="3997" xr3:uid="{C4E9FE9C-96A2-4C02-A58A-F467958A2F53}" name="Column3995"/>
    <tableColumn id="3998" xr3:uid="{069AC46C-16E9-43EB-B36C-85C8DAC210E8}" name="Column3996"/>
    <tableColumn id="3999" xr3:uid="{49B44480-7A81-494B-A489-F5FC57D67B57}" name="Column3997"/>
    <tableColumn id="4000" xr3:uid="{9A39EBB3-D7BF-47A9-9789-DF3FA553D718}" name="Column3998"/>
    <tableColumn id="4001" xr3:uid="{953893EF-F6BE-40CD-8A60-CD534FBB68A6}" name="Column3999"/>
    <tableColumn id="4002" xr3:uid="{89752E29-D10F-4D9F-B35C-B89B06B3A050}" name="Column4000"/>
    <tableColumn id="4003" xr3:uid="{C121C0C5-5E1A-4268-A19D-D4B8F573A3DA}" name="Column4001"/>
    <tableColumn id="4004" xr3:uid="{0F72D164-01CC-40BB-A4A3-69A037B846C6}" name="Column4002"/>
    <tableColumn id="4005" xr3:uid="{919C2915-73A6-43AC-8227-CB054BB6AEF8}" name="Column4003"/>
    <tableColumn id="4006" xr3:uid="{56BB193E-DE04-42E4-9E9E-8DD5F593DD6B}" name="Column4004"/>
    <tableColumn id="4007" xr3:uid="{64A171A1-97AB-4460-A337-05481CA67F6A}" name="Column4005"/>
    <tableColumn id="4008" xr3:uid="{49E368F1-AE42-4A34-BF7C-02B9A61117A2}" name="Column4006"/>
    <tableColumn id="4009" xr3:uid="{E56F5611-195D-40AB-8EC3-28EA7014750C}" name="Column4007"/>
    <tableColumn id="4010" xr3:uid="{F5F6C413-0F25-4FB7-8D62-A6B862D89828}" name="Column4008"/>
    <tableColumn id="4011" xr3:uid="{48987A2E-9E81-4904-8C90-3A8F03606843}" name="Column4009"/>
    <tableColumn id="4012" xr3:uid="{29A91B26-9C76-4F1C-B0EB-0E714708206A}" name="Column4010"/>
    <tableColumn id="4013" xr3:uid="{4C8AC8C1-3CC2-4FF8-A90B-B190C7096248}" name="Column4011"/>
    <tableColumn id="4014" xr3:uid="{E3C45E63-6687-472A-8977-10B257C6A406}" name="Column4012"/>
    <tableColumn id="4015" xr3:uid="{C5CD09EC-E119-4F55-B816-AEC5A6D29166}" name="Column4013"/>
    <tableColumn id="4016" xr3:uid="{AB4A343A-FAF8-4431-943E-E68A05B34F2E}" name="Column4014"/>
    <tableColumn id="4017" xr3:uid="{FCCD018F-5928-4D38-98B4-E3FB57DF7701}" name="Column4015"/>
    <tableColumn id="4018" xr3:uid="{9A0B440B-9E1C-477F-A4D0-534AE7B75B2D}" name="Column4016"/>
    <tableColumn id="4019" xr3:uid="{8966CEF2-AB73-4E78-9A90-436137F3A98C}" name="Column4017"/>
    <tableColumn id="4020" xr3:uid="{8273723A-B682-40D3-9833-8889FA864202}" name="Column4018"/>
    <tableColumn id="4021" xr3:uid="{91BF433E-39C1-4EC5-9701-D9FD110D6965}" name="Column4019"/>
    <tableColumn id="4022" xr3:uid="{02A90333-9512-433E-895B-0296FA8E6020}" name="Column4020"/>
    <tableColumn id="4023" xr3:uid="{B696A759-9F53-4E4D-8301-7648E9344AB8}" name="Column4021"/>
    <tableColumn id="4024" xr3:uid="{04FFD4F0-007D-4F79-A5B8-23E46D6A87C8}" name="Column4022"/>
    <tableColumn id="4025" xr3:uid="{4AF63A15-6E7C-4FFE-9D1D-B7EA70942FDE}" name="Column4023"/>
    <tableColumn id="4026" xr3:uid="{57EF040D-2D17-4B82-AC86-3A90C9FDEE30}" name="Column4024"/>
    <tableColumn id="4027" xr3:uid="{46AA42FA-CB85-4717-9B36-E197E413B141}" name="Column4025"/>
    <tableColumn id="4028" xr3:uid="{E879C605-A299-4181-8118-E0C4E041BDBB}" name="Column4026"/>
    <tableColumn id="4029" xr3:uid="{72AF3378-5B06-4AB2-82D0-46F94FE1654D}" name="Column4027"/>
    <tableColumn id="4030" xr3:uid="{E00EB6F1-5AE2-4948-95C7-23BD66CB1528}" name="Column4028"/>
    <tableColumn id="4031" xr3:uid="{58494F61-464E-4990-8B9A-CE46AE64E8DB}" name="Column4029"/>
    <tableColumn id="4032" xr3:uid="{9C98C5B0-EA5E-44E0-9D0C-29963F654AF1}" name="Column4030"/>
    <tableColumn id="4033" xr3:uid="{B8E31EE3-24F7-4430-9FE0-AA15E975FBA2}" name="Column4031"/>
    <tableColumn id="4034" xr3:uid="{A2515B71-9133-4D09-8B31-93FDE79AFA71}" name="Column4032"/>
    <tableColumn id="4035" xr3:uid="{8BC2E4E9-0EB6-4901-8F1E-C2FCA796AEF3}" name="Column4033"/>
    <tableColumn id="4036" xr3:uid="{493C4FFB-1738-4CA9-B21F-788C3FDA0FF7}" name="Column4034"/>
    <tableColumn id="4037" xr3:uid="{DD4974D1-F4CE-4FFF-B525-0913865A37D9}" name="Column4035"/>
    <tableColumn id="4038" xr3:uid="{D1949287-D5A9-47FC-921E-2314E074C725}" name="Column4036"/>
    <tableColumn id="4039" xr3:uid="{959E5619-AF30-4919-A269-C57EF010D774}" name="Column4037"/>
    <tableColumn id="4040" xr3:uid="{6C8B5449-1B07-467C-9E58-911CC8C68E2D}" name="Column4038"/>
    <tableColumn id="4041" xr3:uid="{B7AFB242-5EE2-4CD5-A50A-004ED23C49CA}" name="Column4039"/>
    <tableColumn id="4042" xr3:uid="{4D767522-3924-45A2-823A-D032B76D1263}" name="Column4040"/>
    <tableColumn id="4043" xr3:uid="{64835A0D-61D2-49C1-B3E4-AADA16C8985B}" name="Column4041"/>
    <tableColumn id="4044" xr3:uid="{AABA051A-EA36-415A-861D-10E88DF8BE61}" name="Column4042"/>
    <tableColumn id="4045" xr3:uid="{87C9B620-2BC3-4165-98B2-A4C3791BC646}" name="Column4043"/>
    <tableColumn id="4046" xr3:uid="{17E3261B-C373-4523-BBA3-06FC2A45F274}" name="Column4044"/>
    <tableColumn id="4047" xr3:uid="{204E8BD2-BF28-4450-B834-20690061866A}" name="Column4045"/>
    <tableColumn id="4048" xr3:uid="{AB5981E9-F41F-497D-BB54-96C9E7E50C83}" name="Column4046"/>
    <tableColumn id="4049" xr3:uid="{1F0C4EA6-C459-48DE-8724-DAEE8B2CDC71}" name="Column4047"/>
    <tableColumn id="4050" xr3:uid="{D825DA20-9084-40E3-B966-45F49E005AE6}" name="Column4048"/>
    <tableColumn id="4051" xr3:uid="{EFEA6FAD-676C-4848-B424-231577702CD9}" name="Column4049"/>
    <tableColumn id="4052" xr3:uid="{0C73248F-FA5D-4607-BE45-38274928A9AB}" name="Column4050"/>
    <tableColumn id="4053" xr3:uid="{57C50F82-B081-4553-9CB8-6AD745616132}" name="Column4051"/>
    <tableColumn id="4054" xr3:uid="{F16B6BEE-E86A-4C8D-8B72-6357A5AF655D}" name="Column4052"/>
    <tableColumn id="4055" xr3:uid="{AD55F597-4E3B-4A4E-A9ED-6EEDAFA527D8}" name="Column4053"/>
    <tableColumn id="4056" xr3:uid="{2767B3B7-BB3F-4567-A54F-2841C13EC842}" name="Column4054"/>
    <tableColumn id="4057" xr3:uid="{D4C1F89D-64CC-4DE3-BA02-822996C2C43D}" name="Column4055"/>
    <tableColumn id="4058" xr3:uid="{EA769095-082E-449C-9DAF-5993F91E32FA}" name="Column4056"/>
    <tableColumn id="4059" xr3:uid="{E0EDB8B2-8553-4CB7-AE86-3E93A283395E}" name="Column4057"/>
    <tableColumn id="4060" xr3:uid="{3894C15E-A033-44D8-A00C-7EE5BC5DA301}" name="Column4058"/>
    <tableColumn id="4061" xr3:uid="{7312672C-BD5A-43CF-A2CF-3B7853824727}" name="Column4059"/>
    <tableColumn id="4062" xr3:uid="{A6A06138-7235-41F3-9E07-EBD43063B4AA}" name="Column4060"/>
    <tableColumn id="4063" xr3:uid="{39E059D9-1E1D-4069-A807-15369A9EA780}" name="Column4061"/>
    <tableColumn id="4064" xr3:uid="{109136A0-338C-4687-8561-E69FCB5FF53C}" name="Column4062"/>
    <tableColumn id="4065" xr3:uid="{6CD65940-1164-4BB6-A239-62B43130E4BB}" name="Column4063"/>
    <tableColumn id="4066" xr3:uid="{A7593864-E708-4C23-93F9-FEB2A74BEFED}" name="Column4064"/>
    <tableColumn id="4067" xr3:uid="{D8862268-D1E4-44A2-B2DC-E890BD599DEF}" name="Column4065"/>
    <tableColumn id="4068" xr3:uid="{E89B55B5-C8BE-4472-A673-975C27EBD6C4}" name="Column4066"/>
    <tableColumn id="4069" xr3:uid="{24E2EB7A-417D-4F60-8281-C8AFCEFAED19}" name="Column4067"/>
    <tableColumn id="4070" xr3:uid="{5031D2C7-7C20-4626-AB72-B0CCDA929FFF}" name="Column4068"/>
    <tableColumn id="4071" xr3:uid="{4120F25D-B719-4241-92F4-910AC1FB1927}" name="Column4069"/>
    <tableColumn id="4072" xr3:uid="{3A44D0B6-B1EA-41A0-8DDB-44AECC43946D}" name="Column4070"/>
    <tableColumn id="4073" xr3:uid="{DED1D06D-01B5-4D23-A18C-F0BF0C92CE38}" name="Column4071"/>
    <tableColumn id="4074" xr3:uid="{D7E1A4B4-A6C7-416F-B51F-A0B336EFE0D4}" name="Column4072"/>
    <tableColumn id="4075" xr3:uid="{5AEF1361-C84E-417B-90A1-05815EFB098E}" name="Column4073"/>
    <tableColumn id="4076" xr3:uid="{67B1C200-610D-4289-A687-8DD7E8270870}" name="Column4074"/>
    <tableColumn id="4077" xr3:uid="{97072735-05BF-4DF7-A94B-8BB0B0A61D94}" name="Column4075"/>
    <tableColumn id="4078" xr3:uid="{3F043F98-1242-4790-94D9-638BB467D53C}" name="Column4076"/>
    <tableColumn id="4079" xr3:uid="{5C6418D0-7CDC-4417-8027-91617FD72200}" name="Column4077"/>
    <tableColumn id="4080" xr3:uid="{F0E55220-C065-44BE-834F-9ECC8ADEA258}" name="Column4078"/>
    <tableColumn id="4081" xr3:uid="{C7341A2E-37C1-4220-88AA-BCE271ABD5F0}" name="Column4079"/>
    <tableColumn id="4082" xr3:uid="{80883ED8-129F-478E-B412-EC5A0D4AE3E3}" name="Column4080"/>
    <tableColumn id="4083" xr3:uid="{6700CE3E-FE87-493A-ABF7-CBB57F6CF24F}" name="Column4081"/>
    <tableColumn id="4084" xr3:uid="{CA95649B-32DE-4041-BFB2-00D68ADEAAE1}" name="Column4082"/>
    <tableColumn id="4085" xr3:uid="{3D3BADFB-5069-4688-B0BB-770AB6662714}" name="Column4083"/>
    <tableColumn id="4086" xr3:uid="{3AA7CF3C-7DED-4460-98EE-EF00DA1A09B8}" name="Column4084"/>
    <tableColumn id="4087" xr3:uid="{9593A0D2-9369-49BF-B001-40316FB13B3F}" name="Column4085"/>
    <tableColumn id="4088" xr3:uid="{0C5E809B-EB9B-4B06-9E72-B58526882125}" name="Column4086"/>
    <tableColumn id="4089" xr3:uid="{CFC2D7ED-68D7-48A8-8A52-F7D8F204BF01}" name="Column4087"/>
    <tableColumn id="4090" xr3:uid="{290432A9-9D87-447C-BB93-C1A4EB9890BA}" name="Column4088"/>
    <tableColumn id="4091" xr3:uid="{E93192D5-2922-4756-A2EE-5FFEC2460DCC}" name="Column4089"/>
    <tableColumn id="4092" xr3:uid="{5EC2E260-A9BE-475A-B9FE-B620B245DC96}" name="Column4090"/>
    <tableColumn id="4093" xr3:uid="{0B9C3033-EED3-4387-BFEE-DA4C8A4BF4B9}" name="Column4091"/>
    <tableColumn id="4094" xr3:uid="{65658B07-1BA2-4FF9-B092-5E96B447BCE0}" name="Column4092"/>
    <tableColumn id="4095" xr3:uid="{1C7CBB49-92B0-47E3-97BA-A2FEF769B091}" name="Column4093"/>
    <tableColumn id="4096" xr3:uid="{FF3444E3-1ECD-4148-8550-AC708A9A1F60}" name="Column4094"/>
    <tableColumn id="4097" xr3:uid="{CDA82EE2-E98C-4236-A816-8DD3E0CA2D8D}" name="Column4095"/>
    <tableColumn id="4098" xr3:uid="{E9B068D3-4C38-42AB-AA42-C296D3680085}" name="Column4096"/>
    <tableColumn id="4099" xr3:uid="{7FF4A7FB-26B8-4093-968E-6A586ADEDCD8}" name="Column4097"/>
    <tableColumn id="4100" xr3:uid="{714DA275-F5F2-4CB9-8705-DB1EF6A5B86E}" name="Column4098"/>
    <tableColumn id="4101" xr3:uid="{2554ED71-BAAD-420E-8CC4-100DBEEA9FEC}" name="Column4099"/>
    <tableColumn id="4102" xr3:uid="{15CFAB2D-36BA-4CDE-A1E8-341D3DFB30A5}" name="Column4100"/>
    <tableColumn id="4103" xr3:uid="{E1A73A8E-0055-464C-B374-88D0ACA4021A}" name="Column4101"/>
    <tableColumn id="4104" xr3:uid="{A6E2EAA5-C2FF-4D23-B779-65DBA5D65028}" name="Column4102"/>
    <tableColumn id="4105" xr3:uid="{98C375BB-5889-427C-A12A-0C4F79E2B035}" name="Column4103"/>
    <tableColumn id="4106" xr3:uid="{C52C4B81-319C-4FF4-934B-7B2EB431B427}" name="Column4104"/>
    <tableColumn id="4107" xr3:uid="{CFE73E1A-23AD-4434-A26A-F4AB88D923FB}" name="Column4105"/>
    <tableColumn id="4108" xr3:uid="{1A904A67-571B-4782-96B8-ECD940E259BC}" name="Column4106"/>
    <tableColumn id="4109" xr3:uid="{0BCD0F75-7D3E-4A47-B266-E19EF13E2D4A}" name="Column4107"/>
    <tableColumn id="4110" xr3:uid="{96FBEF37-A5E2-4907-AEAE-F3845E1F17B2}" name="Column4108"/>
    <tableColumn id="4111" xr3:uid="{43E8FA14-3E78-40AE-954F-5A6FFF778951}" name="Column4109"/>
    <tableColumn id="4112" xr3:uid="{9F8FEAD5-A2F4-4358-84C3-8DA12C314D15}" name="Column4110"/>
    <tableColumn id="4113" xr3:uid="{B512AF3C-1D4F-461D-9384-FCD81E6FB219}" name="Column4111"/>
    <tableColumn id="4114" xr3:uid="{13F19BF8-FCE9-4D5C-BAD8-365E51130E72}" name="Column4112"/>
    <tableColumn id="4115" xr3:uid="{3C5B2BC6-352F-4E2D-AB84-CBD281380382}" name="Column4113"/>
    <tableColumn id="4116" xr3:uid="{42A66BE5-2E2A-4FF9-A0BF-E64451DBDC94}" name="Column4114"/>
    <tableColumn id="4117" xr3:uid="{7DC4A7C1-7327-4B9A-A3D2-DE7FCDEB902B}" name="Column4115"/>
    <tableColumn id="4118" xr3:uid="{220549A5-6E69-426A-90C8-F8CF1283FCA1}" name="Column4116"/>
    <tableColumn id="4119" xr3:uid="{5A47B65A-D503-48E5-91F6-DCFEEEED2ECC}" name="Column4117"/>
    <tableColumn id="4120" xr3:uid="{6489744F-859C-4533-B7BA-232E0A660EB4}" name="Column4118"/>
    <tableColumn id="4121" xr3:uid="{206A4DE8-EAB2-4167-9F75-3CBCA2E99890}" name="Column4119"/>
    <tableColumn id="4122" xr3:uid="{162364B4-3796-4568-B5CD-B6355F715E1F}" name="Column4120"/>
    <tableColumn id="4123" xr3:uid="{9699A591-4B9F-45FB-BA3D-C4F0A99BC9AF}" name="Column4121"/>
    <tableColumn id="4124" xr3:uid="{6641AA5B-0792-4A8B-A71B-9DDF48CD486B}" name="Column4122"/>
    <tableColumn id="4125" xr3:uid="{6BD2B6B3-713D-43C4-8B23-B873D727E2F6}" name="Column4123"/>
    <tableColumn id="4126" xr3:uid="{21F0061F-F94E-4AFA-9130-686D812653AA}" name="Column4124"/>
    <tableColumn id="4127" xr3:uid="{932C360F-7D39-45A4-80AB-CE1C6008A8C4}" name="Column4125"/>
    <tableColumn id="4128" xr3:uid="{B66A2673-5303-42AB-B17B-713875637AC2}" name="Column4126"/>
    <tableColumn id="4129" xr3:uid="{218B250B-56B5-4DE7-9081-7870A00B4031}" name="Column4127"/>
    <tableColumn id="4130" xr3:uid="{84ECEFAD-4169-4DEE-8176-8AA905B0C5B3}" name="Column4128"/>
    <tableColumn id="4131" xr3:uid="{0F4CA744-4F4A-4469-ADA7-58DC9DDDF58B}" name="Column4129"/>
    <tableColumn id="4132" xr3:uid="{BC953C76-EF5C-4A2D-86C7-33A648379BDA}" name="Column4130"/>
    <tableColumn id="4133" xr3:uid="{AB8DFCE4-B416-4D35-B151-59B09ABBF961}" name="Column4131"/>
    <tableColumn id="4134" xr3:uid="{22CE94ED-D703-48D6-9931-ADB94ABC3B88}" name="Column4132"/>
    <tableColumn id="4135" xr3:uid="{A08453BA-EB51-4AC8-89CA-CF309B596D5B}" name="Column4133"/>
    <tableColumn id="4136" xr3:uid="{DBFE7124-94F0-4C06-9EAB-DE6F4930BDFA}" name="Column4134"/>
    <tableColumn id="4137" xr3:uid="{879A3130-5966-4399-86E5-9ECCAF8C3BCC}" name="Column4135"/>
    <tableColumn id="4138" xr3:uid="{DC300DE9-7161-43E1-A744-8BB289370DE9}" name="Column4136"/>
    <tableColumn id="4139" xr3:uid="{EB740735-8755-4A50-A9B8-34968CE9B344}" name="Column4137"/>
    <tableColumn id="4140" xr3:uid="{244A7F07-086C-428C-9C8B-8D30903D57F8}" name="Column4138"/>
    <tableColumn id="4141" xr3:uid="{15994026-5176-47A8-91CB-2F04F6E53732}" name="Column4139"/>
    <tableColumn id="4142" xr3:uid="{D16A7469-BA38-422B-BAFC-7C411AEC980B}" name="Column4140"/>
    <tableColumn id="4143" xr3:uid="{6B2B9ED1-CD2E-40AE-AF3C-C1CDBDEDEB26}" name="Column4141"/>
    <tableColumn id="4144" xr3:uid="{E47B271D-79DF-4B39-94DD-DECE9DA48698}" name="Column4142"/>
    <tableColumn id="4145" xr3:uid="{399ACE00-387C-488F-8984-BB00447D7E6D}" name="Column4143"/>
    <tableColumn id="4146" xr3:uid="{51C485B4-4E9A-4ED2-A862-8F163FE77CBC}" name="Column4144"/>
    <tableColumn id="4147" xr3:uid="{89F53EC7-AC39-4654-9430-A62697EA7A6A}" name="Column4145"/>
    <tableColumn id="4148" xr3:uid="{6E5B38B7-2E31-4186-9FC3-BF61DCD0964A}" name="Column4146"/>
    <tableColumn id="4149" xr3:uid="{255695BA-F4ED-4571-8F79-A5994C4A3F18}" name="Column4147"/>
    <tableColumn id="4150" xr3:uid="{AD241F64-1BB3-40E8-B831-70A4524C6940}" name="Column4148"/>
    <tableColumn id="4151" xr3:uid="{AFCE803C-9E59-4A6A-BA44-70E173D8E5ED}" name="Column4149"/>
    <tableColumn id="4152" xr3:uid="{1C2BAA54-8EFB-43A6-8268-1FC2C03EDB0A}" name="Column4150"/>
    <tableColumn id="4153" xr3:uid="{9AEEC283-16C4-49D0-BB0E-19E1995480E6}" name="Column4151"/>
    <tableColumn id="4154" xr3:uid="{6A898A50-5C6D-4D3F-8A11-D1BF186B5EFF}" name="Column4152"/>
    <tableColumn id="4155" xr3:uid="{13E07F29-39F2-4664-9415-EBDB624D7551}" name="Column4153"/>
    <tableColumn id="4156" xr3:uid="{BCA7A6B5-F042-45AA-A248-CD534AD87485}" name="Column4154"/>
    <tableColumn id="4157" xr3:uid="{0271D23B-CE66-4E1F-B22F-DE8861774E9D}" name="Column4155"/>
    <tableColumn id="4158" xr3:uid="{F6BF07E9-60F9-4EA2-8860-BEFC5E03F8D0}" name="Column4156"/>
    <tableColumn id="4159" xr3:uid="{9EE547B6-F775-40E5-BA33-197BE9866188}" name="Column4157"/>
    <tableColumn id="4160" xr3:uid="{8DF2852A-1A4B-45CD-B9E6-238816379216}" name="Column4158"/>
    <tableColumn id="4161" xr3:uid="{A2863A6D-A22E-4D83-8E99-1A9D1965D56B}" name="Column4159"/>
    <tableColumn id="4162" xr3:uid="{25B9C26B-1164-4B68-847D-6C5097B8332B}" name="Column4160"/>
    <tableColumn id="4163" xr3:uid="{4E0D106E-F06A-42C1-83AC-DC6BBBDA1674}" name="Column4161"/>
    <tableColumn id="4164" xr3:uid="{3E25597C-62AE-4C91-BDC2-0A63FAE68253}" name="Column4162"/>
    <tableColumn id="4165" xr3:uid="{3BE70BD4-B964-4411-A5A6-EDAEF7B78F66}" name="Column4163"/>
    <tableColumn id="4166" xr3:uid="{52C412BB-C3D0-4A9A-9878-151853846BE7}" name="Column4164"/>
    <tableColumn id="4167" xr3:uid="{2F52B459-AE4A-4022-A826-1B8DC93DF0F7}" name="Column4165"/>
    <tableColumn id="4168" xr3:uid="{5A57C140-02D4-4605-B4BD-3665AF58F180}" name="Column4166"/>
    <tableColumn id="4169" xr3:uid="{0B0E2004-5E99-4D94-AE32-BDAE7354AF2C}" name="Column4167"/>
    <tableColumn id="4170" xr3:uid="{2AF892B2-E773-4BEE-9E1F-C5EB88BB7C4B}" name="Column4168"/>
    <tableColumn id="4171" xr3:uid="{6D60A53E-F7E1-457E-941C-3856019EE42D}" name="Column4169"/>
    <tableColumn id="4172" xr3:uid="{67FC6AD7-737C-48C3-8AB7-2177A2DBB513}" name="Column4170"/>
    <tableColumn id="4173" xr3:uid="{68DEBAB0-3653-496F-BA33-AB9D781744A4}" name="Column4171"/>
    <tableColumn id="4174" xr3:uid="{B8DF5599-26CE-481F-9783-D09428EED997}" name="Column4172"/>
    <tableColumn id="4175" xr3:uid="{9811C2F6-E251-4A72-B1B1-4F0FBF8575FE}" name="Column4173"/>
    <tableColumn id="4176" xr3:uid="{0070EC81-3996-4F82-B345-25B04090475E}" name="Column4174"/>
    <tableColumn id="4177" xr3:uid="{91422115-DD3A-4B87-92B3-6672754B4BF4}" name="Column4175"/>
    <tableColumn id="4178" xr3:uid="{C97FE8BC-B993-4C66-A78D-122FC3517303}" name="Column4176"/>
    <tableColumn id="4179" xr3:uid="{4A2176FD-6C2B-4A2D-92FA-C686B034C9F1}" name="Column4177"/>
    <tableColumn id="4180" xr3:uid="{844411E1-FCEA-4F68-ADFA-5D59EE088B20}" name="Column4178"/>
    <tableColumn id="4181" xr3:uid="{06F4077C-CB16-4A6D-8513-5C8192006F97}" name="Column4179"/>
    <tableColumn id="4182" xr3:uid="{8F12030F-50CB-4C6A-A162-0B29509840B8}" name="Column4180"/>
    <tableColumn id="4183" xr3:uid="{BEDB1D18-BD31-4832-8ED7-23005B286320}" name="Column4181"/>
    <tableColumn id="4184" xr3:uid="{96ACC31F-FF81-4E33-A7B6-1029CEE93E76}" name="Column4182"/>
    <tableColumn id="4185" xr3:uid="{B64B74F9-2E0A-4967-A0A3-088BD977EBBD}" name="Column4183"/>
    <tableColumn id="4186" xr3:uid="{C812D7E7-FF47-426B-89D8-7B04FA992173}" name="Column4184"/>
    <tableColumn id="4187" xr3:uid="{EF42C6F1-7E24-486D-B95F-BE1CCA3DE7AC}" name="Column4185"/>
    <tableColumn id="4188" xr3:uid="{B1F8B510-D363-46A6-B33F-DA75DC7F17A2}" name="Column4186"/>
    <tableColumn id="4189" xr3:uid="{CBDDCB8A-EF36-46F8-8E48-A1904E906266}" name="Column4187"/>
    <tableColumn id="4190" xr3:uid="{A6EC65A6-B16C-4B1B-B23C-997D08FC4B2D}" name="Column4188"/>
    <tableColumn id="4191" xr3:uid="{198E4E3F-2E94-44BC-8EDC-86DBB8D2465B}" name="Column4189"/>
    <tableColumn id="4192" xr3:uid="{7FEAF88C-22E6-430D-9302-19F301DD500F}" name="Column4190"/>
    <tableColumn id="4193" xr3:uid="{DBD21D62-39C9-4E7B-8730-136C9120B2B2}" name="Column4191"/>
    <tableColumn id="4194" xr3:uid="{E86BAAE7-A2AA-483B-8620-1D4B22ACA39B}" name="Column4192"/>
    <tableColumn id="4195" xr3:uid="{BEE6ED23-2A6E-40D2-93EB-9CBBC20030A4}" name="Column4193"/>
    <tableColumn id="4196" xr3:uid="{90B7594E-C63E-45A3-80D1-4E21058E91F9}" name="Column4194"/>
    <tableColumn id="4197" xr3:uid="{E8F483A8-145B-4DDA-8C81-D1AE36B78A2B}" name="Column4195"/>
    <tableColumn id="4198" xr3:uid="{A29C0729-7A40-424F-A687-7BD350157BFC}" name="Column4196"/>
    <tableColumn id="4199" xr3:uid="{5DA80317-98F8-4EFF-B404-8EC6AB0204DC}" name="Column4197"/>
    <tableColumn id="4200" xr3:uid="{8FBE8FF3-735F-4482-B03A-998A5AB7D0B0}" name="Column4198"/>
    <tableColumn id="4201" xr3:uid="{39015C2E-43BB-4CF1-B5A3-A861EB6EDD33}" name="Column4199"/>
    <tableColumn id="4202" xr3:uid="{A965E4F5-5A5A-40BA-A392-B9BA4E4D7870}" name="Column4200"/>
    <tableColumn id="4203" xr3:uid="{CDCBE136-C891-4DC5-9303-AE148D91D75F}" name="Column4201"/>
    <tableColumn id="4204" xr3:uid="{3A92C674-7D3E-4014-8288-AF6398FE6288}" name="Column4202"/>
    <tableColumn id="4205" xr3:uid="{3D7B2C8E-4D79-4AC0-A6BD-59F52C89C82E}" name="Column4203"/>
    <tableColumn id="4206" xr3:uid="{FCFF31A0-9656-441C-9171-475316E45AB7}" name="Column4204"/>
    <tableColumn id="4207" xr3:uid="{AD77D1BE-9818-4E04-98CC-303F44F90CE1}" name="Column4205"/>
    <tableColumn id="4208" xr3:uid="{59F16AAE-BE5B-4192-B35E-CB3B8D1F348E}" name="Column4206"/>
    <tableColumn id="4209" xr3:uid="{33AEEC0E-E872-4760-B4C0-0996AE1612AB}" name="Column4207"/>
    <tableColumn id="4210" xr3:uid="{91652270-E23D-4192-A5CE-15798C54ECA0}" name="Column4208"/>
    <tableColumn id="4211" xr3:uid="{42ADCCF3-10C5-4BEF-9338-7D4B4D41150B}" name="Column4209"/>
    <tableColumn id="4212" xr3:uid="{FC4D770C-67D3-4130-B965-CFB45E78DAE7}" name="Column4210"/>
    <tableColumn id="4213" xr3:uid="{BF1C0992-138C-4AAB-B4BC-38AE2EFC3B1D}" name="Column4211"/>
    <tableColumn id="4214" xr3:uid="{7EDAB8E8-383B-4AED-A0F1-EF6468521637}" name="Column4212"/>
    <tableColumn id="4215" xr3:uid="{3FB56A12-7855-450B-A00F-3BB4358DFE63}" name="Column4213"/>
    <tableColumn id="4216" xr3:uid="{4A1CC674-539C-408E-B383-881EF307B241}" name="Column4214"/>
    <tableColumn id="4217" xr3:uid="{D035B19E-590F-4E7F-8602-F85E49713CC7}" name="Column4215"/>
    <tableColumn id="4218" xr3:uid="{5CD895DF-5356-422A-979E-D8C08A9D38D3}" name="Column4216"/>
    <tableColumn id="4219" xr3:uid="{681AEC1D-9BA4-4BC2-93B7-68BB79653554}" name="Column4217"/>
    <tableColumn id="4220" xr3:uid="{96773768-FC53-4DEA-86F1-B70541463D11}" name="Column4218"/>
    <tableColumn id="4221" xr3:uid="{2995AF5B-28C3-40E9-A636-15643BC5D285}" name="Column4219"/>
    <tableColumn id="4222" xr3:uid="{A04D3C2E-168E-4E17-96AB-2295EC550147}" name="Column4220"/>
    <tableColumn id="4223" xr3:uid="{87573F0C-76F9-40FF-982A-CCE4BCD1A1A1}" name="Column4221"/>
    <tableColumn id="4224" xr3:uid="{84ECE4DE-6582-4FF3-A50D-4BF38AD1D001}" name="Column4222"/>
    <tableColumn id="4225" xr3:uid="{AF6C8625-2706-4BE1-8953-4A9A766AD81E}" name="Column4223"/>
    <tableColumn id="4226" xr3:uid="{1B419E78-6776-4230-AAAD-2E62C4F2381A}" name="Column4224"/>
    <tableColumn id="4227" xr3:uid="{E29F9259-B500-4C0A-9526-B1CD72AFFC95}" name="Column4225"/>
    <tableColumn id="4228" xr3:uid="{AFE2FC9D-C3F3-4A9A-AF9D-A939A7A01D98}" name="Column4226"/>
    <tableColumn id="4229" xr3:uid="{5237FD55-65BF-4F55-953B-76C5A744FD79}" name="Column4227"/>
    <tableColumn id="4230" xr3:uid="{1F3235D0-74CD-4C27-806E-FF0C43B521B2}" name="Column4228"/>
    <tableColumn id="4231" xr3:uid="{50FFB76D-B607-4C5C-880F-C1EB888204C6}" name="Column4229"/>
    <tableColumn id="4232" xr3:uid="{F7F27D4F-6263-40BA-B2FC-49027B88EE37}" name="Column4230"/>
    <tableColumn id="4233" xr3:uid="{69A3EA67-FF44-4A84-9598-0DDCED1D2D1F}" name="Column4231"/>
    <tableColumn id="4234" xr3:uid="{AFA70BFC-2B63-4699-B234-FB55B98B0C02}" name="Column4232"/>
    <tableColumn id="4235" xr3:uid="{ACFAB762-BF78-4DD9-A7AC-B4B9DA0AE4CE}" name="Column4233"/>
    <tableColumn id="4236" xr3:uid="{B0BE24CF-08C1-4EDB-97BB-72FD6A160A70}" name="Column4234"/>
    <tableColumn id="4237" xr3:uid="{0B995DFD-073D-4A84-87BC-7D4FE26BF041}" name="Column4235"/>
    <tableColumn id="4238" xr3:uid="{7487654F-7099-4AB7-90EF-A33F665E61E8}" name="Column4236"/>
    <tableColumn id="4239" xr3:uid="{55EDE7A5-A465-479B-975F-E681749B6D1F}" name="Column4237"/>
    <tableColumn id="4240" xr3:uid="{C4034518-FA6C-4D42-B031-AC7A3BAEE09D}" name="Column4238"/>
    <tableColumn id="4241" xr3:uid="{50C0D9E7-291E-4FFC-BF69-0968B755BF6D}" name="Column4239"/>
    <tableColumn id="4242" xr3:uid="{477E5B83-E77F-438D-AC41-529CB8AFEDB7}" name="Column4240"/>
    <tableColumn id="4243" xr3:uid="{CC1B959C-57FE-4B9B-B0D0-35CB20A47146}" name="Column4241"/>
    <tableColumn id="4244" xr3:uid="{C37239A5-4588-4CAB-9CA2-1641DB2EDEBD}" name="Column4242"/>
    <tableColumn id="4245" xr3:uid="{9B8C6AEC-1181-4A9D-871B-B755BCA251DF}" name="Column4243"/>
    <tableColumn id="4246" xr3:uid="{1375F415-78D9-4C19-AAE3-292E33FCED27}" name="Column4244"/>
    <tableColumn id="4247" xr3:uid="{20E6A46D-4E9E-4FE9-8118-C8E246B1FDF5}" name="Column4245"/>
    <tableColumn id="4248" xr3:uid="{DFF1A273-C4F4-453E-9EF2-64F9EA3AED08}" name="Column4246"/>
    <tableColumn id="4249" xr3:uid="{754035A2-9778-4E01-8BCA-1D58FE69EAA6}" name="Column4247"/>
    <tableColumn id="4250" xr3:uid="{845C6F0D-BA47-4E5E-AF2F-7D491E91AF2B}" name="Column4248"/>
    <tableColumn id="4251" xr3:uid="{B4911B6C-6508-49E9-AC46-3122374D12CC}" name="Column4249"/>
    <tableColumn id="4252" xr3:uid="{EDC2F10A-DE6D-4B6B-8942-A40AEEF741C7}" name="Column4250"/>
    <tableColumn id="4253" xr3:uid="{9585247F-464C-43E9-85A2-B622588D4022}" name="Column4251"/>
    <tableColumn id="4254" xr3:uid="{50F9B620-9405-424C-B858-7C72FE2FF0F6}" name="Column4252"/>
    <tableColumn id="4255" xr3:uid="{2B746E54-E659-44CE-AB94-1C6926EA37F8}" name="Column4253"/>
    <tableColumn id="4256" xr3:uid="{87318130-FBDA-4C49-B685-CB853EBABB86}" name="Column4254"/>
    <tableColumn id="4257" xr3:uid="{C67C647F-82AB-4CC1-A527-BF3B353B2300}" name="Column4255"/>
    <tableColumn id="4258" xr3:uid="{320E6DC8-691D-44CF-B349-359150C94947}" name="Column4256"/>
    <tableColumn id="4259" xr3:uid="{B84E63CE-64BB-45C0-B860-26BBAC0CFE65}" name="Column4257"/>
    <tableColumn id="4260" xr3:uid="{09B1A109-6D7B-4888-A9F0-2FF51F18DCB4}" name="Column4258"/>
    <tableColumn id="4261" xr3:uid="{5837EB13-25C7-4E1C-81F7-DB027D4E2AE5}" name="Column4259"/>
    <tableColumn id="4262" xr3:uid="{C4C5BC6B-1404-4AB5-859C-4841201B2BE9}" name="Column4260"/>
    <tableColumn id="4263" xr3:uid="{5567A60E-55F5-477E-915B-B1A5092E790E}" name="Column4261"/>
    <tableColumn id="4264" xr3:uid="{5FC1F7B4-CFBC-4FC3-B211-B9D85DCF67E6}" name="Column4262"/>
    <tableColumn id="4265" xr3:uid="{8492E32B-BF29-4C7C-8753-51D3AB6EA460}" name="Column4263"/>
    <tableColumn id="4266" xr3:uid="{702BB75B-A10E-4DC4-A2A5-CB51502F3F30}" name="Column4264"/>
    <tableColumn id="4267" xr3:uid="{7A7F7FF2-4B76-4591-A5D9-58F337D40277}" name="Column4265"/>
    <tableColumn id="4268" xr3:uid="{DB6D55CB-D8A1-41ED-86E2-4A78BCB5C231}" name="Column4266"/>
    <tableColumn id="4269" xr3:uid="{22E3C0CA-F2D1-4A6A-A68D-5115AE40E968}" name="Column4267"/>
    <tableColumn id="4270" xr3:uid="{D82554BB-C714-4AAB-B0B8-9988FF5BD8FA}" name="Column4268"/>
    <tableColumn id="4271" xr3:uid="{13A61F0B-E50A-4B62-B8F5-1CB5090DE8B9}" name="Column4269"/>
    <tableColumn id="4272" xr3:uid="{E4092E84-89FE-40F7-825E-E2EF70BAA3A9}" name="Column4270"/>
    <tableColumn id="4273" xr3:uid="{E542DCF4-27DC-4EC2-A9C6-54151B685401}" name="Column4271"/>
    <tableColumn id="4274" xr3:uid="{D8060F40-03D9-4C6D-BBD6-EA46C406EEE8}" name="Column4272"/>
    <tableColumn id="4275" xr3:uid="{023FCADF-AE7B-417D-AC59-A8D2500FAEF7}" name="Column4273"/>
    <tableColumn id="4276" xr3:uid="{A1ACDE37-F102-4094-8A9E-3EACE95D823B}" name="Column4274"/>
    <tableColumn id="4277" xr3:uid="{71E4711B-1634-4905-B13B-AAE60A10217C}" name="Column4275"/>
    <tableColumn id="4278" xr3:uid="{D6A2B544-B5EA-4695-9EFF-BECE7072661E}" name="Column4276"/>
    <tableColumn id="4279" xr3:uid="{7750FB46-FCE2-47EF-8B1E-C4041C13E5CA}" name="Column4277"/>
    <tableColumn id="4280" xr3:uid="{BCE18B95-6E5E-4F85-9A77-03BC61FF9912}" name="Column4278"/>
    <tableColumn id="4281" xr3:uid="{9BF8832A-2B75-461E-BCF3-464E04A01372}" name="Column4279"/>
    <tableColumn id="4282" xr3:uid="{FC9676E3-00B4-4C6B-978A-E8D5A1514F7C}" name="Column4280"/>
    <tableColumn id="4283" xr3:uid="{4E456EC8-0427-4729-ADCD-392AF824F85F}" name="Column4281"/>
    <tableColumn id="4284" xr3:uid="{5B1F56E1-F0C3-4D3C-AA01-A7E1C25AB5C2}" name="Column4282"/>
    <tableColumn id="4285" xr3:uid="{F5524B23-8EA2-491A-81AE-2B8101804D54}" name="Column4283"/>
    <tableColumn id="4286" xr3:uid="{FAA1FC27-D85F-4CAD-A52A-CED518649117}" name="Column4284"/>
    <tableColumn id="4287" xr3:uid="{F5ABD611-A568-41A9-8FD4-CE26E1F1ECF3}" name="Column4285"/>
    <tableColumn id="4288" xr3:uid="{76CAE58C-2849-4D05-AD34-51A0D7071AD8}" name="Column4286"/>
    <tableColumn id="4289" xr3:uid="{6341428F-6F4D-4E2F-BBF0-DBD517370970}" name="Column4287"/>
    <tableColumn id="4290" xr3:uid="{410493D2-A8B5-466F-A776-BEBCDCAB5D43}" name="Column4288"/>
    <tableColumn id="4291" xr3:uid="{FA7E108E-946E-434C-879D-3DEF8AD2AFC8}" name="Column4289"/>
    <tableColumn id="4292" xr3:uid="{4DE75DDC-C0C9-4FA2-80FE-E5653172E5D2}" name="Column4290"/>
    <tableColumn id="4293" xr3:uid="{E53DE896-DA78-4957-A60A-DBB979982729}" name="Column4291"/>
    <tableColumn id="4294" xr3:uid="{8813CD95-16BB-4762-B45D-31FD09A3A91E}" name="Column4292"/>
    <tableColumn id="4295" xr3:uid="{C3CB675E-A5C5-4869-A37F-B548DC8FBE05}" name="Column4293"/>
    <tableColumn id="4296" xr3:uid="{3818E478-5DE0-498E-AF2D-A99BB3C340F2}" name="Column4294"/>
    <tableColumn id="4297" xr3:uid="{0545C016-18B0-4532-B73A-E9D4761FBF5B}" name="Column4295"/>
    <tableColumn id="4298" xr3:uid="{B19A1A79-A655-4C1D-856D-8463F46566F9}" name="Column4296"/>
    <tableColumn id="4299" xr3:uid="{EE7BC01B-0223-4568-B06F-F343501DA17B}" name="Column4297"/>
    <tableColumn id="4300" xr3:uid="{01D162FE-6FFC-4262-9836-CFEE7AFAC3C3}" name="Column4298"/>
    <tableColumn id="4301" xr3:uid="{E6F4B90A-8A9B-4559-8374-5982B3873719}" name="Column4299"/>
    <tableColumn id="4302" xr3:uid="{6353F230-F665-4F38-BB1B-E77B574DE7C2}" name="Column4300"/>
    <tableColumn id="4303" xr3:uid="{77D18446-231E-4046-AABD-050316B6B4E6}" name="Column4301"/>
    <tableColumn id="4304" xr3:uid="{370B34D5-D88A-4852-894A-DC17F59EE5FE}" name="Column4302"/>
    <tableColumn id="4305" xr3:uid="{0AEF3C58-158D-45F5-A44C-4E8A6A51A869}" name="Column4303"/>
    <tableColumn id="4306" xr3:uid="{DD95BEE1-9275-4B02-9310-A5517FCE61EA}" name="Column4304"/>
    <tableColumn id="4307" xr3:uid="{4EDF8455-35F5-44D1-A4B6-08E1C23EEEA7}" name="Column4305"/>
    <tableColumn id="4308" xr3:uid="{BA41E52C-682F-4FBE-B18F-03E1182D0924}" name="Column4306"/>
    <tableColumn id="4309" xr3:uid="{6245C4E5-874D-47A5-9A92-737FACB269C9}" name="Column4307"/>
    <tableColumn id="4310" xr3:uid="{47F13B45-F0AF-49B7-BDD4-52039CADF771}" name="Column4308"/>
    <tableColumn id="4311" xr3:uid="{179F9EFE-9B8A-40B6-865A-729883ED1BAA}" name="Column4309"/>
    <tableColumn id="4312" xr3:uid="{1490C267-434B-44D0-A916-6AB79C5E2E03}" name="Column4310"/>
    <tableColumn id="4313" xr3:uid="{98A2F416-A562-4ACA-B8BC-1F8B00329006}" name="Column4311"/>
    <tableColumn id="4314" xr3:uid="{893FB098-B30F-41D1-85D5-5B837EDD0D97}" name="Column4312"/>
    <tableColumn id="4315" xr3:uid="{4EB60836-8B54-44D3-A9CB-0A1E73F765B0}" name="Column4313"/>
    <tableColumn id="4316" xr3:uid="{748757A8-E3FC-4BD4-AE98-67001EE541D6}" name="Column4314"/>
    <tableColumn id="4317" xr3:uid="{53EDD561-1BE8-4F02-A132-79B53ACCD259}" name="Column4315"/>
    <tableColumn id="4318" xr3:uid="{59A5648F-AD62-4CEA-B850-A8900695E94B}" name="Column4316"/>
    <tableColumn id="4319" xr3:uid="{DEAC2EAF-0C08-4E89-BDB1-B678256C247E}" name="Column4317"/>
    <tableColumn id="4320" xr3:uid="{FE8ECDFD-18FE-4B03-9306-7FBF7BA436CA}" name="Column4318"/>
    <tableColumn id="4321" xr3:uid="{781D3E95-3526-400B-8577-996A299C4536}" name="Column4319"/>
    <tableColumn id="4322" xr3:uid="{7979793C-F3BC-4455-9065-B42B3A2D43E5}" name="Column4320"/>
    <tableColumn id="4323" xr3:uid="{A5514E7E-C899-482A-8491-5E723276E58B}" name="Column4321"/>
    <tableColumn id="4324" xr3:uid="{6BF2D84D-AC18-4377-AC42-5D18093ABCEE}" name="Column4322"/>
    <tableColumn id="4325" xr3:uid="{2CEA71C3-72E2-4DB2-BEF9-057DB8DDFD0A}" name="Column4323"/>
    <tableColumn id="4326" xr3:uid="{C3243C1C-0A95-420B-A3D2-0633D5DB92F2}" name="Column4324"/>
    <tableColumn id="4327" xr3:uid="{E3BFBB0D-83F1-4318-B4F0-836AE487DCEC}" name="Column4325"/>
    <tableColumn id="4328" xr3:uid="{BE30F596-CDE2-45A9-B888-3A0D77ED3945}" name="Column4326"/>
    <tableColumn id="4329" xr3:uid="{4DBECB5B-E31E-4275-A8DD-57341385ABF6}" name="Column4327"/>
    <tableColumn id="4330" xr3:uid="{AAE3F655-5618-4B5A-AF83-B4887BCC224A}" name="Column4328"/>
    <tableColumn id="4331" xr3:uid="{B2E99DD4-4112-4342-8426-C96DFF78F211}" name="Column4329"/>
    <tableColumn id="4332" xr3:uid="{B7132C6C-2831-4E99-8C54-DB932BBC056A}" name="Column4330"/>
    <tableColumn id="4333" xr3:uid="{CDBAB230-1E36-4920-AE63-C57CD08A510A}" name="Column4331"/>
    <tableColumn id="4334" xr3:uid="{5BBFFCB4-2182-49BF-8D8C-F238AD8930A2}" name="Column4332"/>
    <tableColumn id="4335" xr3:uid="{7904FD9A-ED6C-4AA1-A901-13ABD1437264}" name="Column4333"/>
    <tableColumn id="4336" xr3:uid="{DE950309-6409-4AC2-AEEF-D5FCA7F8A8FF}" name="Column4334"/>
    <tableColumn id="4337" xr3:uid="{6B40DF53-96D2-4C93-BD7F-E5F9FE23138A}" name="Column4335"/>
    <tableColumn id="4338" xr3:uid="{12F0BED5-E4A3-4F0F-B517-35A3604767D8}" name="Column4336"/>
    <tableColumn id="4339" xr3:uid="{8B3C9C65-A254-4093-A8BC-C1735954CCF7}" name="Column4337"/>
    <tableColumn id="4340" xr3:uid="{A142CDCA-1C63-4114-964C-D2CBCA171A18}" name="Column4338"/>
    <tableColumn id="4341" xr3:uid="{266AF79E-F5F0-4805-858C-E3E3FC1DD7F2}" name="Column4339"/>
    <tableColumn id="4342" xr3:uid="{252F904E-6691-496B-91FF-704F8B985B43}" name="Column4340"/>
    <tableColumn id="4343" xr3:uid="{6C748F10-9D88-49C0-96B6-65A96ACCC6FF}" name="Column4341"/>
    <tableColumn id="4344" xr3:uid="{D1235A2A-C4ED-4F17-AB32-AB22942D163A}" name="Column4342"/>
    <tableColumn id="4345" xr3:uid="{61519932-92B4-44AD-A565-29A33071FE2C}" name="Column4343"/>
    <tableColumn id="4346" xr3:uid="{8519E2D8-2D70-46B6-8B5E-381B3BE1026A}" name="Column4344"/>
    <tableColumn id="4347" xr3:uid="{08CC1ACA-BE49-41C8-B546-8D1254DCD497}" name="Column4345"/>
    <tableColumn id="4348" xr3:uid="{03C3358D-B02D-4764-83F5-1CEC09BA245E}" name="Column4346"/>
    <tableColumn id="4349" xr3:uid="{7CACA5D3-8E13-4734-A0E3-B88BDA11F94D}" name="Column4347"/>
    <tableColumn id="4350" xr3:uid="{658E8AC9-D66A-4666-8290-7F3F00B217B1}" name="Column4348"/>
    <tableColumn id="4351" xr3:uid="{1FE241EE-D6B1-4DA1-AEDB-B7DE25B58615}" name="Column4349"/>
    <tableColumn id="4352" xr3:uid="{477CBBCE-0AF2-4878-B518-EAC01B533357}" name="Column4350"/>
    <tableColumn id="4353" xr3:uid="{240B0C8E-9032-4194-ABB6-B9625BA1FE8D}" name="Column4351"/>
    <tableColumn id="4354" xr3:uid="{99095DFA-2799-412B-8F23-0BE0F74FC27D}" name="Column4352"/>
    <tableColumn id="4355" xr3:uid="{FCFA30C6-4792-4AB0-897C-B2FFB69C8C70}" name="Column4353"/>
    <tableColumn id="4356" xr3:uid="{EF10FBA7-E272-487F-9AD5-3C33EA9F9B6B}" name="Column4354"/>
    <tableColumn id="4357" xr3:uid="{0AEA7B10-0C84-472F-A367-FEA61AB7F04C}" name="Column4355"/>
    <tableColumn id="4358" xr3:uid="{4CB8167B-DA36-438E-83C3-2C51A977C8C6}" name="Column4356"/>
    <tableColumn id="4359" xr3:uid="{4A89E8D5-711A-4DEE-9E89-FF698D335529}" name="Column4357"/>
    <tableColumn id="4360" xr3:uid="{FA9CAAB8-C0B3-4DB3-9964-774CAC5B90B8}" name="Column4358"/>
    <tableColumn id="4361" xr3:uid="{640B7D00-383C-47E7-B9D3-8E54AF0BFA56}" name="Column4359"/>
    <tableColumn id="4362" xr3:uid="{82CD2770-AF56-43D8-82A5-A796073A321E}" name="Column4360"/>
    <tableColumn id="4363" xr3:uid="{727B2810-C834-471A-8DD1-041DF9B5BF71}" name="Column4361"/>
    <tableColumn id="4364" xr3:uid="{C70C4903-52D8-4348-BC86-4E05E09D974B}" name="Column4362"/>
    <tableColumn id="4365" xr3:uid="{F9A248D4-5958-47D0-BC89-925F3E04BB32}" name="Column4363"/>
    <tableColumn id="4366" xr3:uid="{3B61B7BE-98AD-45C1-98CB-BF8254ED5563}" name="Column4364"/>
    <tableColumn id="4367" xr3:uid="{98A65F3A-82ED-41C2-94CE-F3048A1B3B13}" name="Column4365"/>
    <tableColumn id="4368" xr3:uid="{83DFBF4F-45AB-48F0-B96A-6E02D0ED457A}" name="Column4366"/>
    <tableColumn id="4369" xr3:uid="{9CB90AEA-4193-45DD-8302-581401371C3D}" name="Column4367"/>
    <tableColumn id="4370" xr3:uid="{9EADDF9B-BC02-43A1-84D6-E048C7BC54B5}" name="Column4368"/>
    <tableColumn id="4371" xr3:uid="{03E8BB4E-CAA3-4044-891F-6751F9F29A3F}" name="Column4369"/>
    <tableColumn id="4372" xr3:uid="{D6203950-47B0-4901-9950-E1120DA316D2}" name="Column4370"/>
    <tableColumn id="4373" xr3:uid="{5EC354D7-EE03-45FE-A942-80B28270F4B1}" name="Column4371"/>
    <tableColumn id="4374" xr3:uid="{E3DE06BA-ACFE-468E-AE11-FD0CC5A75CA0}" name="Column4372"/>
    <tableColumn id="4375" xr3:uid="{2A9FB000-6113-47CC-BD1A-BE51219B6AC0}" name="Column4373"/>
    <tableColumn id="4376" xr3:uid="{7A5831A6-090F-4842-BCC2-7F9C50C4D254}" name="Column4374"/>
    <tableColumn id="4377" xr3:uid="{1A418F94-FC97-4580-879A-F4A0AA84673F}" name="Column4375"/>
    <tableColumn id="4378" xr3:uid="{48B7AA83-F898-4FB8-91DC-1B1C7839AF49}" name="Column4376"/>
    <tableColumn id="4379" xr3:uid="{718F2FC2-B92B-4EE3-B53D-A525C8842CDB}" name="Column4377"/>
    <tableColumn id="4380" xr3:uid="{6885C2DD-6F3B-407B-BD2F-F2C7FFEA1712}" name="Column4378"/>
    <tableColumn id="4381" xr3:uid="{A86677CC-3C02-4F5B-9BCF-CA9CC45CD096}" name="Column4379"/>
    <tableColumn id="4382" xr3:uid="{284B9B92-F2DB-413E-B26C-AC033841FDD6}" name="Column4380"/>
    <tableColumn id="4383" xr3:uid="{A26D74AC-CD56-43FB-8FFE-236DB9C0EE8B}" name="Column4381"/>
    <tableColumn id="4384" xr3:uid="{02A039BA-4A53-403E-B953-9787C5922A62}" name="Column4382"/>
    <tableColumn id="4385" xr3:uid="{F2F1737B-5576-4C7E-8BB1-11472FFE9A81}" name="Column4383"/>
    <tableColumn id="4386" xr3:uid="{1607B8A1-015F-4B7D-B5A9-D8C9A711572A}" name="Column4384"/>
    <tableColumn id="4387" xr3:uid="{866112D9-9A39-494A-BE70-37F3CE5B345A}" name="Column4385"/>
    <tableColumn id="4388" xr3:uid="{BF538C83-5FA4-44F4-9939-EED1CD254654}" name="Column4386"/>
    <tableColumn id="4389" xr3:uid="{F233AD23-AB2B-4601-818F-1AA804D003A2}" name="Column4387"/>
    <tableColumn id="4390" xr3:uid="{C09B55A4-85C4-4A16-B4D6-C9A5CAACE4C8}" name="Column4388"/>
    <tableColumn id="4391" xr3:uid="{18785534-502A-41D1-A1AE-CAFA567CC020}" name="Column4389"/>
    <tableColumn id="4392" xr3:uid="{EF8E6CA1-32F6-43D9-9C97-FB6CF488AC45}" name="Column4390"/>
    <tableColumn id="4393" xr3:uid="{C5CC3406-7EFF-496F-92F2-307938DFEE0C}" name="Column4391"/>
    <tableColumn id="4394" xr3:uid="{4FF6C4C4-84CD-4EDF-93AB-AD603A7E846C}" name="Column4392"/>
    <tableColumn id="4395" xr3:uid="{340C4324-02DD-4AA2-9CE8-7B479A150C58}" name="Column4393"/>
    <tableColumn id="4396" xr3:uid="{4D9E4949-919A-4117-81DE-0A47CF51B311}" name="Column4394"/>
    <tableColumn id="4397" xr3:uid="{52C91CAD-4043-46E0-BC48-9D234D27CE66}" name="Column4395"/>
    <tableColumn id="4398" xr3:uid="{7B262C27-BB82-43BE-891B-235A48A186B8}" name="Column4396"/>
    <tableColumn id="4399" xr3:uid="{0340B0E0-F62D-44EB-B14B-C84F534723AE}" name="Column4397"/>
    <tableColumn id="4400" xr3:uid="{3340F9DF-3B57-4E73-8A1D-C5C9DEFF5CD5}" name="Column4398"/>
    <tableColumn id="4401" xr3:uid="{A6AE0EA0-3C3D-42E7-9B57-00D76F600D02}" name="Column4399"/>
    <tableColumn id="4402" xr3:uid="{38C8D57F-3F7C-406E-BB33-EC0C2334D4A7}" name="Column4400"/>
    <tableColumn id="4403" xr3:uid="{C3FFB035-DD71-40E8-A80A-BEC9199B92B0}" name="Column4401"/>
    <tableColumn id="4404" xr3:uid="{06F2B0F5-B5DF-46AE-B06D-62B8D6909BA7}" name="Column4402"/>
    <tableColumn id="4405" xr3:uid="{02E79340-D69F-4527-B50B-56635288CDB2}" name="Column4403"/>
    <tableColumn id="4406" xr3:uid="{42EF576F-5754-4A8A-A8C4-A344641E3E24}" name="Column4404"/>
    <tableColumn id="4407" xr3:uid="{1E3B1246-5F04-4C37-94E3-00E1A23614CC}" name="Column4405"/>
    <tableColumn id="4408" xr3:uid="{371E1CAF-BC73-4C5A-9D45-BEFC7E908E2B}" name="Column4406"/>
    <tableColumn id="4409" xr3:uid="{D128F0C3-4DBD-41A0-8B3E-3C0D7077374B}" name="Column4407"/>
    <tableColumn id="4410" xr3:uid="{20B76AF5-D4E7-4B63-85AD-3C09ED6400B1}" name="Column4408"/>
    <tableColumn id="4411" xr3:uid="{BA0522D9-E07E-4A65-8336-748BFDADC163}" name="Column4409"/>
    <tableColumn id="4412" xr3:uid="{24BA9488-B0BE-4F96-8104-E33C30F9BC66}" name="Column4410"/>
    <tableColumn id="4413" xr3:uid="{7124716B-071F-42AC-A67F-DE9C2E00B8BD}" name="Column4411"/>
    <tableColumn id="4414" xr3:uid="{DB11367F-92C7-43F3-9BF3-5693ABCFB4DC}" name="Column4412"/>
    <tableColumn id="4415" xr3:uid="{C9D49E5D-45EA-4794-9E5E-2C24FC96E12C}" name="Column4413"/>
    <tableColumn id="4416" xr3:uid="{73E9D61F-F468-4CC4-AF88-F4D5E8AA7F98}" name="Column4414"/>
    <tableColumn id="4417" xr3:uid="{48065036-AEB4-45CD-A762-AC23CC6DFA28}" name="Column4415"/>
    <tableColumn id="4418" xr3:uid="{B4684101-00DB-4589-96C4-99F382BE355F}" name="Column4416"/>
    <tableColumn id="4419" xr3:uid="{4163BCCD-74AA-4D30-AA67-3A75E7E14D29}" name="Column4417"/>
    <tableColumn id="4420" xr3:uid="{C8E0B344-B578-4A53-AD1D-340A9DB7F206}" name="Column4418"/>
    <tableColumn id="4421" xr3:uid="{54BEEDFF-015F-43FA-B15F-D3B47F7FD78D}" name="Column4419"/>
    <tableColumn id="4422" xr3:uid="{190A5811-ABF3-428A-A45E-001E4A9885C3}" name="Column4420"/>
    <tableColumn id="4423" xr3:uid="{B293E503-B1E2-42E5-BF54-DFB274CE0814}" name="Column4421"/>
    <tableColumn id="4424" xr3:uid="{BE13632B-4391-4E8C-B79E-7AB8CB7815C9}" name="Column4422"/>
    <tableColumn id="4425" xr3:uid="{0AD2C224-FA35-47A4-8889-3A24A1ADC2E6}" name="Column4423"/>
    <tableColumn id="4426" xr3:uid="{79264CFD-E6B2-453F-9624-CE4D0025C6C7}" name="Column4424"/>
    <tableColumn id="4427" xr3:uid="{CC6DB81D-AA5E-4348-9FBB-CE19B47D055B}" name="Column4425"/>
    <tableColumn id="4428" xr3:uid="{732D4E09-1601-4052-AB17-800F3C7C11A8}" name="Column4426"/>
    <tableColumn id="4429" xr3:uid="{4CB4D1C0-D932-4431-B030-C57C99611FA4}" name="Column4427"/>
    <tableColumn id="4430" xr3:uid="{CF62BA5A-3CB1-42AA-886B-A79BEB55584A}" name="Column4428"/>
    <tableColumn id="4431" xr3:uid="{D8FD35E4-0E9A-4346-AB8B-06663A5EA6A9}" name="Column4429"/>
    <tableColumn id="4432" xr3:uid="{45AF28FE-9451-4C2B-B035-B30E286E1918}" name="Column4430"/>
    <tableColumn id="4433" xr3:uid="{B7722935-5525-4EF1-94DC-3A099EFC4C71}" name="Column4431"/>
    <tableColumn id="4434" xr3:uid="{6AFE8CF2-191C-4CAE-B4CB-D6D9170D0F28}" name="Column4432"/>
    <tableColumn id="4435" xr3:uid="{5310D35E-6B72-4415-9DE2-4C81B63E1057}" name="Column4433"/>
    <tableColumn id="4436" xr3:uid="{C03FB924-F1B8-46BD-B989-4AEF4C149E8A}" name="Column4434"/>
    <tableColumn id="4437" xr3:uid="{E681C2C1-13F1-4181-A04C-1F9A943583FF}" name="Column4435"/>
    <tableColumn id="4438" xr3:uid="{BAA6C6DF-A2BA-4002-9914-37E36E518B5B}" name="Column4436"/>
    <tableColumn id="4439" xr3:uid="{046579B6-940D-4958-AAA0-2DF7FB2FACAC}" name="Column4437"/>
    <tableColumn id="4440" xr3:uid="{11B82875-A519-4DD3-ACFC-D3CEF07BB991}" name="Column4438"/>
    <tableColumn id="4441" xr3:uid="{40496435-7127-40CA-B6FE-86B50B683058}" name="Column4439"/>
    <tableColumn id="4442" xr3:uid="{447C98EB-73B4-4060-A45A-E9EC1528D3EE}" name="Column4440"/>
    <tableColumn id="4443" xr3:uid="{A42529C3-2153-49FE-978A-95041558A213}" name="Column4441"/>
    <tableColumn id="4444" xr3:uid="{F5AD0DC0-07DD-47FC-935E-D9F4B4FE8955}" name="Column4442"/>
    <tableColumn id="4445" xr3:uid="{67D00B0C-6E87-4311-ACFA-9EAAAC556460}" name="Column4443"/>
    <tableColumn id="4446" xr3:uid="{3BC5D89B-FA84-4E8F-9DB8-E3219942835D}" name="Column4444"/>
    <tableColumn id="4447" xr3:uid="{9BD3903B-6187-431F-A6BA-FA848F8B22FF}" name="Column4445"/>
    <tableColumn id="4448" xr3:uid="{34DAA5FF-C939-4D11-AF3E-273C30FF35BC}" name="Column4446"/>
    <tableColumn id="4449" xr3:uid="{418C28FE-BDCF-48C6-8733-D16A767A57FA}" name="Column4447"/>
    <tableColumn id="4450" xr3:uid="{6A369050-14CA-4CAD-A70C-8396EB8F7F4D}" name="Column4448"/>
    <tableColumn id="4451" xr3:uid="{69127152-18C3-442A-9E1D-66E6CD09F571}" name="Column4449"/>
    <tableColumn id="4452" xr3:uid="{15F20FEC-0F37-4E87-BA4B-44A67C7CF257}" name="Column4450"/>
    <tableColumn id="4453" xr3:uid="{39365173-C494-4705-B566-BD2B3C8D6D0A}" name="Column4451"/>
    <tableColumn id="4454" xr3:uid="{D48F1CE1-6379-4846-AFB5-BF75F6D3BD46}" name="Column4452"/>
    <tableColumn id="4455" xr3:uid="{87FDD574-9700-4355-B32F-284708E4B112}" name="Column4453"/>
    <tableColumn id="4456" xr3:uid="{25C47206-CEF2-4F12-BF8B-62B649F9E847}" name="Column4454"/>
    <tableColumn id="4457" xr3:uid="{636B025C-834F-44FF-86FE-6DE00C62D161}" name="Column4455"/>
    <tableColumn id="4458" xr3:uid="{F846A569-FE19-40C4-9AEC-3BDC8794589E}" name="Column4456"/>
    <tableColumn id="4459" xr3:uid="{9D02E870-0439-47A1-B325-BEA38D45AE61}" name="Column4457"/>
    <tableColumn id="4460" xr3:uid="{70D5E9B8-6521-4F19-9BA5-F4E932255ED3}" name="Column4458"/>
    <tableColumn id="4461" xr3:uid="{F72E18FC-82E1-4FCB-B688-F5D912560AF5}" name="Column4459"/>
    <tableColumn id="4462" xr3:uid="{1F534815-86B1-487E-815B-933A2383826C}" name="Column4460"/>
    <tableColumn id="4463" xr3:uid="{26826721-20EC-4FC5-8DB0-3D986433998E}" name="Column4461"/>
    <tableColumn id="4464" xr3:uid="{B539DD8E-54EC-40B4-9DE9-962DBDF02DDE}" name="Column4462"/>
    <tableColumn id="4465" xr3:uid="{60D16F74-32C7-49D3-8436-7BC374B16146}" name="Column4463"/>
    <tableColumn id="4466" xr3:uid="{F99DDCB8-972F-4699-ABC2-947412A0F4EB}" name="Column4464"/>
    <tableColumn id="4467" xr3:uid="{A0BEF428-DBFC-4874-8CD1-FF40049CDB6F}" name="Column4465"/>
    <tableColumn id="4468" xr3:uid="{ACA9343E-4CB5-46D1-84C9-1B6BB0DBDEBD}" name="Column4466"/>
    <tableColumn id="4469" xr3:uid="{3E942B28-0AEC-4479-B265-92815B030A50}" name="Column4467"/>
    <tableColumn id="4470" xr3:uid="{58D11160-38F7-4C67-9987-465676401415}" name="Column4468"/>
    <tableColumn id="4471" xr3:uid="{902BA6F9-3F90-4E32-AF5C-EB6574185020}" name="Column4469"/>
    <tableColumn id="4472" xr3:uid="{19AB0C21-9EB7-4FD1-AF86-36ABF3C78AF5}" name="Column4470"/>
    <tableColumn id="4473" xr3:uid="{1DF49255-0F02-4218-9846-BECE5D72E72A}" name="Column4471"/>
    <tableColumn id="4474" xr3:uid="{733B332D-5C5F-4DB4-8E7F-99F3B11736B9}" name="Column4472"/>
    <tableColumn id="4475" xr3:uid="{87BD1158-04F8-464F-8F30-38D723C0471E}" name="Column4473"/>
    <tableColumn id="4476" xr3:uid="{E76D5514-8F6C-4328-8336-FC00131E76FF}" name="Column4474"/>
    <tableColumn id="4477" xr3:uid="{49B5A1C0-CF28-48A0-9FC1-F14C45EC4E09}" name="Column4475"/>
    <tableColumn id="4478" xr3:uid="{026A2829-B31A-4584-9389-B827248D3966}" name="Column4476"/>
    <tableColumn id="4479" xr3:uid="{784ED571-84D2-42B9-B6ED-E004A09BE41B}" name="Column4477"/>
    <tableColumn id="4480" xr3:uid="{05C8D28D-F8CA-403E-B200-F1635A91EE69}" name="Column4478"/>
    <tableColumn id="4481" xr3:uid="{2BA8BFFB-F981-4C11-8E71-24A90ACFC3CF}" name="Column4479"/>
    <tableColumn id="4482" xr3:uid="{D213118B-8E07-460F-9D6F-573C9C3FBCC6}" name="Column4480"/>
    <tableColumn id="4483" xr3:uid="{A026D08B-C078-44C5-8013-27AA44AFB4D6}" name="Column4481"/>
    <tableColumn id="4484" xr3:uid="{1D3E5659-9C5F-4BF8-B92D-607BE91703D8}" name="Column4482"/>
    <tableColumn id="4485" xr3:uid="{9EA0D57B-57DD-403D-8C1D-BE14D930B860}" name="Column4483"/>
    <tableColumn id="4486" xr3:uid="{3D678D89-5824-4DDE-8ED1-DFECAC112F46}" name="Column4484"/>
    <tableColumn id="4487" xr3:uid="{710C9A68-2D05-4E7D-98FA-133F5CAF99FA}" name="Column4485"/>
    <tableColumn id="4488" xr3:uid="{FC5430B7-8247-45FD-980C-B0E54511E788}" name="Column4486"/>
    <tableColumn id="4489" xr3:uid="{AFB11EDB-F99A-478E-8ECD-3B7473B1EBAD}" name="Column4487"/>
    <tableColumn id="4490" xr3:uid="{3D86CFD8-3A8E-4436-B556-10A7665FBB0D}" name="Column4488"/>
    <tableColumn id="4491" xr3:uid="{531213FD-384F-4548-A3FC-14079662CE60}" name="Column4489"/>
    <tableColumn id="4492" xr3:uid="{418E8A3D-C2B9-4E76-B6D5-350E4A917758}" name="Column4490"/>
    <tableColumn id="4493" xr3:uid="{4865338B-AB11-4A5D-AE47-0340EDBB0BB9}" name="Column4491"/>
    <tableColumn id="4494" xr3:uid="{FCAD39C8-A908-417B-A69E-D4AB4C1E129F}" name="Column4492"/>
    <tableColumn id="4495" xr3:uid="{BA9DFEE4-F5C3-4807-AAE9-404A1BDC3022}" name="Column4493"/>
    <tableColumn id="4496" xr3:uid="{11AF9DA0-F841-4420-B820-29FBFA3F3970}" name="Column4494"/>
    <tableColumn id="4497" xr3:uid="{1D61BAB5-12B9-4B86-92AE-FE55A962B76F}" name="Column4495"/>
    <tableColumn id="4498" xr3:uid="{2695D4D5-8098-404E-B9CC-4FD87BFC00E0}" name="Column4496"/>
    <tableColumn id="4499" xr3:uid="{CE82FD0E-37D5-40EB-B726-0B7C9BB85128}" name="Column4497"/>
    <tableColumn id="4500" xr3:uid="{FC829782-49E6-4F08-A70D-EA46361D01BF}" name="Column4498"/>
    <tableColumn id="4501" xr3:uid="{7491EFF9-C3EB-48B7-A073-7C6DD98693CD}" name="Column4499"/>
    <tableColumn id="4502" xr3:uid="{4339DC09-B42F-45CB-ABF0-4945C054332A}" name="Column4500"/>
    <tableColumn id="4503" xr3:uid="{2822C01C-03E5-4125-A54C-711C40799CF2}" name="Column4501"/>
    <tableColumn id="4504" xr3:uid="{134850AA-16F0-4001-8F30-1947CBC0DBAC}" name="Column4502"/>
    <tableColumn id="4505" xr3:uid="{270F309E-BFF5-48E2-A363-8E51E20C69CD}" name="Column4503"/>
    <tableColumn id="4506" xr3:uid="{650BC9C4-35F2-45C3-918F-B68D75B4B849}" name="Column4504"/>
    <tableColumn id="4507" xr3:uid="{E2A114CD-F786-4968-9C25-D2CF12AC8AAC}" name="Column4505"/>
    <tableColumn id="4508" xr3:uid="{8E9DF938-3CD8-4F51-8A6A-F90FC1356F46}" name="Column4506"/>
    <tableColumn id="4509" xr3:uid="{25D8E33C-DAF8-4602-AD58-B5438519F7ED}" name="Column4507"/>
    <tableColumn id="4510" xr3:uid="{39A584C3-E825-4058-A313-0D310E8D873E}" name="Column4508"/>
    <tableColumn id="4511" xr3:uid="{6C93C60E-131D-4F55-9355-27F8C16E47CD}" name="Column4509"/>
    <tableColumn id="4512" xr3:uid="{62989207-16F3-4C88-8BC4-65C45B7D511F}" name="Column4510"/>
    <tableColumn id="4513" xr3:uid="{28239180-DFF9-476B-BA18-2D8EB5AC236E}" name="Column4511"/>
    <tableColumn id="4514" xr3:uid="{8DB49A12-4DD6-4A10-970C-D80F380D9B47}" name="Column4512"/>
    <tableColumn id="4515" xr3:uid="{1A2DFB5B-5474-41B6-88BB-509DB756ABDC}" name="Column4513"/>
    <tableColumn id="4516" xr3:uid="{101E1395-E8FD-4A3D-846D-89A11239F73B}" name="Column4514"/>
    <tableColumn id="4517" xr3:uid="{6CD587EB-33D8-49D9-A053-E974F12E73B5}" name="Column4515"/>
    <tableColumn id="4518" xr3:uid="{4508822D-C60F-4901-86C2-BBE3C93BA58D}" name="Column4516"/>
    <tableColumn id="4519" xr3:uid="{3565602D-3C59-466F-8FEB-269CF86B2B6F}" name="Column4517"/>
    <tableColumn id="4520" xr3:uid="{A1F4FB89-FB91-47F8-B08B-2719547F4E99}" name="Column4518"/>
    <tableColumn id="4521" xr3:uid="{79FAF6FC-F21A-4FF6-AA7C-79193EB38A53}" name="Column4519"/>
    <tableColumn id="4522" xr3:uid="{72403A66-57CB-48C6-B1F1-A3B141F4ECCE}" name="Column4520"/>
    <tableColumn id="4523" xr3:uid="{21A8B195-4307-4309-B8E0-DD8C7CF4A0E8}" name="Column4521"/>
    <tableColumn id="4524" xr3:uid="{25A77E2B-CE2C-4E50-9295-52924DA3A94A}" name="Column4522"/>
    <tableColumn id="4525" xr3:uid="{0F7E3038-75B8-42FD-BEE0-7E9E9904350B}" name="Column4523"/>
    <tableColumn id="4526" xr3:uid="{64380287-F860-4683-B8E9-8F5CBBE93C44}" name="Column4524"/>
    <tableColumn id="4527" xr3:uid="{0BD25ED7-B914-468B-BA1B-1BECA0100673}" name="Column4525"/>
    <tableColumn id="4528" xr3:uid="{3C0851FB-12C2-4060-AF36-67CB6905C53F}" name="Column4526"/>
    <tableColumn id="4529" xr3:uid="{8BB9E61A-8780-4299-AF83-1FB1A3C57961}" name="Column4527"/>
    <tableColumn id="4530" xr3:uid="{2B53EBFC-8439-4414-95B6-211C40F45CB1}" name="Column4528"/>
    <tableColumn id="4531" xr3:uid="{0503382E-76F1-4C1B-93A7-8AF9881012F9}" name="Column4529"/>
    <tableColumn id="4532" xr3:uid="{FD801D0A-091C-40A2-9AA6-4F4EAAE31D7C}" name="Column4530"/>
    <tableColumn id="4533" xr3:uid="{90A5B0BB-24D9-43BA-906A-769D6F24BDCA}" name="Column4531"/>
    <tableColumn id="4534" xr3:uid="{AC080CFE-4592-4556-806F-C7ED10242D77}" name="Column4532"/>
    <tableColumn id="4535" xr3:uid="{3F8562D4-8357-4FB8-9F29-EF177C5F5AED}" name="Column4533"/>
    <tableColumn id="4536" xr3:uid="{1BD69435-4352-4381-BA25-373903A73479}" name="Column4534"/>
    <tableColumn id="4537" xr3:uid="{6A3E3534-7694-4BA5-A488-A1CDED57E2FA}" name="Column4535"/>
    <tableColumn id="4538" xr3:uid="{DC399375-132C-40AF-B592-369FB6EA93B7}" name="Column4536"/>
    <tableColumn id="4539" xr3:uid="{84175E05-5386-4DEE-B428-83BE71BCAEAA}" name="Column4537"/>
    <tableColumn id="4540" xr3:uid="{2B03DABD-0612-4AF1-A00D-1F69AD9AE27C}" name="Column4538"/>
    <tableColumn id="4541" xr3:uid="{31207191-AF08-4239-A901-E689B51B402B}" name="Column4539"/>
    <tableColumn id="4542" xr3:uid="{DC6DB73D-6F0A-4E87-92C7-5EA512826394}" name="Column4540"/>
    <tableColumn id="4543" xr3:uid="{32ECBCBF-1506-467E-872E-DB7A0D54FD93}" name="Column4541"/>
    <tableColumn id="4544" xr3:uid="{A4CF6F7E-BFBE-4FB3-96D6-A2E272ABBF84}" name="Column4542"/>
    <tableColumn id="4545" xr3:uid="{FB1FC6F6-1A8E-4182-9CB5-7B61A4F10A9C}" name="Column4543"/>
    <tableColumn id="4546" xr3:uid="{A6E67D7A-D73E-46BC-B69B-8C78DBFFBB0E}" name="Column4544"/>
    <tableColumn id="4547" xr3:uid="{437C1D15-C5B4-40A5-8ED8-401B46BBBE56}" name="Column4545"/>
    <tableColumn id="4548" xr3:uid="{3DBBB944-101C-4C44-B72E-66881699A100}" name="Column4546"/>
    <tableColumn id="4549" xr3:uid="{CBB4C04A-65D3-404B-84ED-73A65E63099B}" name="Column4547"/>
    <tableColumn id="4550" xr3:uid="{D085D745-D052-4642-B4BA-6067E8715E0F}" name="Column4548"/>
    <tableColumn id="4551" xr3:uid="{815C279D-56C9-4963-A5DC-276A46E74936}" name="Column4549"/>
    <tableColumn id="4552" xr3:uid="{4F58C7A1-5C2E-4832-8D75-57B5C17C0BDA}" name="Column4550"/>
    <tableColumn id="4553" xr3:uid="{9E6DFE16-F6EC-4409-B781-3C77C233124A}" name="Column4551"/>
    <tableColumn id="4554" xr3:uid="{1C465418-FA06-4FE3-9BD7-0FA2BE61E816}" name="Column4552"/>
    <tableColumn id="4555" xr3:uid="{7AFA814E-6116-4434-AAB9-AC7E711042C7}" name="Column4553"/>
    <tableColumn id="4556" xr3:uid="{9BDF0D41-FFC8-43BC-AC19-42BEF94DF5F1}" name="Column4554"/>
    <tableColumn id="4557" xr3:uid="{2A26DF10-501C-48EF-81B0-383B9FA8A7E0}" name="Column4555"/>
    <tableColumn id="4558" xr3:uid="{F0A2AF4F-416C-4AD6-AF89-C5BA164A0343}" name="Column4556"/>
    <tableColumn id="4559" xr3:uid="{B7580AB2-A5AD-4101-9896-E83A41732D34}" name="Column4557"/>
    <tableColumn id="4560" xr3:uid="{F050541C-851C-4406-B76A-000F6C548652}" name="Column4558"/>
    <tableColumn id="4561" xr3:uid="{9CB94B79-3DB2-4166-BDB8-2852513A863F}" name="Column4559"/>
    <tableColumn id="4562" xr3:uid="{8EE428A4-3D43-42CC-A971-EB4632DA7E3A}" name="Column4560"/>
    <tableColumn id="4563" xr3:uid="{90E14937-23C1-4350-AFD3-91C90F8F0258}" name="Column4561"/>
    <tableColumn id="4564" xr3:uid="{354A48E4-FCBF-440D-896F-9FD782AAF73D}" name="Column4562"/>
    <tableColumn id="4565" xr3:uid="{4D55F674-C7F4-4C47-BCEC-4CE0F1360F39}" name="Column4563"/>
    <tableColumn id="4566" xr3:uid="{9C7A1573-A1E4-4A40-8D1A-FA5D50BB2332}" name="Column4564"/>
    <tableColumn id="4567" xr3:uid="{3AFDC4D8-7499-4116-8BA5-B2D72CB8581C}" name="Column4565"/>
    <tableColumn id="4568" xr3:uid="{0EBA59A4-E22B-4EBE-AA87-9E1F727B346F}" name="Column4566"/>
    <tableColumn id="4569" xr3:uid="{D8B468DF-C086-482B-BF37-BEEB78FB75B2}" name="Column4567"/>
    <tableColumn id="4570" xr3:uid="{FAF7BF55-6A80-4E2B-B5F5-7415F9912250}" name="Column4568"/>
    <tableColumn id="4571" xr3:uid="{1B94ED42-CB1F-4236-8541-B528B6B4698B}" name="Column4569"/>
    <tableColumn id="4572" xr3:uid="{F3449CF7-3598-43FA-9993-ADDFF3D040D4}" name="Column4570"/>
    <tableColumn id="4573" xr3:uid="{42E6BD1F-325D-4E7A-AD3A-B6B365471CB2}" name="Column4571"/>
    <tableColumn id="4574" xr3:uid="{2332846A-002F-4B72-9086-E9973F9F8F21}" name="Column4572"/>
    <tableColumn id="4575" xr3:uid="{99010342-A634-453D-BBA0-D0427ABBFB63}" name="Column4573"/>
    <tableColumn id="4576" xr3:uid="{38700DE7-17C7-45E1-8D31-2F7841BE7A33}" name="Column4574"/>
    <tableColumn id="4577" xr3:uid="{D47908B3-9F89-44C2-AD9F-12BD30A8E333}" name="Column4575"/>
    <tableColumn id="4578" xr3:uid="{05C72847-6F5A-430C-B37A-38E2A1E6DDF9}" name="Column4576"/>
    <tableColumn id="4579" xr3:uid="{F0C0C14E-1CA8-4386-B6EA-7FB82E6926F7}" name="Column4577"/>
    <tableColumn id="4580" xr3:uid="{7F6424A9-C40B-4870-AC31-2742F11A7546}" name="Column4578"/>
    <tableColumn id="4581" xr3:uid="{A2D5B371-C99A-4561-9EFE-957DC2135698}" name="Column4579"/>
    <tableColumn id="4582" xr3:uid="{7E4C9E44-F26E-4F49-95DA-B90D6ABB52D1}" name="Column4580"/>
    <tableColumn id="4583" xr3:uid="{F1510BC5-E45D-4B30-B327-7EDED6FB62E6}" name="Column4581"/>
    <tableColumn id="4584" xr3:uid="{2042A457-13AB-4D4C-B9AA-082ECC32CCBB}" name="Column4582"/>
    <tableColumn id="4585" xr3:uid="{346ED37B-8821-44D1-8B31-01F1973AA6E1}" name="Column4583"/>
    <tableColumn id="4586" xr3:uid="{6BA38152-A36E-4D24-BC88-369B9B0741B9}" name="Column4584"/>
    <tableColumn id="4587" xr3:uid="{C3933EB5-D5D6-40CD-BC55-557D9A804731}" name="Column4585"/>
    <tableColumn id="4588" xr3:uid="{B0C2672B-DF55-46A6-BFFD-DA9623359C68}" name="Column4586"/>
    <tableColumn id="4589" xr3:uid="{F32B9712-115F-4E85-BE22-E75D763EDF77}" name="Column4587"/>
    <tableColumn id="4590" xr3:uid="{BAB9F35D-4743-40DF-8E36-8B09CEC6DE13}" name="Column4588"/>
    <tableColumn id="4591" xr3:uid="{C45FE859-AC63-42E7-8953-38183AD3E667}" name="Column4589"/>
    <tableColumn id="4592" xr3:uid="{D9FA2C3C-6E52-4ECE-9444-0D3BC6842F0A}" name="Column4590"/>
    <tableColumn id="4593" xr3:uid="{169871B8-D009-4B59-B9AD-8EF54A0C9636}" name="Column4591"/>
    <tableColumn id="4594" xr3:uid="{073E7FBA-C8AE-4D7F-B0C6-CCAB6B9C1622}" name="Column4592"/>
    <tableColumn id="4595" xr3:uid="{C3D939FC-EC07-4C84-827E-342B81DCE54B}" name="Column4593"/>
    <tableColumn id="4596" xr3:uid="{35AE6F03-527B-4F91-9557-243CC87B7AFC}" name="Column4594"/>
    <tableColumn id="4597" xr3:uid="{A6D347F5-FE69-4EEE-AB0E-26A8A3D4A935}" name="Column4595"/>
    <tableColumn id="4598" xr3:uid="{6E263186-924D-4D91-BF44-B99A1BE3FBA9}" name="Column4596"/>
    <tableColumn id="4599" xr3:uid="{7116012B-3E3A-47A9-91CA-642E25A244AC}" name="Column4597"/>
    <tableColumn id="4600" xr3:uid="{345CB459-D538-41DC-969E-70902220A2B1}" name="Column4598"/>
    <tableColumn id="4601" xr3:uid="{8828E18F-EDB2-4065-8C8E-7035FC9E30E1}" name="Column4599"/>
    <tableColumn id="4602" xr3:uid="{FEA53903-EFC9-4BAC-83D5-7BA18AE8D85F}" name="Column4600"/>
    <tableColumn id="4603" xr3:uid="{C3B135B2-BDA9-4AFD-8961-140A7B14E289}" name="Column4601"/>
    <tableColumn id="4604" xr3:uid="{261790C9-9346-4217-BA26-20D324EF66FB}" name="Column4602"/>
    <tableColumn id="4605" xr3:uid="{E950C04A-3B99-49E2-AC58-AEE6F80160AC}" name="Column4603"/>
    <tableColumn id="4606" xr3:uid="{4B5F8623-610C-4954-9AB9-EECF91C8B1D2}" name="Column4604"/>
    <tableColumn id="4607" xr3:uid="{0466C01B-C49F-47DF-8A7B-EF4A9742B602}" name="Column4605"/>
    <tableColumn id="4608" xr3:uid="{7651B87D-3C95-430C-B14B-3C0E3351C096}" name="Column4606"/>
    <tableColumn id="4609" xr3:uid="{7E5C6519-8969-4EE1-AA14-071DEDBB69C6}" name="Column4607"/>
    <tableColumn id="4610" xr3:uid="{FD3A82AE-58AA-4816-AA8C-85E33C0E360A}" name="Column4608"/>
    <tableColumn id="4611" xr3:uid="{1B86A372-ACD3-482F-AB92-24991963B7D9}" name="Column4609"/>
    <tableColumn id="4612" xr3:uid="{4D8550E2-A303-4D77-BF76-61EEEC1FA5DA}" name="Column4610"/>
    <tableColumn id="4613" xr3:uid="{82E7C344-668F-4D82-8FB5-8B84E9BCC085}" name="Column4611"/>
    <tableColumn id="4614" xr3:uid="{DFD82EDC-140E-49FA-A46A-2D1AC6ABFF6B}" name="Column4612"/>
    <tableColumn id="4615" xr3:uid="{C1F13F0C-59CA-4170-8C5F-F4BC563D69A2}" name="Column4613"/>
    <tableColumn id="4616" xr3:uid="{07E10E7F-8EA3-44EC-B7C1-CDD14CB85AF9}" name="Column4614"/>
    <tableColumn id="4617" xr3:uid="{B63071DE-4B64-49D4-85A1-43D1F8941356}" name="Column4615"/>
    <tableColumn id="4618" xr3:uid="{86075232-227E-46ED-B7A1-4C23E3686143}" name="Column4616"/>
    <tableColumn id="4619" xr3:uid="{C1A604E1-73B1-48A4-B56C-8BC4D23E93C4}" name="Column4617"/>
    <tableColumn id="4620" xr3:uid="{17D027AC-A248-4C53-BEDF-E0F8A06ACEFB}" name="Column4618"/>
    <tableColumn id="4621" xr3:uid="{9A4B96F3-3C01-473C-AE8E-A2A33EF034A3}" name="Column4619"/>
    <tableColumn id="4622" xr3:uid="{A5B09CC5-B60E-4CA7-BA1A-71226BAADE87}" name="Column4620"/>
    <tableColumn id="4623" xr3:uid="{2DC372D9-B7C2-45FA-A821-A459C7511EA0}" name="Column4621"/>
    <tableColumn id="4624" xr3:uid="{8A79B91D-322D-4E87-9267-2C58D1940A1F}" name="Column4622"/>
    <tableColumn id="4625" xr3:uid="{64428131-ED8F-43D6-A493-84237E50F8F7}" name="Column4623"/>
    <tableColumn id="4626" xr3:uid="{81FEAF0E-FAB6-433F-945F-A55AE96538E9}" name="Column4624"/>
    <tableColumn id="4627" xr3:uid="{2A1961A6-A70F-4B27-8776-0DD20E68920C}" name="Column4625"/>
    <tableColumn id="4628" xr3:uid="{BE375699-497F-4212-9F0E-F7C62575B777}" name="Column4626"/>
    <tableColumn id="4629" xr3:uid="{C41EAF74-F170-4909-9B2E-769B0674B184}" name="Column4627"/>
    <tableColumn id="4630" xr3:uid="{4E723B66-84F6-422A-BE16-E5172EB3A5E8}" name="Column4628"/>
    <tableColumn id="4631" xr3:uid="{F7C578B9-B54A-4E04-9E98-9838B5FABFE4}" name="Column4629"/>
    <tableColumn id="4632" xr3:uid="{12B5FF75-B680-40C5-B837-D53EE34BE6E2}" name="Column4630"/>
    <tableColumn id="4633" xr3:uid="{7D50BF11-30E8-474B-8D48-831408B8E751}" name="Column4631"/>
    <tableColumn id="4634" xr3:uid="{49F3662F-AC65-4F49-8A3D-D2D9BCFE7E67}" name="Column4632"/>
    <tableColumn id="4635" xr3:uid="{A748A492-37E0-4040-8A43-E93623D54141}" name="Column4633"/>
    <tableColumn id="4636" xr3:uid="{26CD301F-CC85-4F09-A8C2-10339CEBB382}" name="Column4634"/>
    <tableColumn id="4637" xr3:uid="{201F0B84-5CB4-4202-8494-4A1510E38147}" name="Column4635"/>
    <tableColumn id="4638" xr3:uid="{296D6FA9-D01C-4AA1-A651-0DEB066D0367}" name="Column4636"/>
    <tableColumn id="4639" xr3:uid="{13B935A8-4061-4363-963F-A4EFBF323604}" name="Column4637"/>
    <tableColumn id="4640" xr3:uid="{2ADBB9C4-4375-4C36-9E46-487129DCF2D3}" name="Column4638"/>
    <tableColumn id="4641" xr3:uid="{FE5BA670-0BD4-49FE-AD6A-FCCF48D6ED71}" name="Column4639"/>
    <tableColumn id="4642" xr3:uid="{84270395-AA4F-47D2-B0C2-3218919AF564}" name="Column4640"/>
    <tableColumn id="4643" xr3:uid="{1FFA5654-24C0-4B92-92AA-C09E229A3EA8}" name="Column4641"/>
    <tableColumn id="4644" xr3:uid="{2D435191-5FB9-46D1-89BE-111E398EB153}" name="Column4642"/>
    <tableColumn id="4645" xr3:uid="{3FACCBD7-A050-4CD3-83E1-53053792C8FB}" name="Column4643"/>
    <tableColumn id="4646" xr3:uid="{AB2716F3-2A9D-416A-AA59-C1410C3FDC41}" name="Column4644"/>
    <tableColumn id="4647" xr3:uid="{E9495251-8465-42A9-AC19-03124A676EF0}" name="Column4645"/>
    <tableColumn id="4648" xr3:uid="{A6D29CF2-954E-4E5C-A2EE-A35EF226549E}" name="Column4646"/>
    <tableColumn id="4649" xr3:uid="{5EEF3483-9592-49DC-8B43-87E134345356}" name="Column4647"/>
    <tableColumn id="4650" xr3:uid="{1F074810-FAF1-4B4C-9E56-D6DC001BFE9C}" name="Column4648"/>
    <tableColumn id="4651" xr3:uid="{D328629E-C6CE-4010-8AA0-C8CF611198AA}" name="Column4649"/>
    <tableColumn id="4652" xr3:uid="{D4946014-DEAA-494E-A824-32B135B03672}" name="Column4650"/>
    <tableColumn id="4653" xr3:uid="{962C8935-BF78-4C81-AD90-BCE64E3089B4}" name="Column4651"/>
    <tableColumn id="4654" xr3:uid="{4383A837-EDB1-49F5-AF78-94871DD3E68F}" name="Column4652"/>
    <tableColumn id="4655" xr3:uid="{202F7E76-8689-43D0-BFA5-8B6056CEC93A}" name="Column4653"/>
    <tableColumn id="4656" xr3:uid="{34BADE54-9D2A-4ABE-B86F-9F8F84793DEE}" name="Column4654"/>
    <tableColumn id="4657" xr3:uid="{E0C9A796-C9B9-4C63-8929-71B2A51111D5}" name="Column4655"/>
    <tableColumn id="4658" xr3:uid="{49CD9FCA-A655-4144-9306-8C7AA2091B9F}" name="Column4656"/>
    <tableColumn id="4659" xr3:uid="{99DB51CE-2863-4AC3-B102-B13D088A8BA7}" name="Column4657"/>
    <tableColumn id="4660" xr3:uid="{2A5184FD-D8C9-431F-852E-139645A0932F}" name="Column4658"/>
    <tableColumn id="4661" xr3:uid="{9B726849-23EB-44C8-BD61-7287C3AD2CD8}" name="Column4659"/>
    <tableColumn id="4662" xr3:uid="{337A363F-147A-4CB9-9B0B-FEE83B600FDF}" name="Column4660"/>
    <tableColumn id="4663" xr3:uid="{C89755FF-11F6-469D-B0C3-50AE8634E64E}" name="Column4661"/>
    <tableColumn id="4664" xr3:uid="{126EC9B9-FE76-48B3-B43B-8824A9524B71}" name="Column4662"/>
    <tableColumn id="4665" xr3:uid="{7F028298-B48D-4050-838B-62D620102696}" name="Column4663"/>
    <tableColumn id="4666" xr3:uid="{D7E58CB8-1627-4089-8A75-1E09B1DBC652}" name="Column4664"/>
    <tableColumn id="4667" xr3:uid="{9CD97F76-12D9-4B0E-A420-776560D27FF2}" name="Column4665"/>
    <tableColumn id="4668" xr3:uid="{E08D610A-D416-4A64-AA40-DDD2791E94C8}" name="Column4666"/>
    <tableColumn id="4669" xr3:uid="{DAF5E549-1AD7-4A72-844A-19D8CAAB192E}" name="Column4667"/>
    <tableColumn id="4670" xr3:uid="{262CBDE4-F35E-45A5-A4C0-25D25058B8BF}" name="Column4668"/>
    <tableColumn id="4671" xr3:uid="{894308CE-C45B-4BD0-85A5-30CB0A99C6B7}" name="Column4669"/>
    <tableColumn id="4672" xr3:uid="{60F05132-4886-4E2E-8B4C-FCE6FA689750}" name="Column4670"/>
    <tableColumn id="4673" xr3:uid="{B12D4ECC-9041-4A40-8082-C80B8A052AFA}" name="Column4671"/>
    <tableColumn id="4674" xr3:uid="{C1764FA5-7B63-469F-B528-2CD9C3021874}" name="Column4672"/>
    <tableColumn id="4675" xr3:uid="{0854E2F0-DE1D-4C28-A42C-44459EE6EFC4}" name="Column4673"/>
    <tableColumn id="4676" xr3:uid="{7DA9E57B-F3A4-4ED4-9501-253985F88C4A}" name="Column4674"/>
    <tableColumn id="4677" xr3:uid="{6C37EAC5-1284-4C65-A6F6-7942FE326264}" name="Column4675"/>
    <tableColumn id="4678" xr3:uid="{0655498C-1B51-4717-8DC7-6CF4AC078967}" name="Column4676"/>
    <tableColumn id="4679" xr3:uid="{8F0BFF4E-5EAD-4F22-AC9C-B895152200CA}" name="Column4677"/>
    <tableColumn id="4680" xr3:uid="{B421DA50-1ECD-47F6-9A49-E1BBA31E5278}" name="Column4678"/>
    <tableColumn id="4681" xr3:uid="{704C41BE-168F-4305-AD16-32BA8EB5B55A}" name="Column4679"/>
    <tableColumn id="4682" xr3:uid="{D04028D8-2A04-490E-9FA2-7F91DFB1DE50}" name="Column4680"/>
    <tableColumn id="4683" xr3:uid="{731A7A63-2F60-4025-93A3-942C9C24CDB4}" name="Column4681"/>
    <tableColumn id="4684" xr3:uid="{06D24B4E-0947-4A3E-8073-6122B0ACC0FD}" name="Column4682"/>
    <tableColumn id="4685" xr3:uid="{C1A6F711-9EF1-46AE-BBCC-3E278DDEEB05}" name="Column4683"/>
    <tableColumn id="4686" xr3:uid="{3E64260A-E44D-4758-9253-3613947EA43E}" name="Column4684"/>
    <tableColumn id="4687" xr3:uid="{8ED5F17A-E433-4222-A91A-71065BB76924}" name="Column4685"/>
    <tableColumn id="4688" xr3:uid="{2E410B65-EA78-4D1F-8659-9E1492140C0E}" name="Column4686"/>
    <tableColumn id="4689" xr3:uid="{9AB5C028-8DF2-40B0-A6E6-A819C3D58127}" name="Column4687"/>
    <tableColumn id="4690" xr3:uid="{9B715A34-CB59-4AF7-B9F8-93D3FFA4EF8F}" name="Column4688"/>
    <tableColumn id="4691" xr3:uid="{191FFD8E-ED83-4D8C-BD03-A8296A73161F}" name="Column4689"/>
    <tableColumn id="4692" xr3:uid="{86A6C268-0D88-44BB-B2DD-C17A6E9393FD}" name="Column4690"/>
    <tableColumn id="4693" xr3:uid="{5A154C30-06D3-4E7F-A825-CF7027FBF771}" name="Column4691"/>
    <tableColumn id="4694" xr3:uid="{47E6E468-364D-4B49-89FA-F51548DF8505}" name="Column4692"/>
    <tableColumn id="4695" xr3:uid="{7DF0B438-9B15-480A-9B7C-E84CE93D4480}" name="Column4693"/>
    <tableColumn id="4696" xr3:uid="{9A5BB336-74EE-45E7-BC4C-4171474962C3}" name="Column4694"/>
    <tableColumn id="4697" xr3:uid="{89098356-49A3-4B52-AF94-331F3BA3AFAE}" name="Column4695"/>
    <tableColumn id="4698" xr3:uid="{85902CDA-5CA7-496A-A46D-A16C5B5A279E}" name="Column4696"/>
    <tableColumn id="4699" xr3:uid="{E625CF87-0FF6-44EF-831E-C0ECA0341535}" name="Column4697"/>
    <tableColumn id="4700" xr3:uid="{F286145F-6335-4A5A-A9ED-75D0EABD8B99}" name="Column4698"/>
    <tableColumn id="4701" xr3:uid="{FFB59E42-D925-41E5-ACE2-DFD4D1CAB7D3}" name="Column4699"/>
    <tableColumn id="4702" xr3:uid="{E50BC0F5-5255-4A43-8F03-CAE63627789E}" name="Column4700"/>
    <tableColumn id="4703" xr3:uid="{ED82429E-FD70-4E15-B853-51C6D24E707F}" name="Column4701"/>
    <tableColumn id="4704" xr3:uid="{566F24BF-2537-44C4-A199-DB504F98C2ED}" name="Column4702"/>
    <tableColumn id="4705" xr3:uid="{C6031EB9-AE13-4630-B3DB-A66CD2024E5E}" name="Column4703"/>
    <tableColumn id="4706" xr3:uid="{0BEBBFE3-25C9-4D0C-9B54-77A646AAF038}" name="Column4704"/>
    <tableColumn id="4707" xr3:uid="{B6E968EF-05C1-4B6F-B0E1-0188DCA7B987}" name="Column4705"/>
    <tableColumn id="4708" xr3:uid="{69CAF6DC-8F3C-40FB-9C3B-EE1E0048F6A1}" name="Column4706"/>
    <tableColumn id="4709" xr3:uid="{ABC92BCA-3FED-43C7-B74F-D74DF512AABE}" name="Column4707"/>
    <tableColumn id="4710" xr3:uid="{9CA0CDFA-2231-4502-ACAF-BDFB1824264F}" name="Column4708"/>
    <tableColumn id="4711" xr3:uid="{6885D344-99AA-4A7A-90A4-98A227A7575C}" name="Column4709"/>
    <tableColumn id="4712" xr3:uid="{A160ABD6-DE29-4812-9E2D-15955B17CA3E}" name="Column4710"/>
    <tableColumn id="4713" xr3:uid="{73D2CDCC-CB63-4B02-B8F6-6D63D3B5EBA1}" name="Column4711"/>
    <tableColumn id="4714" xr3:uid="{51B43187-36D1-45DD-A15E-800695FD5A86}" name="Column4712"/>
    <tableColumn id="4715" xr3:uid="{635ADFF0-7768-4951-BE5A-ED96631D62CC}" name="Column4713"/>
    <tableColumn id="4716" xr3:uid="{529422D5-21CE-4C31-B7F0-78A01790A285}" name="Column4714"/>
    <tableColumn id="4717" xr3:uid="{950F9FF6-9DE2-4192-90D8-8AA833A72C7E}" name="Column4715"/>
    <tableColumn id="4718" xr3:uid="{5F295CA0-A8CA-40C2-8B32-6EE7742D0844}" name="Column4716"/>
    <tableColumn id="4719" xr3:uid="{8AEFDCCF-6749-46E9-8515-00C75C7257C4}" name="Column4717"/>
    <tableColumn id="4720" xr3:uid="{BD6798AF-202C-4C77-8F7D-A74FE88B42C6}" name="Column4718"/>
    <tableColumn id="4721" xr3:uid="{89059A50-21AB-4246-9FC1-F1F0C817A4F6}" name="Column4719"/>
    <tableColumn id="4722" xr3:uid="{2575CAF1-AB3D-4CC9-A069-883001CFAFB6}" name="Column4720"/>
    <tableColumn id="4723" xr3:uid="{4DC2E7F2-A4C3-4BB0-A876-5238460F9EA3}" name="Column4721"/>
    <tableColumn id="4724" xr3:uid="{6E2F3E43-BEAA-4AAE-B089-704A2FE29D95}" name="Column4722"/>
    <tableColumn id="4725" xr3:uid="{A955C740-4837-48DB-9820-42BD3AC69319}" name="Column4723"/>
    <tableColumn id="4726" xr3:uid="{68534389-9D09-4AD0-888C-3E626AEBAD66}" name="Column4724"/>
    <tableColumn id="4727" xr3:uid="{AFBF5C55-3CA1-4BE7-80B8-FD888340E8E8}" name="Column4725"/>
    <tableColumn id="4728" xr3:uid="{ACF88DAF-C2AF-4DBC-8801-915B0684C533}" name="Column4726"/>
    <tableColumn id="4729" xr3:uid="{83818218-5E71-427E-B0D4-FD0858D67DBC}" name="Column4727"/>
    <tableColumn id="4730" xr3:uid="{AB3964E6-2789-4FDD-A0CE-3DE0FD5DAFC2}" name="Column4728"/>
    <tableColumn id="4731" xr3:uid="{A541166F-8F0F-49FC-B5A0-83DF66959312}" name="Column4729"/>
    <tableColumn id="4732" xr3:uid="{AA4800C7-B92F-4D61-BE23-B535739D9568}" name="Column4730"/>
    <tableColumn id="4733" xr3:uid="{1FF4FC44-8A1F-46FD-8DD8-D762749175D9}" name="Column4731"/>
    <tableColumn id="4734" xr3:uid="{E8E21313-9B71-49A7-98AC-9BBAEFA70382}" name="Column4732"/>
    <tableColumn id="4735" xr3:uid="{C498FD18-CEAE-4FCD-B660-A61BDA5F1E55}" name="Column4733"/>
    <tableColumn id="4736" xr3:uid="{DAA8A7E9-FEDB-403B-BCCD-5AD6358048D8}" name="Column4734"/>
    <tableColumn id="4737" xr3:uid="{B27D93FE-1890-44DC-A3EB-C90D8853F6DC}" name="Column4735"/>
    <tableColumn id="4738" xr3:uid="{1F8A2B6F-F180-44F3-8288-15C514985101}" name="Column4736"/>
    <tableColumn id="4739" xr3:uid="{4EA3FA99-9779-4DB2-B5A3-8E4EC3AA1C59}" name="Column4737"/>
    <tableColumn id="4740" xr3:uid="{20A1B132-7A82-4343-9FC2-DB5651B7F6E6}" name="Column4738"/>
    <tableColumn id="4741" xr3:uid="{C7EF38C6-7DCD-4898-9AE2-C83E8539494C}" name="Column4739"/>
    <tableColumn id="4742" xr3:uid="{2E21C2E5-EECA-4890-810D-6993E2F7A4A1}" name="Column4740"/>
    <tableColumn id="4743" xr3:uid="{965B3A53-33F2-41E8-A360-3E101A0AA190}" name="Column4741"/>
    <tableColumn id="4744" xr3:uid="{459C2A3B-3782-4EF4-B14F-B7B8F41C08C2}" name="Column4742"/>
    <tableColumn id="4745" xr3:uid="{2250FEC7-6B19-4BDD-9EE8-8504FAD9DFA7}" name="Column4743"/>
    <tableColumn id="4746" xr3:uid="{91B70753-DFE5-4BC8-9918-2DA008BA541C}" name="Column4744"/>
    <tableColumn id="4747" xr3:uid="{24EA4464-8AEA-4873-A4DB-8C97C1A335E4}" name="Column4745"/>
    <tableColumn id="4748" xr3:uid="{B0CBB9AF-F20D-4DEE-AD52-1C054854ABAA}" name="Column4746"/>
    <tableColumn id="4749" xr3:uid="{89959824-FA54-4BB6-A006-45DF909603DF}" name="Column4747"/>
    <tableColumn id="4750" xr3:uid="{C6C29D60-3ABD-4C57-8B8C-9C8A96003F24}" name="Column4748"/>
    <tableColumn id="4751" xr3:uid="{3973E2A5-37D2-4449-812F-F1A3B9B93A9F}" name="Column4749"/>
    <tableColumn id="4752" xr3:uid="{77A814F4-011B-4A2E-9B2D-C7F160BC7CF1}" name="Column4750"/>
    <tableColumn id="4753" xr3:uid="{18298FF8-F92D-411A-8D1A-2EB85CCCE9C2}" name="Column4751"/>
    <tableColumn id="4754" xr3:uid="{D8B47DA2-7777-4A80-BE68-BFAEEA841FDD}" name="Column4752"/>
    <tableColumn id="4755" xr3:uid="{2E0CBC80-BD68-4480-970C-50339187294E}" name="Column4753"/>
    <tableColumn id="4756" xr3:uid="{BA26E788-D901-44D1-A1FF-DC36A11381EB}" name="Column4754"/>
    <tableColumn id="4757" xr3:uid="{CF7E1C51-90DA-4679-97C7-8C3DFC1EB2D8}" name="Column4755"/>
    <tableColumn id="4758" xr3:uid="{DDD29144-7F93-4010-8E8C-C205888D0C3F}" name="Column4756"/>
    <tableColumn id="4759" xr3:uid="{6A93CB28-C047-48BD-873C-BC717B90F814}" name="Column4757"/>
    <tableColumn id="4760" xr3:uid="{DACEC695-46D1-4A23-B7BC-486E9DACE155}" name="Column4758"/>
    <tableColumn id="4761" xr3:uid="{D2B40737-DC12-4345-BF4B-B7635781FDB5}" name="Column4759"/>
    <tableColumn id="4762" xr3:uid="{41FE894F-295E-4BAD-A51C-23BB1F097BF7}" name="Column4760"/>
    <tableColumn id="4763" xr3:uid="{737E5927-EE69-4A08-9B9A-C2DD97511646}" name="Column4761"/>
    <tableColumn id="4764" xr3:uid="{583188C1-8960-4244-BA47-9B684F579712}" name="Column4762"/>
    <tableColumn id="4765" xr3:uid="{81AC32FE-8EB4-47D5-ABE7-54ABC9A1F7CA}" name="Column4763"/>
    <tableColumn id="4766" xr3:uid="{8A9C1D2E-67E0-4ACC-80B3-56CAD927E82C}" name="Column4764"/>
    <tableColumn id="4767" xr3:uid="{DB76862A-EFC5-4CB3-854A-6C7FF97E7054}" name="Column4765"/>
    <tableColumn id="4768" xr3:uid="{083C5415-81BA-41E7-BB04-E0E1ED08B67A}" name="Column4766"/>
    <tableColumn id="4769" xr3:uid="{9D82B878-5B55-4067-9C08-03ACD1DE1ECB}" name="Column4767"/>
    <tableColumn id="4770" xr3:uid="{C7700A3F-2CC1-4E98-9171-9B072945B8E0}" name="Column4768"/>
    <tableColumn id="4771" xr3:uid="{4A936210-DEC6-43E3-9F3E-E0D0EF6EFC38}" name="Column4769"/>
    <tableColumn id="4772" xr3:uid="{891165C8-9696-4331-8E7C-34E5373EF6FE}" name="Column4770"/>
    <tableColumn id="4773" xr3:uid="{2444EC62-0E04-4084-8A47-3464927DE5B2}" name="Column4771"/>
    <tableColumn id="4774" xr3:uid="{10963C8E-1452-43E1-BE48-FEA997881C74}" name="Column4772"/>
    <tableColumn id="4775" xr3:uid="{72712B2C-787D-49EE-8DD8-640957A8E744}" name="Column4773"/>
    <tableColumn id="4776" xr3:uid="{EA2E8B0C-074C-43FF-AB1A-30DAAA87F673}" name="Column4774"/>
    <tableColumn id="4777" xr3:uid="{D4CE463E-222C-48CC-B4B6-84FD27E7CC1B}" name="Column4775"/>
    <tableColumn id="4778" xr3:uid="{448DCB01-964B-4AC4-91A0-7AE4AB2C4863}" name="Column4776"/>
    <tableColumn id="4779" xr3:uid="{B679AACA-A63D-47CE-84A4-EC9A0DD0D684}" name="Column4777"/>
    <tableColumn id="4780" xr3:uid="{64057ABE-25D8-4551-BEE4-F1BB1C98F5DF}" name="Column4778"/>
    <tableColumn id="4781" xr3:uid="{DCCF86A1-08F7-4E69-B7A1-F0B618A32934}" name="Column4779"/>
    <tableColumn id="4782" xr3:uid="{4AB88F33-11CC-4E4C-96BA-DE9BB075EEC7}" name="Column4780"/>
    <tableColumn id="4783" xr3:uid="{6A265AD0-9AD4-4072-8FFF-D086B9F88FB0}" name="Column4781"/>
    <tableColumn id="4784" xr3:uid="{5403B9CB-8E55-4160-8932-013151131A75}" name="Column4782"/>
    <tableColumn id="4785" xr3:uid="{59545064-8B3E-4BF2-8E1E-950156B9DD09}" name="Column4783"/>
    <tableColumn id="4786" xr3:uid="{D8D625FE-9D92-4A64-9555-E2F5F6384D3D}" name="Column4784"/>
    <tableColumn id="4787" xr3:uid="{B5D073D4-2E62-4015-AEF8-505D45A6429C}" name="Column4785"/>
    <tableColumn id="4788" xr3:uid="{2A29BD2D-FDFB-4F2B-9F2C-9B833D587A97}" name="Column4786"/>
    <tableColumn id="4789" xr3:uid="{611927B1-CE22-4235-AB49-90042229382B}" name="Column4787"/>
    <tableColumn id="4790" xr3:uid="{BE7BB160-9B0F-45B6-B52F-DD142B23F94B}" name="Column4788"/>
    <tableColumn id="4791" xr3:uid="{750381A8-F645-4E5F-9749-50020FA4F7C3}" name="Column4789"/>
    <tableColumn id="4792" xr3:uid="{554881B9-0D54-43E7-8AEC-C32C89C19DCE}" name="Column4790"/>
    <tableColumn id="4793" xr3:uid="{26899504-05EF-4B0A-8312-8090AA8A4282}" name="Column4791"/>
    <tableColumn id="4794" xr3:uid="{03F17229-FE14-45A6-977F-488800ADC88A}" name="Column4792"/>
    <tableColumn id="4795" xr3:uid="{DB49372A-E474-46FE-9502-7019C42B8329}" name="Column4793"/>
    <tableColumn id="4796" xr3:uid="{BC9D9AC5-8477-4406-868C-710D03F6C13A}" name="Column4794"/>
    <tableColumn id="4797" xr3:uid="{DC25B6E1-65FD-4795-BC01-938D26E4FE3F}" name="Column4795"/>
    <tableColumn id="4798" xr3:uid="{4655932D-7457-4C33-859A-DDD60F2B2BF0}" name="Column4796"/>
    <tableColumn id="4799" xr3:uid="{7B8ADBE4-5282-42A1-A657-688EEC53D17D}" name="Column4797"/>
    <tableColumn id="4800" xr3:uid="{77C44BB9-DA65-49BF-B190-01FA8D4F441E}" name="Column4798"/>
    <tableColumn id="4801" xr3:uid="{542F9A0B-5221-40C4-8AF5-FFA76614129A}" name="Column4799"/>
    <tableColumn id="4802" xr3:uid="{E4B2CF8C-5DBE-4C13-8434-E16DB4ED3D0F}" name="Column4800"/>
    <tableColumn id="4803" xr3:uid="{0B5569A3-F0F0-4384-B65C-E0186E1DF734}" name="Column4801"/>
    <tableColumn id="4804" xr3:uid="{9BE01C96-3A98-4885-A0FC-32874C33B8AF}" name="Column4802"/>
    <tableColumn id="4805" xr3:uid="{A9043A66-46B0-4E49-BF04-012FE49AC133}" name="Column4803"/>
    <tableColumn id="4806" xr3:uid="{760842F5-532C-497B-BE4B-E4599E1E85BA}" name="Column4804"/>
    <tableColumn id="4807" xr3:uid="{AAC91907-ADC3-4E40-B3FB-D721A082A84C}" name="Column4805"/>
    <tableColumn id="4808" xr3:uid="{DA3A68BC-CD61-44A2-BAF7-057AB25FCBA0}" name="Column4806"/>
    <tableColumn id="4809" xr3:uid="{4049E806-F38A-4281-9C16-3A2CB4788C0D}" name="Column4807"/>
    <tableColumn id="4810" xr3:uid="{D50D47DB-F946-41BB-9253-8C47A562AC06}" name="Column4808"/>
    <tableColumn id="4811" xr3:uid="{F4577D71-0069-4A92-8830-230D19AD2FB7}" name="Column4809"/>
    <tableColumn id="4812" xr3:uid="{6588D7EC-2050-4D22-8FF1-699E00E6A32B}" name="Column4810"/>
    <tableColumn id="4813" xr3:uid="{F57160A0-3320-4BEB-9264-3DD62F0F1D42}" name="Column4811"/>
    <tableColumn id="4814" xr3:uid="{39B36596-F311-4358-9E2E-94D9AFD2FDC6}" name="Column4812"/>
    <tableColumn id="4815" xr3:uid="{FE8EE1BF-F981-4E6C-B31C-405893AE2A00}" name="Column4813"/>
    <tableColumn id="4816" xr3:uid="{37DEF20E-033C-4890-9B66-C97273125F8E}" name="Column4814"/>
    <tableColumn id="4817" xr3:uid="{D6712BCA-BD23-4E76-BEFB-AFF6FE597FC9}" name="Column4815"/>
    <tableColumn id="4818" xr3:uid="{C668AA96-7476-42B0-B833-34B178D9C6A4}" name="Column4816"/>
    <tableColumn id="4819" xr3:uid="{3E1BAFE5-30C2-464E-98E7-F537409BB48C}" name="Column4817"/>
    <tableColumn id="4820" xr3:uid="{2CDFEE0E-E7B3-405F-BC11-BF3AB3F8A889}" name="Column4818"/>
    <tableColumn id="4821" xr3:uid="{285B5F53-6B1B-4AA8-AD8E-C3B83C636404}" name="Column4819"/>
    <tableColumn id="4822" xr3:uid="{73C12868-686E-4EC5-9EB2-DC01FDB8BF7B}" name="Column4820"/>
    <tableColumn id="4823" xr3:uid="{A1081937-B316-4D0A-B73C-EC1D9C84C96E}" name="Column4821"/>
    <tableColumn id="4824" xr3:uid="{4C36FF01-DCEF-48AD-A2F1-A89242FD7CC3}" name="Column4822"/>
    <tableColumn id="4825" xr3:uid="{9D403E8D-3B09-4D04-A001-AE063D5696A1}" name="Column4823"/>
    <tableColumn id="4826" xr3:uid="{4D151CA9-6722-488B-9D13-703E47E23BEC}" name="Column4824"/>
    <tableColumn id="4827" xr3:uid="{834985BA-F0AC-4D76-9310-41E547199AFE}" name="Column4825"/>
    <tableColumn id="4828" xr3:uid="{5D57F4F3-A886-486F-99A4-13E20C20A1C1}" name="Column4826"/>
    <tableColumn id="4829" xr3:uid="{13EA059C-C0EC-48D9-9E79-A09510FF163F}" name="Column4827"/>
    <tableColumn id="4830" xr3:uid="{75CF0414-0D98-4F01-9FEF-8923911F3E6F}" name="Column4828"/>
    <tableColumn id="4831" xr3:uid="{5231732A-20AC-471F-8C5C-8FAE7132278C}" name="Column4829"/>
    <tableColumn id="4832" xr3:uid="{94F46813-9910-4A83-A850-6566CA16A0F3}" name="Column4830"/>
    <tableColumn id="4833" xr3:uid="{774EB90C-47A6-4418-9CFF-5EAC0D1332B4}" name="Column4831"/>
    <tableColumn id="4834" xr3:uid="{F43CFE5B-E81E-4830-B0F3-A2474508824C}" name="Column4832"/>
    <tableColumn id="4835" xr3:uid="{E37D59A1-BDE7-430A-9B8E-484E090DD6FB}" name="Column4833"/>
    <tableColumn id="4836" xr3:uid="{7A3EC6E5-54BA-4CC9-ACC9-E47C1861ABAB}" name="Column4834"/>
    <tableColumn id="4837" xr3:uid="{7381DABA-CB4D-4741-9F87-BC025FCC1926}" name="Column4835"/>
    <tableColumn id="4838" xr3:uid="{83E99F75-A5D6-450E-9E53-BA376F44D48F}" name="Column4836"/>
    <tableColumn id="4839" xr3:uid="{AFA3743D-70A0-42EA-B826-9050DF4F246E}" name="Column4837"/>
    <tableColumn id="4840" xr3:uid="{DE29B9A5-C5B7-4985-B26E-2CD9D1E0F90F}" name="Column4838"/>
    <tableColumn id="4841" xr3:uid="{6AC83E81-5259-4981-BFEA-49EEA2856A08}" name="Column4839"/>
    <tableColumn id="4842" xr3:uid="{07DDA9E0-B80F-4879-A9AB-5D1ABEC3C1BD}" name="Column4840"/>
    <tableColumn id="4843" xr3:uid="{AAD0F19A-D291-4902-A417-447718D48A55}" name="Column4841"/>
    <tableColumn id="4844" xr3:uid="{A9C3E6E8-E097-4319-8959-540DA876A033}" name="Column4842"/>
    <tableColumn id="4845" xr3:uid="{ED1C8770-84B6-4AB1-94D8-B73EE9627934}" name="Column4843"/>
    <tableColumn id="4846" xr3:uid="{1FE24518-1D55-47AA-A161-0C0C87F9920C}" name="Column4844"/>
    <tableColumn id="4847" xr3:uid="{A6BE2DB4-5126-465D-A080-92B90AF41AF2}" name="Column4845"/>
    <tableColumn id="4848" xr3:uid="{A4575356-FA40-41B3-8D1A-648418B4B781}" name="Column4846"/>
    <tableColumn id="4849" xr3:uid="{5AF0AF29-5210-4DB6-A529-B8E0E49E1DD4}" name="Column4847"/>
    <tableColumn id="4850" xr3:uid="{3D40FC33-FFAC-41D1-8710-3290E4EC5021}" name="Column4848"/>
    <tableColumn id="4851" xr3:uid="{70182415-2043-4D9F-9F54-24FE9DD79AF8}" name="Column4849"/>
    <tableColumn id="4852" xr3:uid="{F3D5D5B3-6923-411F-AF07-6612B21C9476}" name="Column4850"/>
    <tableColumn id="4853" xr3:uid="{F9C6B70C-B5AC-41D0-8550-8D479F03D1BB}" name="Column4851"/>
    <tableColumn id="4854" xr3:uid="{8A25D5D8-78B9-41FF-8B22-E4F544BD193A}" name="Column4852"/>
    <tableColumn id="4855" xr3:uid="{0154611B-482F-43CD-910A-26D9E2320380}" name="Column4853"/>
    <tableColumn id="4856" xr3:uid="{D82DF3D6-7D48-4C85-B20F-B0EAB57B33B4}" name="Column4854"/>
    <tableColumn id="4857" xr3:uid="{3661A729-E55B-4E80-80D0-3D552A8A010C}" name="Column4855"/>
    <tableColumn id="4858" xr3:uid="{D6E4ECC5-0352-4A00-9B7E-B55E9BFA81D9}" name="Column4856"/>
    <tableColumn id="4859" xr3:uid="{E80D943F-55CE-41C0-A93D-44C195D1B7D7}" name="Column4857"/>
    <tableColumn id="4860" xr3:uid="{5031B6B7-BDEF-4CD0-9F72-379CFD59087C}" name="Column4858"/>
    <tableColumn id="4861" xr3:uid="{8AAF0655-AD05-4BBE-A280-D01167E9BDC9}" name="Column4859"/>
    <tableColumn id="4862" xr3:uid="{5E42FE06-93C4-436A-87D5-F13C8219B18E}" name="Column4860"/>
    <tableColumn id="4863" xr3:uid="{3B7BB47C-5378-4335-A1DA-2DC5EE10C87A}" name="Column4861"/>
    <tableColumn id="4864" xr3:uid="{F067B124-4D7E-4A4F-8AE8-4A86FED3B76F}" name="Column4862"/>
    <tableColumn id="4865" xr3:uid="{7A959A8E-2F04-45AB-B521-BBEF289CF7F6}" name="Column4863"/>
    <tableColumn id="4866" xr3:uid="{5F6D7FC7-D2F8-4080-AFC1-D4668E6ED160}" name="Column4864"/>
    <tableColumn id="4867" xr3:uid="{315FD8CB-20EB-47AE-9A6C-9AF0B6A61647}" name="Column4865"/>
    <tableColumn id="4868" xr3:uid="{8BBB2B02-1523-4C78-A45B-EE1C5AC281BC}" name="Column4866"/>
    <tableColumn id="4869" xr3:uid="{BBB17531-DA33-47BD-ACE0-5EBEF1F7C3D2}" name="Column4867"/>
    <tableColumn id="4870" xr3:uid="{087772A8-878F-4E3A-8756-C40A17727335}" name="Column4868"/>
    <tableColumn id="4871" xr3:uid="{FB2124A5-B738-4E96-8329-0C9400FDF526}" name="Column4869"/>
    <tableColumn id="4872" xr3:uid="{909EAE1C-5C77-4128-BCBC-E9B35BC71A6A}" name="Column4870"/>
    <tableColumn id="4873" xr3:uid="{2A23BB75-A345-4D08-8B99-248100FF111C}" name="Column4871"/>
    <tableColumn id="4874" xr3:uid="{5BCF82F4-A7F3-42C2-B995-5DA87089BE5C}" name="Column4872"/>
    <tableColumn id="4875" xr3:uid="{E010D28F-711B-445A-9326-BA09DF6C89AF}" name="Column4873"/>
    <tableColumn id="4876" xr3:uid="{52ECB5E5-9E8C-481D-BFF3-4ABC733EB5A0}" name="Column4874"/>
    <tableColumn id="4877" xr3:uid="{A4F024F8-7A9C-451F-92F5-F84EEA2E5B34}" name="Column4875"/>
    <tableColumn id="4878" xr3:uid="{093CD049-890D-4F44-96A9-3E5C5F1FE70E}" name="Column4876"/>
    <tableColumn id="4879" xr3:uid="{C013A7AD-4F87-49EC-83B8-1EDFF1E0A745}" name="Column4877"/>
    <tableColumn id="4880" xr3:uid="{C2ABE2E2-9C96-434A-8280-A4052EB58837}" name="Column4878"/>
    <tableColumn id="4881" xr3:uid="{A6C2B7BC-3526-41F0-A84C-9D44EA9673DF}" name="Column4879"/>
    <tableColumn id="4882" xr3:uid="{FC85EDAE-524F-44E3-B17B-39AE1C92E0E4}" name="Column4880"/>
    <tableColumn id="4883" xr3:uid="{7CEEB59B-7E00-4266-BB68-BEDC8E85E3A5}" name="Column4881"/>
    <tableColumn id="4884" xr3:uid="{4969CC1E-5CE2-4F3A-87B3-32453D95BC8F}" name="Column4882"/>
    <tableColumn id="4885" xr3:uid="{ADE9FF25-DA88-4438-8B8E-FF87E452B2FE}" name="Column4883"/>
    <tableColumn id="4886" xr3:uid="{A31BAFD1-8A1D-4728-9077-9BAE1521B58A}" name="Column4884"/>
    <tableColumn id="4887" xr3:uid="{D76099F0-C7D9-479A-A5D6-2EB743ADDF37}" name="Column4885"/>
    <tableColumn id="4888" xr3:uid="{3F2787B8-E582-490B-BC03-EA2B55A8FB00}" name="Column4886"/>
    <tableColumn id="4889" xr3:uid="{E753527C-F20A-485D-8C2A-6D037F08979D}" name="Column4887"/>
    <tableColumn id="4890" xr3:uid="{D4965752-CAC4-49EC-A5DC-CBCE58DFACA9}" name="Column4888"/>
    <tableColumn id="4891" xr3:uid="{7D65F38D-D46A-4133-8981-0D6D0D1FBBD6}" name="Column4889"/>
    <tableColumn id="4892" xr3:uid="{D195631C-672A-4BA4-AEDB-CB51DACA9358}" name="Column4890"/>
    <tableColumn id="4893" xr3:uid="{66F956CC-0F94-4B8E-A93B-65EBB7F37A26}" name="Column4891"/>
    <tableColumn id="4894" xr3:uid="{1AAA5D35-4DFE-4FF1-983B-B7048102FBCF}" name="Column4892"/>
    <tableColumn id="4895" xr3:uid="{5C91EEB1-8360-42C0-8624-50D47E6A3D5A}" name="Column4893"/>
    <tableColumn id="4896" xr3:uid="{EC2A5C7A-1585-4120-8558-E580892D397A}" name="Column4894"/>
    <tableColumn id="4897" xr3:uid="{2BCE6A8B-04EA-4EC4-96B2-B77C999846D5}" name="Column4895"/>
    <tableColumn id="4898" xr3:uid="{A5BE86F2-D44B-42D8-912D-1F312EFD83BF}" name="Column4896"/>
    <tableColumn id="4899" xr3:uid="{5D5D24B4-02DF-4031-B207-67270A0CAD86}" name="Column4897"/>
    <tableColumn id="4900" xr3:uid="{BA913E3A-65C7-45C9-9238-8849394129A9}" name="Column4898"/>
    <tableColumn id="4901" xr3:uid="{1DD629F3-4683-47CF-AF30-D9B524F0999A}" name="Column4899"/>
    <tableColumn id="4902" xr3:uid="{A357009E-E6DD-4CEE-974E-752F1AEF27E8}" name="Column4900"/>
    <tableColumn id="4903" xr3:uid="{3F7E9D32-1CE2-464E-8A03-69AA193AA491}" name="Column4901"/>
    <tableColumn id="4904" xr3:uid="{FB0069DA-3F26-4603-81F3-6D108269BAF2}" name="Column4902"/>
    <tableColumn id="4905" xr3:uid="{416301C9-7C47-49CB-A52B-86BECABB1BC8}" name="Column4903"/>
    <tableColumn id="4906" xr3:uid="{AE12E821-6134-47CA-9F63-BBAECD2050EC}" name="Column4904"/>
    <tableColumn id="4907" xr3:uid="{496FA66D-AD75-4B0C-84B7-877CE7AB2738}" name="Column4905"/>
    <tableColumn id="4908" xr3:uid="{BB630E1B-88A0-41EF-85BD-0C55738609D4}" name="Column4906"/>
    <tableColumn id="4909" xr3:uid="{BA6698BC-1F00-4742-932D-57A2AE7E06E9}" name="Column4907"/>
    <tableColumn id="4910" xr3:uid="{2306CD46-5808-45EA-8C3C-6BA4374D134F}" name="Column4908"/>
    <tableColumn id="4911" xr3:uid="{F191E98B-ABCD-43ED-8140-60AE8B77A3BE}" name="Column4909"/>
    <tableColumn id="4912" xr3:uid="{0FA8B502-2B75-4AE2-8A64-6F8865B21773}" name="Column4910"/>
    <tableColumn id="4913" xr3:uid="{FA125800-9147-43F3-A979-4AD9B12276B3}" name="Column4911"/>
    <tableColumn id="4914" xr3:uid="{6A83C95B-DF72-4B26-8091-378602E39183}" name="Column4912"/>
    <tableColumn id="4915" xr3:uid="{D1A6D767-E16A-4D4F-BA7A-93EC0330296C}" name="Column4913"/>
    <tableColumn id="4916" xr3:uid="{6EDE21F1-98EC-4C4A-8035-A9BBB011BA4E}" name="Column4914"/>
    <tableColumn id="4917" xr3:uid="{5859F554-B80E-479A-87F2-FCA76A4ADAAE}" name="Column4915"/>
    <tableColumn id="4918" xr3:uid="{C69382AE-96CE-42A6-9365-FEADF52E8C37}" name="Column4916"/>
    <tableColumn id="4919" xr3:uid="{7AE5F053-D5F1-49A4-9A30-68D03CB32AF2}" name="Column4917"/>
    <tableColumn id="4920" xr3:uid="{066B88F3-640C-430B-A07E-83BF023A90FC}" name="Column4918"/>
    <tableColumn id="4921" xr3:uid="{75F29571-414C-4BD5-8EF0-2220DEA95648}" name="Column4919"/>
    <tableColumn id="4922" xr3:uid="{B2630BE6-9D2F-48C9-A137-51E45CA4B7EA}" name="Column4920"/>
    <tableColumn id="4923" xr3:uid="{238F97F3-4A6F-4397-B6E3-01A5DFCB2914}" name="Column4921"/>
    <tableColumn id="4924" xr3:uid="{48CE83BD-4D2B-41F2-BF0C-315C6A697DE6}" name="Column4922"/>
    <tableColumn id="4925" xr3:uid="{340DD55F-426B-4F99-9EE8-643BF9BB41A2}" name="Column4923"/>
    <tableColumn id="4926" xr3:uid="{B8B81904-1170-4E38-B8CF-11A9C8D07AD6}" name="Column4924"/>
    <tableColumn id="4927" xr3:uid="{3C66C7A0-B5DA-499A-BE42-E4F5F2B832C0}" name="Column4925"/>
    <tableColumn id="4928" xr3:uid="{15F5F6C0-F3DA-49B6-B0FC-283676A283F8}" name="Column4926"/>
    <tableColumn id="4929" xr3:uid="{D0395E25-CC9B-45F2-A119-2FFC6B2DF618}" name="Column4927"/>
    <tableColumn id="4930" xr3:uid="{684C05CD-39B4-40D4-AAB8-B3BF2518218D}" name="Column4928"/>
    <tableColumn id="4931" xr3:uid="{B9B6E242-A51E-490C-B044-A92A4E2EDAAA}" name="Column4929"/>
    <tableColumn id="4932" xr3:uid="{09A0D455-F1A7-48E6-B007-8829B181A77F}" name="Column4930"/>
    <tableColumn id="4933" xr3:uid="{3CBEB889-9A01-4BBF-9882-765D4A55A61D}" name="Column4931"/>
    <tableColumn id="4934" xr3:uid="{C4DEC069-776E-4BE0-AAD5-126827A8AA12}" name="Column4932"/>
    <tableColumn id="4935" xr3:uid="{5998C87D-BCDD-4B67-A611-850917B6A69E}" name="Column4933"/>
    <tableColumn id="4936" xr3:uid="{C0ED796B-A94B-45FC-99C2-A0B262D087AD}" name="Column4934"/>
    <tableColumn id="4937" xr3:uid="{A3FCF04B-7CDB-4B3D-BD87-E348B6E0FBCC}" name="Column4935"/>
    <tableColumn id="4938" xr3:uid="{E9034F04-F46C-4077-BCE7-EBE4C4C322F6}" name="Column4936"/>
    <tableColumn id="4939" xr3:uid="{7B5A0623-F351-4DD9-93EA-075BF3733127}" name="Column4937"/>
    <tableColumn id="4940" xr3:uid="{0BB35A6B-480B-445F-986D-6B628EE81F78}" name="Column4938"/>
    <tableColumn id="4941" xr3:uid="{136835AE-5BE0-4D60-9776-DF73893986B1}" name="Column4939"/>
    <tableColumn id="4942" xr3:uid="{82003B7B-AFA3-42C6-AAA9-0F80E7A72227}" name="Column4940"/>
    <tableColumn id="4943" xr3:uid="{BC6E588C-F1F0-4D83-BFCE-4EB4BF3B721B}" name="Column4941"/>
    <tableColumn id="4944" xr3:uid="{8E47252F-9289-4573-9DC0-D7AD1F271D5F}" name="Column4942"/>
    <tableColumn id="4945" xr3:uid="{2183E022-DA6A-4877-B539-279B2692D1C3}" name="Column4943"/>
    <tableColumn id="4946" xr3:uid="{1E645566-87E0-4920-AD58-D4FCD19AE4F1}" name="Column4944"/>
    <tableColumn id="4947" xr3:uid="{322E8DF3-31EC-4DF2-AD12-AA97FA418C98}" name="Column4945"/>
    <tableColumn id="4948" xr3:uid="{104BA1D5-B8F2-4377-AB60-9EC6DD3A0406}" name="Column4946"/>
    <tableColumn id="4949" xr3:uid="{914B456A-AEBC-4EE9-B3AE-4C3A16A38AEE}" name="Column4947"/>
    <tableColumn id="4950" xr3:uid="{41D25D3D-96B4-4D67-B7F5-755F35BA2C3A}" name="Column4948"/>
    <tableColumn id="4951" xr3:uid="{B7E2E7FA-68C2-40F4-B577-DD5F0E7F3218}" name="Column4949"/>
    <tableColumn id="4952" xr3:uid="{8064E3E4-375A-4B04-8674-7269202DD623}" name="Column4950"/>
    <tableColumn id="4953" xr3:uid="{5FC4E985-5FB1-421E-9686-C992A6C2E788}" name="Column4951"/>
    <tableColumn id="4954" xr3:uid="{9C9F0672-737B-4B4C-8609-19B8D2DAF079}" name="Column4952"/>
    <tableColumn id="4955" xr3:uid="{6B72B697-F64D-4B96-8FF9-8A86F0C64160}" name="Column4953"/>
    <tableColumn id="4956" xr3:uid="{7D0B8C36-8F6C-4296-BC55-22F55AC636F7}" name="Column4954"/>
    <tableColumn id="4957" xr3:uid="{DE2B5F92-0ECB-46B2-91B4-D5DC19AC0481}" name="Column4955"/>
    <tableColumn id="4958" xr3:uid="{B55DDE50-7756-49A2-A7EE-DF8ECB34D39C}" name="Column4956"/>
    <tableColumn id="4959" xr3:uid="{F32F0DF5-4813-4155-955D-7C5E02987201}" name="Column4957"/>
    <tableColumn id="4960" xr3:uid="{259D2382-CED8-4F1B-B4B5-266C1C334BD3}" name="Column4958"/>
    <tableColumn id="4961" xr3:uid="{356A7574-F4E9-4EF2-91AF-257BF01C3681}" name="Column4959"/>
    <tableColumn id="4962" xr3:uid="{0335FE5D-2919-4EF7-BB61-B9DF4FC68588}" name="Column4960"/>
    <tableColumn id="4963" xr3:uid="{938DB43D-316A-4FC2-B003-2603F0B3DF31}" name="Column4961"/>
    <tableColumn id="4964" xr3:uid="{10B20F9B-A292-446B-9D3E-A745920D36CF}" name="Column4962"/>
    <tableColumn id="4965" xr3:uid="{C4EA702F-B936-4C44-9785-5119F7AE6766}" name="Column4963"/>
    <tableColumn id="4966" xr3:uid="{7C2F275D-FC47-4EC3-8927-F5FF9FD7A905}" name="Column4964"/>
    <tableColumn id="4967" xr3:uid="{B3923C43-ADF4-493C-94BE-D733E2905387}" name="Column4965"/>
    <tableColumn id="4968" xr3:uid="{E1F81B49-0160-48D3-AF6E-AE2664A2258C}" name="Column4966"/>
    <tableColumn id="4969" xr3:uid="{F2D2CEC0-3BCF-4E87-8A3D-E4D4A5857DE5}" name="Column4967"/>
    <tableColumn id="4970" xr3:uid="{3CBA17AB-2D37-455F-AC2A-03C8E9CDAEED}" name="Column4968"/>
    <tableColumn id="4971" xr3:uid="{F9AFF2F0-F9F1-43B4-A486-72A9DD9908D2}" name="Column4969"/>
    <tableColumn id="4972" xr3:uid="{9CF4A279-F965-4365-B627-D98D7F999025}" name="Column4970"/>
    <tableColumn id="4973" xr3:uid="{01C1070C-2D8C-40C0-BB71-3A45A29161FF}" name="Column4971"/>
    <tableColumn id="4974" xr3:uid="{A290E78D-1763-4C1E-A74C-026D222EEB49}" name="Column4972"/>
    <tableColumn id="4975" xr3:uid="{A92BB0C0-5875-48EE-89B2-E9BD9747D03B}" name="Column4973"/>
    <tableColumn id="4976" xr3:uid="{114A05C9-C4BB-4FD5-9522-012D4D372B6D}" name="Column4974"/>
    <tableColumn id="4977" xr3:uid="{01CEE080-95BA-4FEE-8171-FA0C15D74068}" name="Column4975"/>
    <tableColumn id="4978" xr3:uid="{166870D2-51D9-4B0F-A75A-51BE6B02F29F}" name="Column4976"/>
    <tableColumn id="4979" xr3:uid="{F8D73DE3-697C-446D-B0BB-D03349370AFE}" name="Column4977"/>
    <tableColumn id="4980" xr3:uid="{4A5906E6-F0F2-425E-A925-5C290FBA0E65}" name="Column4978"/>
    <tableColumn id="4981" xr3:uid="{A6DC4A1D-EADD-44F7-8D1E-BE5FC267F729}" name="Column4979"/>
    <tableColumn id="4982" xr3:uid="{F00AB74C-559D-4272-B3A7-54630B9CB074}" name="Column4980"/>
    <tableColumn id="4983" xr3:uid="{69B8FAE0-8592-494B-A73B-5F9AFD6CD04C}" name="Column4981"/>
    <tableColumn id="4984" xr3:uid="{7DC49BE8-130D-4949-A178-B4035B71347B}" name="Column4982"/>
    <tableColumn id="4985" xr3:uid="{71BF8197-1184-4CC1-8EB9-07A3BBF72F12}" name="Column4983"/>
    <tableColumn id="4986" xr3:uid="{559142AC-E774-4A00-AA6A-99F89ED634E2}" name="Column4984"/>
    <tableColumn id="4987" xr3:uid="{AA59C2C0-1389-4456-AA91-B9B43B7E7B0F}" name="Column4985"/>
    <tableColumn id="4988" xr3:uid="{1EC1C34B-EF27-479C-ABFA-25FEAA014AB1}" name="Column4986"/>
    <tableColumn id="4989" xr3:uid="{0FAD9EE9-3E6A-45AD-ACC5-7B2398BC9F24}" name="Column4987"/>
    <tableColumn id="4990" xr3:uid="{C125FB1E-358D-4F5F-8DB7-0EC97A2DBAC2}" name="Column4988"/>
    <tableColumn id="4991" xr3:uid="{D03B8EFA-B3B7-4940-A2C6-5A52D118F09F}" name="Column4989"/>
    <tableColumn id="4992" xr3:uid="{AA14BF75-EC23-4FB0-B8E2-DD325DD28556}" name="Column4990"/>
    <tableColumn id="4993" xr3:uid="{71BFF323-D632-4807-9BA1-C71A2136A6CA}" name="Column4991"/>
    <tableColumn id="4994" xr3:uid="{4F43229A-7AAB-4F80-A703-B68ECACD914A}" name="Column4992"/>
    <tableColumn id="4995" xr3:uid="{29F5AFB8-89ED-4617-863E-90ABB9BD1E8E}" name="Column4993"/>
    <tableColumn id="4996" xr3:uid="{A388D6F9-DD5C-4FC9-A11F-E06F8F6C66DC}" name="Column4994"/>
    <tableColumn id="4997" xr3:uid="{0D7B0C51-6321-428E-82CD-AD14E700C782}" name="Column4995"/>
    <tableColumn id="4998" xr3:uid="{3E780B7A-9182-473B-8549-2617D664462C}" name="Column4996"/>
    <tableColumn id="4999" xr3:uid="{459570AF-24E9-459B-AAD5-823259EFE460}" name="Column4997"/>
    <tableColumn id="5000" xr3:uid="{CE36CD63-3B15-4D2E-8384-B26B33E6C8DB}" name="Column4998"/>
    <tableColumn id="5001" xr3:uid="{0D38EC51-074A-4E41-A6CD-6024B8DB9DCD}" name="Column4999"/>
    <tableColumn id="5002" xr3:uid="{6C1E167A-F8CF-4C12-A8F6-9C490E1E5C22}" name="Column5000"/>
    <tableColumn id="5003" xr3:uid="{57EC7B04-938B-438D-B2B8-92DA3C53E9A2}" name="Column5001"/>
    <tableColumn id="5004" xr3:uid="{80D03313-EA26-4CE4-912E-840F806C80C5}" name="Column5002"/>
    <tableColumn id="5005" xr3:uid="{E0068226-07EB-4C29-9B0D-B37F4B682793}" name="Column5003"/>
    <tableColumn id="5006" xr3:uid="{725BE927-0E95-4E7A-AB25-862E75F505F4}" name="Column5004"/>
    <tableColumn id="5007" xr3:uid="{EA1EEFDA-D1AC-4899-AF49-7CA8F3B4CB62}" name="Column5005"/>
    <tableColumn id="5008" xr3:uid="{EFA8B0DF-1F0F-4062-BBC2-7AAE213C74EA}" name="Column5006"/>
    <tableColumn id="5009" xr3:uid="{C969F3A4-D754-4173-B4F5-5707970DF717}" name="Column5007"/>
    <tableColumn id="5010" xr3:uid="{1F37FD0D-5572-4517-9A08-DF7904BBBA1B}" name="Column5008"/>
    <tableColumn id="5011" xr3:uid="{E3E4DDA0-E9C9-471E-A3C5-4B89CAD11895}" name="Column5009"/>
    <tableColumn id="5012" xr3:uid="{994AA145-B835-4A16-93F9-0DCFFA34CA15}" name="Column5010"/>
    <tableColumn id="5013" xr3:uid="{558BD5BF-8B00-474D-93FF-C7B73E436FDA}" name="Column5011"/>
    <tableColumn id="5014" xr3:uid="{C29EBDFA-67EB-44B3-BFBF-630EE2B988BA}" name="Column5012"/>
    <tableColumn id="5015" xr3:uid="{EA2F151A-7CCE-438D-ACF7-C93419333BE9}" name="Column5013"/>
    <tableColumn id="5016" xr3:uid="{F065B7F1-F296-4ABC-A975-AE33BFB210E2}" name="Column5014"/>
    <tableColumn id="5017" xr3:uid="{0CE8B53C-C4CF-4D5B-B4DF-7B70BB180BAA}" name="Column5015"/>
    <tableColumn id="5018" xr3:uid="{62BAAD99-F06B-4351-8581-AE07429861EE}" name="Column5016"/>
    <tableColumn id="5019" xr3:uid="{090A8C64-65D2-4F6D-97D2-B38F3E6AD9F4}" name="Column5017"/>
    <tableColumn id="5020" xr3:uid="{09DA4601-7DC6-4AAD-986B-F36395399410}" name="Column5018"/>
    <tableColumn id="5021" xr3:uid="{D6DA87E9-A29F-44EF-88C4-8A8FF10C0EF1}" name="Column5019"/>
    <tableColumn id="5022" xr3:uid="{33601F90-84A6-4EA8-9BBB-9F50C6A93F52}" name="Column5020"/>
    <tableColumn id="5023" xr3:uid="{3FFCBCCF-BAE4-4A47-AB4B-E4573116DCA9}" name="Column5021"/>
    <tableColumn id="5024" xr3:uid="{57DDF270-18DE-4F7A-8FC6-D30239497D13}" name="Column5022"/>
    <tableColumn id="5025" xr3:uid="{612EEC07-89C6-4CDA-ACAD-79FD392AE667}" name="Column5023"/>
    <tableColumn id="5026" xr3:uid="{D2ACAA6D-9E0C-4AD8-A0D4-8849648E4663}" name="Column5024"/>
    <tableColumn id="5027" xr3:uid="{6D50D523-8A7F-4082-A1A1-B6CF10DBC0B5}" name="Column5025"/>
    <tableColumn id="5028" xr3:uid="{9FF1F5CD-1A45-4ECC-B170-0B7B0AA6D638}" name="Column5026"/>
    <tableColumn id="5029" xr3:uid="{0A5262F4-6C0B-49C9-876E-B979A1EF0289}" name="Column5027"/>
    <tableColumn id="5030" xr3:uid="{3553D693-7EBB-4466-BECD-AD057B8A8E15}" name="Column5028"/>
    <tableColumn id="5031" xr3:uid="{507CDBFA-6C24-48BE-9404-22421F4F0254}" name="Column5029"/>
    <tableColumn id="5032" xr3:uid="{865D83BB-2015-48C6-9570-D05364CCD494}" name="Column5030"/>
    <tableColumn id="5033" xr3:uid="{D6242A07-2FB9-4F5A-9A3A-AD34C155AF3A}" name="Column5031"/>
    <tableColumn id="5034" xr3:uid="{A492A65F-5DF8-4D66-AD32-52CCE9794302}" name="Column5032"/>
    <tableColumn id="5035" xr3:uid="{1421F1FB-C14E-42FE-A4C6-97ABB75BEDA8}" name="Column5033"/>
    <tableColumn id="5036" xr3:uid="{5701DD9B-81E9-43AC-9D8E-0EC333669E34}" name="Column5034"/>
    <tableColumn id="5037" xr3:uid="{C08A7671-738E-4E07-9A68-37D8ACEE84BC}" name="Column5035"/>
    <tableColumn id="5038" xr3:uid="{8C9B0A35-CA9C-4349-899E-61379B762A8A}" name="Column5036"/>
    <tableColumn id="5039" xr3:uid="{F791322B-590E-43A6-929F-68F1956E0819}" name="Column5037"/>
    <tableColumn id="5040" xr3:uid="{9AC9BB40-F92A-4ED7-8610-9DCE28107D4B}" name="Column5038"/>
    <tableColumn id="5041" xr3:uid="{4FF8C207-451F-4278-80C1-D9773B391E3D}" name="Column5039"/>
    <tableColumn id="5042" xr3:uid="{E1E654DA-70DA-4B47-BC92-57615CB1F898}" name="Column5040"/>
    <tableColumn id="5043" xr3:uid="{4E6C1D87-C379-4D05-BB40-E823B12F610F}" name="Column5041"/>
    <tableColumn id="5044" xr3:uid="{A2DBDE1D-7158-4015-BB76-9E9450902D6F}" name="Column5042"/>
    <tableColumn id="5045" xr3:uid="{92DC95A8-0C04-4B6F-BD27-F553A32DF4B5}" name="Column5043"/>
    <tableColumn id="5046" xr3:uid="{C5C37A1E-9950-4BF0-AC6F-C713038A7B39}" name="Column5044"/>
    <tableColumn id="5047" xr3:uid="{D76F97D1-631B-4F79-AAA5-A2DDB71FFBBB}" name="Column5045"/>
    <tableColumn id="5048" xr3:uid="{D151A35A-6862-4CF2-9ECA-0264D28EFBBD}" name="Column5046"/>
    <tableColumn id="5049" xr3:uid="{74A0F267-2294-4682-8DB3-283CC796C096}" name="Column5047"/>
    <tableColumn id="5050" xr3:uid="{9D5777AD-CD53-48A4-A401-AC0F8EAA9EB5}" name="Column5048"/>
    <tableColumn id="5051" xr3:uid="{1BE276C5-FD51-4C33-BE63-384B3D9351FF}" name="Column5049"/>
    <tableColumn id="5052" xr3:uid="{553AE15B-7760-40CD-BEC2-8A5A5A898733}" name="Column5050"/>
    <tableColumn id="5053" xr3:uid="{B715F3E2-9C4B-4E44-87AC-055B96C89F43}" name="Column5051"/>
    <tableColumn id="5054" xr3:uid="{0A5A7E50-CD3E-485E-9350-6858308CD024}" name="Column5052"/>
    <tableColumn id="5055" xr3:uid="{15091145-C530-434F-979B-DB4659307F7C}" name="Column5053"/>
    <tableColumn id="5056" xr3:uid="{39D34454-9CC2-474A-B25D-8627008ED1BD}" name="Column5054"/>
    <tableColumn id="5057" xr3:uid="{42E3B9AB-9C4A-4614-9B25-F7E4DAFC7D59}" name="Column5055"/>
    <tableColumn id="5058" xr3:uid="{7D014BBE-53D9-47C4-815A-B175932BB372}" name="Column5056"/>
    <tableColumn id="5059" xr3:uid="{C2C0CB30-D694-4690-BB83-7B70689BBD4B}" name="Column5057"/>
    <tableColumn id="5060" xr3:uid="{B403D8F7-56E8-4F0C-8229-953598F85182}" name="Column5058"/>
    <tableColumn id="5061" xr3:uid="{A1BCA6CF-D702-4C75-97AF-9C3348CB90D7}" name="Column5059"/>
    <tableColumn id="5062" xr3:uid="{78FB7BF0-FC33-4D16-9DAD-62D4A312020A}" name="Column5060"/>
    <tableColumn id="5063" xr3:uid="{DE2B5983-DEF2-4D93-86B2-DBA915E1DE59}" name="Column5061"/>
    <tableColumn id="5064" xr3:uid="{859071C7-7FEF-4079-B0DA-5E72D42382A0}" name="Column5062"/>
    <tableColumn id="5065" xr3:uid="{43C97954-0830-4E89-A081-2A7A778A7BED}" name="Column5063"/>
    <tableColumn id="5066" xr3:uid="{4B6DDDCE-D240-48E7-818F-11E80C0587A9}" name="Column5064"/>
    <tableColumn id="5067" xr3:uid="{C68D593A-62FB-4E2E-A76C-06218800331A}" name="Column5065"/>
    <tableColumn id="5068" xr3:uid="{0C0B22B4-A86F-4BA2-A89B-525185212541}" name="Column5066"/>
    <tableColumn id="5069" xr3:uid="{A9F72353-1C56-438F-8485-850EF1C457AB}" name="Column5067"/>
    <tableColumn id="5070" xr3:uid="{E335603A-7D6E-435C-9BE4-107354F9F6A8}" name="Column5068"/>
    <tableColumn id="5071" xr3:uid="{9272FCC7-3E28-48B8-87E8-7FA61373DEAF}" name="Column5069"/>
    <tableColumn id="5072" xr3:uid="{5CB80D6A-3FCD-4610-AF21-A2C52E62DAAC}" name="Column5070"/>
    <tableColumn id="5073" xr3:uid="{7FDFB52D-92B2-4ED6-AE9C-214111E17555}" name="Column5071"/>
    <tableColumn id="5074" xr3:uid="{FBE027C2-CB71-4732-9E6C-3C4764841024}" name="Column5072"/>
    <tableColumn id="5075" xr3:uid="{FFD59875-C069-4183-BF80-663ABB5B9A08}" name="Column5073"/>
    <tableColumn id="5076" xr3:uid="{A29F1C96-9829-4593-B061-BF7E0092EE91}" name="Column5074"/>
    <tableColumn id="5077" xr3:uid="{D90FF0D2-5D5D-4DD9-AA13-CE7DBCDDF8AF}" name="Column5075"/>
    <tableColumn id="5078" xr3:uid="{FEB162DE-7D11-4B8B-BBB0-731BD7066FE9}" name="Column5076"/>
    <tableColumn id="5079" xr3:uid="{FE93E1DE-5E9E-4351-B37E-1AF05584E535}" name="Column5077"/>
    <tableColumn id="5080" xr3:uid="{1A7E4F2E-211B-48D7-8470-1CE92094DCC3}" name="Column5078"/>
    <tableColumn id="5081" xr3:uid="{7A89D86B-C487-453C-9926-81B3EF07A664}" name="Column5079"/>
    <tableColumn id="5082" xr3:uid="{1E1E0890-2E74-4479-8E61-C594E7347B09}" name="Column5080"/>
    <tableColumn id="5083" xr3:uid="{15455C3B-D85E-4768-A19B-05C46C25868A}" name="Column5081"/>
    <tableColumn id="5084" xr3:uid="{40C5A253-2A1D-4775-93E7-ABE912EB9261}" name="Column5082"/>
    <tableColumn id="5085" xr3:uid="{DA2B2976-6ED3-47CB-90B7-E26BD4B771F5}" name="Column5083"/>
    <tableColumn id="5086" xr3:uid="{A3EA6125-9FEB-49A5-80DF-D235921D8B54}" name="Column5084"/>
    <tableColumn id="5087" xr3:uid="{050E6E3F-0E29-4C81-8980-64B96CAE0AAA}" name="Column5085"/>
    <tableColumn id="5088" xr3:uid="{32F401FC-7153-465B-971F-BBCB9FE79675}" name="Column5086"/>
    <tableColumn id="5089" xr3:uid="{2ED89E00-2F61-4401-ACE4-54F7F65C6BC0}" name="Column5087"/>
    <tableColumn id="5090" xr3:uid="{6A17DFB3-D214-44CB-8D07-3617181655D8}" name="Column5088"/>
    <tableColumn id="5091" xr3:uid="{344F83A1-FC04-4F98-BDD8-93C0ADED052B}" name="Column5089"/>
    <tableColumn id="5092" xr3:uid="{FE5446BA-4B0D-43D4-89E9-4CF62CA469E1}" name="Column5090"/>
    <tableColumn id="5093" xr3:uid="{148CB837-FEC7-42FB-B649-9A86997201D1}" name="Column5091"/>
    <tableColumn id="5094" xr3:uid="{B0561DFC-2C33-4CE9-964D-2E624B8D4100}" name="Column5092"/>
    <tableColumn id="5095" xr3:uid="{6D1279A7-D48D-40D1-891D-087562B4E248}" name="Column5093"/>
    <tableColumn id="5096" xr3:uid="{B1D8A2B6-419F-464F-90F9-8D1896F3D395}" name="Column5094"/>
    <tableColumn id="5097" xr3:uid="{F609A3DE-8F8E-4B83-B576-1FC2B51496AF}" name="Column5095"/>
    <tableColumn id="5098" xr3:uid="{89C3B79C-AB93-4457-8535-8FE305FC8647}" name="Column5096"/>
    <tableColumn id="5099" xr3:uid="{3C5195F4-5CED-436D-90CA-E01FCFCD1F01}" name="Column5097"/>
    <tableColumn id="5100" xr3:uid="{31978AAA-2EB7-486F-A4FF-B05C05E025E2}" name="Column5098"/>
    <tableColumn id="5101" xr3:uid="{CF66C0B0-07A5-4F66-988D-4C5E1029A81E}" name="Column5099"/>
    <tableColumn id="5102" xr3:uid="{F7698A08-D323-47FE-9DA1-58A20F78500E}" name="Column5100"/>
    <tableColumn id="5103" xr3:uid="{E9F39021-B9CA-4AAB-8100-35E9703D7B34}" name="Column5101"/>
    <tableColumn id="5104" xr3:uid="{F6BA9BE3-A946-4D76-9920-51FD0AFE3C35}" name="Column5102"/>
    <tableColumn id="5105" xr3:uid="{04575FA3-6B40-489B-909A-BEFFED597FB5}" name="Column5103"/>
    <tableColumn id="5106" xr3:uid="{4A5FBFA6-49A6-4FF1-A400-2FD655536604}" name="Column5104"/>
    <tableColumn id="5107" xr3:uid="{FA5487B5-DDB7-4CF2-AE3F-C93C37ED5F26}" name="Column5105"/>
    <tableColumn id="5108" xr3:uid="{E1E2F292-8163-4387-B290-055C97AA7979}" name="Column5106"/>
    <tableColumn id="5109" xr3:uid="{CCC1C91D-1916-4536-B11F-F16D1ED3C484}" name="Column5107"/>
    <tableColumn id="5110" xr3:uid="{F904381C-2519-4E82-B92B-5C5F42D0ADEC}" name="Column5108"/>
    <tableColumn id="5111" xr3:uid="{F627C179-458A-40AD-BA58-F7C07362FDD2}" name="Column5109"/>
    <tableColumn id="5112" xr3:uid="{3CAECAFA-8563-456D-AAB1-E4F0377F7477}" name="Column5110"/>
    <tableColumn id="5113" xr3:uid="{B45B2FD1-A101-43FC-89BC-127793BF7A5F}" name="Column5111"/>
    <tableColumn id="5114" xr3:uid="{E686B14C-3FAD-46AA-AA1F-FBB1199D20AC}" name="Column5112"/>
    <tableColumn id="5115" xr3:uid="{E740E616-336C-4CB9-9938-6669741511AA}" name="Column5113"/>
    <tableColumn id="5116" xr3:uid="{B1667521-7A0C-46FD-A9EE-E0A6FB4843DD}" name="Column5114"/>
    <tableColumn id="5117" xr3:uid="{ADB708D8-6D06-4AEA-9E60-3623D31DADA4}" name="Column5115"/>
    <tableColumn id="5118" xr3:uid="{D83BC1EC-02C4-4819-A21D-BE37E6076AEF}" name="Column5116"/>
    <tableColumn id="5119" xr3:uid="{35625A2D-FB06-4CD5-A304-3A5D8EF4EABF}" name="Column5117"/>
    <tableColumn id="5120" xr3:uid="{23EE978C-6B2E-4F37-AED3-6D4740B6A120}" name="Column5118"/>
    <tableColumn id="5121" xr3:uid="{A07886F3-7589-47FD-93E4-38B77805459C}" name="Column5119"/>
    <tableColumn id="5122" xr3:uid="{BAD03BF4-0C14-440C-8685-EF13BBC3E6A2}" name="Column5120"/>
    <tableColumn id="5123" xr3:uid="{05A53EF0-911D-43F8-BE97-A179591FDB63}" name="Column5121"/>
    <tableColumn id="5124" xr3:uid="{CBF510BE-6E87-4C36-B774-31A52E002600}" name="Column5122"/>
    <tableColumn id="5125" xr3:uid="{EAD910E6-7DC5-452E-B84E-49F440D2E069}" name="Column5123"/>
    <tableColumn id="5126" xr3:uid="{23497339-BAE4-4C99-A0C0-3FCFBD7CBCDE}" name="Column5124"/>
    <tableColumn id="5127" xr3:uid="{2E45D903-4477-41F9-8A43-8482FE44C551}" name="Column5125"/>
    <tableColumn id="5128" xr3:uid="{60C022FC-49BE-4EC1-8C24-4FAE35B7C9FD}" name="Column5126"/>
    <tableColumn id="5129" xr3:uid="{5E9EBC23-8B8B-4643-9E96-29D50321739D}" name="Column5127"/>
    <tableColumn id="5130" xr3:uid="{05D6F517-14B1-4279-B12E-E8665B5212C9}" name="Column5128"/>
    <tableColumn id="5131" xr3:uid="{A5E5A3A8-D165-4BF0-B5F0-97D17060329A}" name="Column5129"/>
    <tableColumn id="5132" xr3:uid="{E4B8AA6C-B5AF-44DA-A1E6-4FEB6BBB18AD}" name="Column5130"/>
    <tableColumn id="5133" xr3:uid="{AF47739E-3C36-4188-A658-6EEC3EC760A3}" name="Column5131"/>
    <tableColumn id="5134" xr3:uid="{5B25EFD0-4EC5-4633-B1FC-D082D0FCFF7D}" name="Column5132"/>
    <tableColumn id="5135" xr3:uid="{458AAB1D-F75F-44D3-B3DC-396CD0F98D3E}" name="Column5133"/>
    <tableColumn id="5136" xr3:uid="{FC317F0A-D6B4-4FB6-8B48-D7878C19D502}" name="Column5134"/>
    <tableColumn id="5137" xr3:uid="{A39000C7-C02A-41F7-A78D-897BCF25D03C}" name="Column5135"/>
    <tableColumn id="5138" xr3:uid="{9BF736DA-8A83-4347-8649-DE6A6F058B26}" name="Column5136"/>
    <tableColumn id="5139" xr3:uid="{6BFB44E0-BFE8-4C5E-81AF-BAFADB4FB9B2}" name="Column5137"/>
    <tableColumn id="5140" xr3:uid="{D05BC13D-E704-47BF-8E62-B4027DCC8FD5}" name="Column5138"/>
    <tableColumn id="5141" xr3:uid="{851252DD-1715-418C-AD24-339D5512D886}" name="Column5139"/>
    <tableColumn id="5142" xr3:uid="{102EEAAA-5509-44C3-9CEF-6F4F7C6A1EEF}" name="Column5140"/>
    <tableColumn id="5143" xr3:uid="{F65704C5-BC57-44E6-9154-90CB2F4E2E6A}" name="Column5141"/>
    <tableColumn id="5144" xr3:uid="{893DE9C2-735B-4935-9140-2CD8F0B3B9D8}" name="Column5142"/>
    <tableColumn id="5145" xr3:uid="{72F91F24-2AF8-405F-8BB8-619180A3375B}" name="Column5143"/>
    <tableColumn id="5146" xr3:uid="{E8716E91-8C00-4FAC-B0DD-F101463E50F1}" name="Column5144"/>
    <tableColumn id="5147" xr3:uid="{0137F194-AD1A-48B1-99BB-D66E2225988F}" name="Column5145"/>
    <tableColumn id="5148" xr3:uid="{A5CF8638-4251-4812-B640-AD0CFD120612}" name="Column5146"/>
    <tableColumn id="5149" xr3:uid="{8D3889E4-BF8B-4748-9591-7B6A668A630A}" name="Column5147"/>
    <tableColumn id="5150" xr3:uid="{167D08F7-D1B0-4BBA-9199-43B455B00D4F}" name="Column5148"/>
    <tableColumn id="5151" xr3:uid="{B97D33C4-B42A-43B7-B3B8-7819E828CAE3}" name="Column5149"/>
    <tableColumn id="5152" xr3:uid="{4B7C9485-0296-4D0E-95EF-C493FA6C26A8}" name="Column5150"/>
    <tableColumn id="5153" xr3:uid="{C4F4AB34-0E98-4D0A-88D2-EAB76288C0EB}" name="Column5151"/>
    <tableColumn id="5154" xr3:uid="{D0702518-94C0-401D-9D52-E7585BB08BC1}" name="Column5152"/>
    <tableColumn id="5155" xr3:uid="{BC0AD0B4-FCEC-46B0-BED8-A537248DBC56}" name="Column5153"/>
    <tableColumn id="5156" xr3:uid="{999FA357-5AF6-4D2E-92A8-2ED6A0845E5B}" name="Column5154"/>
    <tableColumn id="5157" xr3:uid="{87B14099-2BB3-4247-ADCF-B42F678E12CD}" name="Column5155"/>
    <tableColumn id="5158" xr3:uid="{E1CE4E28-8D40-4D0D-8864-01B823D8EF64}" name="Column5156"/>
    <tableColumn id="5159" xr3:uid="{BC209BE8-3FE7-4672-A516-6F309E7540AC}" name="Column5157"/>
    <tableColumn id="5160" xr3:uid="{11FF3B50-6F83-4E43-8654-45B23BF17795}" name="Column5158"/>
    <tableColumn id="5161" xr3:uid="{BEFE1432-4371-4019-BD79-398122CFA680}" name="Column5159"/>
    <tableColumn id="5162" xr3:uid="{FF102005-9EA9-4190-89B0-6CCAFCC52013}" name="Column5160"/>
    <tableColumn id="5163" xr3:uid="{AE152D2A-2F65-4E86-83F3-58DEECDF9A89}" name="Column5161"/>
    <tableColumn id="5164" xr3:uid="{85C5BCBC-156F-4BB2-BE27-19A51EFD373A}" name="Column5162"/>
    <tableColumn id="5165" xr3:uid="{4E1C2068-67D3-40A2-A2FD-3A2A314DF602}" name="Column5163"/>
    <tableColumn id="5166" xr3:uid="{42EB81A8-B70B-4C0D-B011-1C2FA3B788DC}" name="Column5164"/>
    <tableColumn id="5167" xr3:uid="{C27DBECB-2242-470D-BA6D-34ED063B8ADA}" name="Column5165"/>
    <tableColumn id="5168" xr3:uid="{883115D4-2A0C-4A92-8183-CAA24A565FF7}" name="Column5166"/>
    <tableColumn id="5169" xr3:uid="{B6AECD2E-E5C8-4B8F-8C50-ABAE074C3C0D}" name="Column5167"/>
    <tableColumn id="5170" xr3:uid="{55D45E43-B527-43BC-B82A-0B2D7D9B4201}" name="Column5168"/>
    <tableColumn id="5171" xr3:uid="{54BC1FA5-1048-4BF9-9376-EBA12C90E4A3}" name="Column5169"/>
    <tableColumn id="5172" xr3:uid="{6C43C4BC-0FF5-4400-8D9D-F26674D784BD}" name="Column5170"/>
    <tableColumn id="5173" xr3:uid="{06BDF811-8A23-434E-867F-2F56C9F76EFF}" name="Column5171"/>
    <tableColumn id="5174" xr3:uid="{8184B581-6493-4473-A664-AECB9D41287F}" name="Column5172"/>
    <tableColumn id="5175" xr3:uid="{FEE4CA81-7D44-440C-8405-F69EB961259D}" name="Column5173"/>
    <tableColumn id="5176" xr3:uid="{94521062-9532-466C-812B-01DE2526644D}" name="Column5174"/>
    <tableColumn id="5177" xr3:uid="{2F75B969-ED1A-45ED-BD29-9CB754608373}" name="Column5175"/>
    <tableColumn id="5178" xr3:uid="{5450FD53-C0E0-48A0-854B-963A3CC09FC4}" name="Column5176"/>
    <tableColumn id="5179" xr3:uid="{79C09545-0B90-4B1F-8CF2-EC9D3C13139D}" name="Column5177"/>
    <tableColumn id="5180" xr3:uid="{F981404C-CAEA-4E1D-AE79-4995DFE8737B}" name="Column5178"/>
    <tableColumn id="5181" xr3:uid="{FB9E0EE7-D6D0-4A5E-9A67-0926EDC76030}" name="Column5179"/>
    <tableColumn id="5182" xr3:uid="{6B93041C-757F-49B2-894A-F5703201863C}" name="Column5180"/>
    <tableColumn id="5183" xr3:uid="{35062B11-DE6A-459E-AC10-A277BDF6D70F}" name="Column5181"/>
    <tableColumn id="5184" xr3:uid="{08657215-866D-44E5-999F-EB4A78D464A5}" name="Column5182"/>
    <tableColumn id="5185" xr3:uid="{CFC3D65A-698B-409E-B61A-A941FE66417B}" name="Column5183"/>
    <tableColumn id="5186" xr3:uid="{F4A92B89-BB97-450A-9873-F534711F2C65}" name="Column5184"/>
    <tableColumn id="5187" xr3:uid="{651631DA-8E1C-4F99-8515-094D9D747E49}" name="Column5185"/>
    <tableColumn id="5188" xr3:uid="{AD56A9EE-B69E-4C28-A917-C7AAED17A3D3}" name="Column5186"/>
    <tableColumn id="5189" xr3:uid="{E9208BFD-EF74-4389-B17B-2B5546F571FD}" name="Column5187"/>
    <tableColumn id="5190" xr3:uid="{1D3CB1A5-54AB-434F-A47F-0338CB8FD6CA}" name="Column5188"/>
    <tableColumn id="5191" xr3:uid="{2FDD3626-CD37-4585-B6A8-9A30C453A1F0}" name="Column5189"/>
    <tableColumn id="5192" xr3:uid="{411C1B22-71B6-4B46-BC56-3178D9A5BB6A}" name="Column5190"/>
    <tableColumn id="5193" xr3:uid="{79AC2E3C-F975-462F-A0E9-4057E4664FA1}" name="Column5191"/>
    <tableColumn id="5194" xr3:uid="{BA4AF503-A87D-465D-A680-5F4C5E1BEB9C}" name="Column5192"/>
    <tableColumn id="5195" xr3:uid="{6B58FAFE-69E8-4235-B050-1F8B2621ADCB}" name="Column5193"/>
    <tableColumn id="5196" xr3:uid="{68677602-F400-4289-85BF-F40842D3151F}" name="Column5194"/>
    <tableColumn id="5197" xr3:uid="{8C5A1962-4036-4BE7-8237-8BD3CFA85C67}" name="Column5195"/>
    <tableColumn id="5198" xr3:uid="{A84F0BFA-C643-4B1A-A170-9410A2D54B43}" name="Column5196"/>
    <tableColumn id="5199" xr3:uid="{6152BA20-38D3-4CFA-B653-DAB0AC1BEA4F}" name="Column5197"/>
    <tableColumn id="5200" xr3:uid="{D3820016-6B23-48E5-B5FF-FB0B175C6E1A}" name="Column5198"/>
    <tableColumn id="5201" xr3:uid="{9B514655-7640-4771-9E95-2BCBA7DD0732}" name="Column5199"/>
    <tableColumn id="5202" xr3:uid="{0F63895A-CB9D-44B5-AE27-D8F75ADD854D}" name="Column5200"/>
    <tableColumn id="5203" xr3:uid="{885CD1CE-92BD-4E32-A311-E46948033936}" name="Column5201"/>
    <tableColumn id="5204" xr3:uid="{4AF5D4F6-87A0-4552-BFA5-FB7DB3FC5BEB}" name="Column5202"/>
    <tableColumn id="5205" xr3:uid="{EA77E5ED-B0FC-4669-97D4-4AA9D2CF747F}" name="Column5203"/>
    <tableColumn id="5206" xr3:uid="{58ED12EE-45EE-4FE9-B193-45B6B3F037DE}" name="Column5204"/>
    <tableColumn id="5207" xr3:uid="{697955FE-882B-4F6A-ADAE-752967EF8FB8}" name="Column5205"/>
    <tableColumn id="5208" xr3:uid="{8667876D-79AF-44DB-9880-BC256E834938}" name="Column5206"/>
    <tableColumn id="5209" xr3:uid="{57C1A541-5AE6-4EC7-9221-DB277307CC67}" name="Column5207"/>
    <tableColumn id="5210" xr3:uid="{ADA26179-6F60-4EC7-BDD4-9751BDC13315}" name="Column5208"/>
    <tableColumn id="5211" xr3:uid="{005FCA69-2F4D-40CE-A62F-C2748A472C3E}" name="Column5209"/>
    <tableColumn id="5212" xr3:uid="{84729596-C205-4768-9888-1127654714F9}" name="Column5210"/>
    <tableColumn id="5213" xr3:uid="{E1784C0D-F7CD-4608-B755-54E2174209C4}" name="Column5211"/>
    <tableColumn id="5214" xr3:uid="{C2E680F3-6751-407D-B840-C44EC99CD3AF}" name="Column5212"/>
    <tableColumn id="5215" xr3:uid="{F497EB16-DA68-4723-BE2C-5F606DE77504}" name="Column5213"/>
    <tableColumn id="5216" xr3:uid="{2B9D1163-A0DE-49E4-B3D2-011EDED12704}" name="Column5214"/>
    <tableColumn id="5217" xr3:uid="{E94BE0B7-9EBA-488D-8BE0-F7C29E5A5D7C}" name="Column5215"/>
    <tableColumn id="5218" xr3:uid="{BBA170E5-70C6-45C0-84E3-830FB67F9938}" name="Column5216"/>
    <tableColumn id="5219" xr3:uid="{7B42F64D-DCA5-4469-BC05-D40C1490F695}" name="Column5217"/>
    <tableColumn id="5220" xr3:uid="{1B936A8A-5D1A-4144-921D-604196078720}" name="Column5218"/>
    <tableColumn id="5221" xr3:uid="{C0A3E4AE-9E13-41EB-AAD0-6ECCC84AED42}" name="Column5219"/>
    <tableColumn id="5222" xr3:uid="{6FF452A5-0E41-49A0-87AC-CFF99F220860}" name="Column5220"/>
    <tableColumn id="5223" xr3:uid="{C94F6E12-3673-4B21-9112-C6C356665D86}" name="Column5221"/>
    <tableColumn id="5224" xr3:uid="{638DDB3F-06DB-46C5-8084-F66CCB9468DF}" name="Column5222"/>
    <tableColumn id="5225" xr3:uid="{307E4AB5-092A-460B-8E9B-62B06364EA10}" name="Column5223"/>
    <tableColumn id="5226" xr3:uid="{B36B2B90-51D1-4CAD-8EAE-03BD98FBB671}" name="Column5224"/>
    <tableColumn id="5227" xr3:uid="{8991165E-A313-4A0C-AAEC-FF7CA99C6F1C}" name="Column5225"/>
    <tableColumn id="5228" xr3:uid="{560C95C1-203B-48EB-8A52-33AA4F5CB300}" name="Column5226"/>
    <tableColumn id="5229" xr3:uid="{6CE09C49-2051-4871-BB4C-F836F42704CD}" name="Column5227"/>
    <tableColumn id="5230" xr3:uid="{F8FC6913-E829-40A1-B979-00FD046266F9}" name="Column5228"/>
    <tableColumn id="5231" xr3:uid="{E702F8F9-7AE8-4851-A4C9-49F0DC1FF460}" name="Column5229"/>
    <tableColumn id="5232" xr3:uid="{A51243A4-E8E5-41D4-A744-002E4A40A3D9}" name="Column5230"/>
    <tableColumn id="5233" xr3:uid="{2D692379-611A-4615-9206-BFE7B71502A8}" name="Column5231"/>
    <tableColumn id="5234" xr3:uid="{1944F27D-1DEA-415F-9833-EC4363791B92}" name="Column5232"/>
    <tableColumn id="5235" xr3:uid="{74C98F50-C932-480F-8831-C9B36E8FBF6D}" name="Column5233"/>
    <tableColumn id="5236" xr3:uid="{8424D232-D296-4F5A-A9A9-EBDCA715EBDB}" name="Column5234"/>
    <tableColumn id="5237" xr3:uid="{21749D78-18DD-4C2C-87F0-6A0B3330914D}" name="Column5235"/>
    <tableColumn id="5238" xr3:uid="{561A61AA-A95A-4346-A6A8-447F08B31A31}" name="Column5236"/>
    <tableColumn id="5239" xr3:uid="{F1B12278-9894-4E16-9921-F69259B0207B}" name="Column5237"/>
    <tableColumn id="5240" xr3:uid="{272E565C-D3F7-4BCC-8B16-6C9FB58052EE}" name="Column5238"/>
    <tableColumn id="5241" xr3:uid="{8D1E7661-14F3-4D93-A293-30BB619DA0B3}" name="Column5239"/>
    <tableColumn id="5242" xr3:uid="{2ECAA14B-010E-4697-AD62-5F23FD1945FB}" name="Column5240"/>
    <tableColumn id="5243" xr3:uid="{E1A6807E-CB5B-4340-B90A-EA1EE9D09153}" name="Column5241"/>
    <tableColumn id="5244" xr3:uid="{AA6195F9-5487-43A5-A4B1-A64C36193BD4}" name="Column5242"/>
    <tableColumn id="5245" xr3:uid="{760CA1A2-AD7C-419E-BF46-C26134E54ED5}" name="Column5243"/>
    <tableColumn id="5246" xr3:uid="{CC01EBFA-87C6-4603-98AC-B7F4CC67583E}" name="Column5244"/>
    <tableColumn id="5247" xr3:uid="{592C03B0-D3BD-40B4-A19A-C02C5C92C94B}" name="Column5245"/>
    <tableColumn id="5248" xr3:uid="{A7B0962C-CB73-4DB1-AE77-28E1B5963F36}" name="Column5246"/>
    <tableColumn id="5249" xr3:uid="{23F7F807-0C5C-40E3-B1DA-E891434CD126}" name="Column5247"/>
    <tableColumn id="5250" xr3:uid="{1BD60A8C-0780-4AA2-8EA0-CDBF3C11DBEC}" name="Column5248"/>
    <tableColumn id="5251" xr3:uid="{EE35C469-69FA-422E-97D8-8EA0DF4AD835}" name="Column5249"/>
    <tableColumn id="5252" xr3:uid="{4052F4E4-8C2B-4400-BAB4-DCD1FAA025D8}" name="Column5250"/>
    <tableColumn id="5253" xr3:uid="{C5540BA8-EAB6-4B24-96BA-68A40DFE9596}" name="Column5251"/>
    <tableColumn id="5254" xr3:uid="{E3D66B31-C6FD-4834-B324-FB4A07DA176E}" name="Column5252"/>
    <tableColumn id="5255" xr3:uid="{952756E2-4F46-401C-B2D2-35AD42B97BE5}" name="Column5253"/>
    <tableColumn id="5256" xr3:uid="{FFBB01A6-EEE6-4953-9C33-6E71AEE04C44}" name="Column5254"/>
    <tableColumn id="5257" xr3:uid="{56AD2568-30D3-455B-B87F-A715EF16B4D9}" name="Column5255"/>
    <tableColumn id="5258" xr3:uid="{0C5CB839-7533-4B14-B391-5BAEDF546979}" name="Column5256"/>
    <tableColumn id="5259" xr3:uid="{AB557A9F-294E-4E3B-9AAD-B6500C6DE00A}" name="Column5257"/>
    <tableColumn id="5260" xr3:uid="{626BF5B6-1851-4D8A-AC56-4B2E35645806}" name="Column5258"/>
    <tableColumn id="5261" xr3:uid="{881D4C49-B3B7-46FB-88EF-BEAC187AF45A}" name="Column5259"/>
    <tableColumn id="5262" xr3:uid="{25C40EBF-4FB3-4B12-B41D-FA39A777EE4A}" name="Column5260"/>
    <tableColumn id="5263" xr3:uid="{12251EEF-4C23-4E8C-BBB0-C2124C7730D9}" name="Column5261"/>
    <tableColumn id="5264" xr3:uid="{3DFCA6F0-398C-478C-B3AB-F5E74349CAFF}" name="Column5262"/>
    <tableColumn id="5265" xr3:uid="{ACF49C03-A0E1-4211-9162-A088B38CAA53}" name="Column5263"/>
    <tableColumn id="5266" xr3:uid="{3B3548DB-11C8-4BF0-A1BD-2EE4CA4F8A5C}" name="Column5264"/>
    <tableColumn id="5267" xr3:uid="{F56D658D-9039-4C42-BDF0-71B97C181F46}" name="Column5265"/>
    <tableColumn id="5268" xr3:uid="{E5AF66EC-53B9-435A-9486-3DC8428A9BD2}" name="Column5266"/>
    <tableColumn id="5269" xr3:uid="{4C8377BB-BF36-4404-A5B9-272D74214E56}" name="Column5267"/>
    <tableColumn id="5270" xr3:uid="{F8AFFA26-ED3D-45A2-8B3B-BE4DD3D7815B}" name="Column5268"/>
    <tableColumn id="5271" xr3:uid="{E57FF85B-8812-42E9-B8EA-AFED39F5AB60}" name="Column5269"/>
    <tableColumn id="5272" xr3:uid="{AB75B82D-F19A-41ED-AC74-0FECBC173712}" name="Column5270"/>
    <tableColumn id="5273" xr3:uid="{CB71ECAB-FA33-4B96-8526-C86D3F5BF42F}" name="Column5271"/>
    <tableColumn id="5274" xr3:uid="{9A3145A9-89D2-4870-897D-5A1B78266843}" name="Column5272"/>
    <tableColumn id="5275" xr3:uid="{927BA5E9-CE88-43CC-81EA-612248813130}" name="Column5273"/>
    <tableColumn id="5276" xr3:uid="{EB843C68-6D07-4473-A68A-13E4362CF7C7}" name="Column5274"/>
    <tableColumn id="5277" xr3:uid="{A19FF8B7-7200-4089-BC7A-E15AB10705A7}" name="Column5275"/>
    <tableColumn id="5278" xr3:uid="{C3790F38-FA14-4DA4-AF9A-789321BB6302}" name="Column5276"/>
    <tableColumn id="5279" xr3:uid="{68923817-CD83-4F11-AEF5-B1D4F1390EBB}" name="Column5277"/>
    <tableColumn id="5280" xr3:uid="{E70F13BC-63BB-41EF-8EA9-6D5E7B5EC60C}" name="Column5278"/>
    <tableColumn id="5281" xr3:uid="{DCF78A2B-6FC7-4903-8405-24D5E4298DE2}" name="Column5279"/>
    <tableColumn id="5282" xr3:uid="{A575EEB9-12C9-429C-BF80-A9F6F3E1FAF9}" name="Column5280"/>
    <tableColumn id="5283" xr3:uid="{82D0FCCD-0652-4E9A-8370-982F1402B10C}" name="Column5281"/>
    <tableColumn id="5284" xr3:uid="{B29FB5AC-4215-4F06-935A-5835DF1044CB}" name="Column5282"/>
    <tableColumn id="5285" xr3:uid="{ED0D8DF3-584C-49EC-885F-023BA1411E93}" name="Column5283"/>
    <tableColumn id="5286" xr3:uid="{17BE4829-66A9-492D-8157-BF431C35BA03}" name="Column5284"/>
    <tableColumn id="5287" xr3:uid="{13814609-B8C0-40F2-B83B-216A37652FEB}" name="Column5285"/>
    <tableColumn id="5288" xr3:uid="{B24231E0-AF9C-41E6-A12C-5D01277CC89E}" name="Column5286"/>
    <tableColumn id="5289" xr3:uid="{31CB6CDF-7F33-4123-B060-1DA321F92CD4}" name="Column5287"/>
    <tableColumn id="5290" xr3:uid="{004468E0-F148-4F86-964C-7553DF4858E4}" name="Column5288"/>
    <tableColumn id="5291" xr3:uid="{F9F0C341-65DC-4ECE-B834-724BE47528CF}" name="Column5289"/>
    <tableColumn id="5292" xr3:uid="{AA562FC2-C376-4647-A973-5C5D604323D3}" name="Column5290"/>
    <tableColumn id="5293" xr3:uid="{E52C9AE0-E3BF-476A-BD46-E93388922709}" name="Column5291"/>
    <tableColumn id="5294" xr3:uid="{2C579015-0693-486F-947C-3ADFA54443C2}" name="Column5292"/>
    <tableColumn id="5295" xr3:uid="{9355AA76-AFD2-4ACA-B45E-8DBFABDE8C16}" name="Column5293"/>
    <tableColumn id="5296" xr3:uid="{95DD5FF0-07F0-439F-A96D-89D450DEE902}" name="Column5294"/>
    <tableColumn id="5297" xr3:uid="{2A94804E-EF49-4A41-B447-1091D0511D48}" name="Column5295"/>
    <tableColumn id="5298" xr3:uid="{2E6E8D68-B9F6-46D3-93DB-35BE460045A3}" name="Column5296"/>
    <tableColumn id="5299" xr3:uid="{A66BB376-2C31-4008-A5BD-12DD8809916E}" name="Column5297"/>
    <tableColumn id="5300" xr3:uid="{BB63A0AA-067B-4D3E-9FE9-27DA95D7256D}" name="Column5298"/>
    <tableColumn id="5301" xr3:uid="{E7C033DB-C6F1-49F6-8FDE-D71FBC89AC49}" name="Column5299"/>
    <tableColumn id="5302" xr3:uid="{411BF866-DC67-4D51-9274-3FC6BF18E4B4}" name="Column5300"/>
    <tableColumn id="5303" xr3:uid="{096DB500-E5F5-4EF7-BB7A-2043792F29B6}" name="Column5301"/>
    <tableColumn id="5304" xr3:uid="{565690B8-350A-4C4D-B015-703998B4ED74}" name="Column5302"/>
    <tableColumn id="5305" xr3:uid="{DA8369BF-2464-4B7C-8F34-4B23A1EAE3A0}" name="Column5303"/>
    <tableColumn id="5306" xr3:uid="{CAFBD8CF-9E1F-48DD-935C-B9CE9B356CA9}" name="Column5304"/>
    <tableColumn id="5307" xr3:uid="{EA203ABF-74DA-43E5-BB6F-717579A7AB9E}" name="Column5305"/>
    <tableColumn id="5308" xr3:uid="{616EA9C7-A01B-4E48-8BE1-6C43FCD0E764}" name="Column5306"/>
    <tableColumn id="5309" xr3:uid="{D27E6B59-A5C2-4DA7-B4F2-DEEBDD27D7DC}" name="Column5307"/>
    <tableColumn id="5310" xr3:uid="{DDCAE27C-1568-4273-B211-13ED181D90C2}" name="Column5308"/>
    <tableColumn id="5311" xr3:uid="{72E71F6C-05F6-44FE-A7E0-EEC4BCBE981B}" name="Column5309"/>
    <tableColumn id="5312" xr3:uid="{A424667E-3B38-4A18-A791-2FBFC714ABFD}" name="Column5310"/>
    <tableColumn id="5313" xr3:uid="{918F4F89-2019-4A86-9C5F-D2C53A7DEEB5}" name="Column5311"/>
    <tableColumn id="5314" xr3:uid="{F3B0E2FF-0A50-44FA-AEEF-495D491CEE87}" name="Column5312"/>
    <tableColumn id="5315" xr3:uid="{135669A0-DD95-422F-8EB7-684A0936C875}" name="Column5313"/>
    <tableColumn id="5316" xr3:uid="{B496B3C2-ADEA-470C-A0A3-5324DC09F710}" name="Column5314"/>
    <tableColumn id="5317" xr3:uid="{78D47FCC-EE46-47D1-83FB-41179356AA1A}" name="Column5315"/>
    <tableColumn id="5318" xr3:uid="{D9BC1F4D-8311-492F-9CCF-F052BAE2F25E}" name="Column5316"/>
    <tableColumn id="5319" xr3:uid="{010382E4-7638-4F91-80E5-4B5AD40B50EC}" name="Column5317"/>
    <tableColumn id="5320" xr3:uid="{5C5B11C5-182D-4EC9-871A-C47051DAE0DD}" name="Column5318"/>
    <tableColumn id="5321" xr3:uid="{5BE9FA71-6BAF-44FF-9946-8D157E2894EA}" name="Column5319"/>
    <tableColumn id="5322" xr3:uid="{E0DAFBF9-25F8-44A6-B135-AA3EC75189F0}" name="Column5320"/>
    <tableColumn id="5323" xr3:uid="{127AED2D-3AD2-43C1-AA36-23FD87BC3E8E}" name="Column5321"/>
    <tableColumn id="5324" xr3:uid="{16490E5B-CA2D-48B8-85AE-7AEC2F813090}" name="Column5322"/>
    <tableColumn id="5325" xr3:uid="{37461474-A9E9-42C2-B486-CFAB89312E48}" name="Column5323"/>
    <tableColumn id="5326" xr3:uid="{1AFE9608-5A07-4F18-AAD0-FFEA914C668A}" name="Column5324"/>
    <tableColumn id="5327" xr3:uid="{BF8CA110-53D8-492F-8209-96FB4E88F13A}" name="Column5325"/>
    <tableColumn id="5328" xr3:uid="{320B6DBF-CCF5-4A93-B42F-3B01145F9A70}" name="Column5326"/>
    <tableColumn id="5329" xr3:uid="{A1B3950C-9030-4FB1-B08B-45F070BA157F}" name="Column5327"/>
    <tableColumn id="5330" xr3:uid="{033FA520-714D-4014-9D3B-E43657075FE4}" name="Column5328"/>
    <tableColumn id="5331" xr3:uid="{43CDF934-E14D-4A17-97D4-81F157928A46}" name="Column5329"/>
    <tableColumn id="5332" xr3:uid="{76883EE2-1B11-40E8-BFC0-8686A27CF2D6}" name="Column5330"/>
    <tableColumn id="5333" xr3:uid="{BAE16199-2595-4C60-9D47-2FD4CD0BD610}" name="Column5331"/>
    <tableColumn id="5334" xr3:uid="{BD7A0B5A-E203-4B94-BC5B-1AB0996BEABC}" name="Column5332"/>
    <tableColumn id="5335" xr3:uid="{C1D63CBB-3B5C-4FAA-BFB3-BCEA88E9A605}" name="Column5333"/>
    <tableColumn id="5336" xr3:uid="{A53F2B0E-873A-489B-9ED1-639E6524BEA7}" name="Column5334"/>
    <tableColumn id="5337" xr3:uid="{2818BF8F-971F-414C-B3AA-9027EAB32F14}" name="Column5335"/>
    <tableColumn id="5338" xr3:uid="{F194308F-03F0-400B-B5A2-84A378B7D081}" name="Column5336"/>
    <tableColumn id="5339" xr3:uid="{A9A6BA67-C612-424A-BF6E-9B6C953631AB}" name="Column5337"/>
    <tableColumn id="5340" xr3:uid="{EBA1B6E1-C4DF-4763-806B-7364F5917C4D}" name="Column5338"/>
    <tableColumn id="5341" xr3:uid="{F6CAD62C-DC17-4885-AD1B-8E8565449821}" name="Column5339"/>
    <tableColumn id="5342" xr3:uid="{FACA116B-781C-4CAD-89C9-1AD0B235E539}" name="Column5340"/>
    <tableColumn id="5343" xr3:uid="{0F300553-258A-4A64-BE95-A82C5013B3F5}" name="Column5341"/>
    <tableColumn id="5344" xr3:uid="{8C8F5590-D21D-4D48-B0C1-EA9DD9B774FF}" name="Column5342"/>
    <tableColumn id="5345" xr3:uid="{A0DCD2D8-0BAE-44DD-9E43-C05FB58FEDBE}" name="Column5343"/>
    <tableColumn id="5346" xr3:uid="{AB7783A8-F627-4E63-B36E-C5869DD1481A}" name="Column5344"/>
    <tableColumn id="5347" xr3:uid="{F94EC0A3-0090-43AB-86E8-51719CA8E56F}" name="Column5345"/>
    <tableColumn id="5348" xr3:uid="{21922740-A879-4BBA-B6C6-64C78EF98141}" name="Column5346"/>
    <tableColumn id="5349" xr3:uid="{192B1509-1D41-43F8-B32B-DBE5C5EB9C5E}" name="Column5347"/>
    <tableColumn id="5350" xr3:uid="{DA5D909C-08EC-485A-AB0C-BFC43A7ACF2C}" name="Column5348"/>
    <tableColumn id="5351" xr3:uid="{8A241BEA-B30D-44E8-BC9E-094AC525018F}" name="Column5349"/>
    <tableColumn id="5352" xr3:uid="{5E8BA446-9EB7-43D4-A920-4177624C6742}" name="Column5350"/>
    <tableColumn id="5353" xr3:uid="{500F2F81-F837-48E2-B2C6-5D9F7CD0C53C}" name="Column5351"/>
    <tableColumn id="5354" xr3:uid="{7FD18A0D-BFCB-4387-8796-54B66F2F7944}" name="Column5352"/>
    <tableColumn id="5355" xr3:uid="{764C77F7-D9DF-481B-B3F8-6A572751AB03}" name="Column5353"/>
    <tableColumn id="5356" xr3:uid="{C79D6D54-3271-4519-B24B-6502DC5FB9A0}" name="Column5354"/>
    <tableColumn id="5357" xr3:uid="{835D2DDF-789C-4067-BD69-712C13AFC86A}" name="Column5355"/>
    <tableColumn id="5358" xr3:uid="{EAE3E073-031D-49D3-A949-842E147097FB}" name="Column5356"/>
    <tableColumn id="5359" xr3:uid="{9D9E9E16-4F69-451F-AF6B-9271DF321D19}" name="Column5357"/>
    <tableColumn id="5360" xr3:uid="{3FE9A758-A430-41C9-ADBF-B40B874DAEAE}" name="Column5358"/>
    <tableColumn id="5361" xr3:uid="{C028E35C-0F1A-418D-88E1-6F8518043BF8}" name="Column5359"/>
    <tableColumn id="5362" xr3:uid="{BFB7ED59-FBCA-4E8F-B06B-7DE5DC55B8E4}" name="Column5360"/>
    <tableColumn id="5363" xr3:uid="{F6708362-0D23-4108-82CA-3107014E39EA}" name="Column5361"/>
    <tableColumn id="5364" xr3:uid="{4A3ACF4C-B97D-48E8-ADC6-AD29CCBB16F0}" name="Column5362"/>
    <tableColumn id="5365" xr3:uid="{C3FAB1C1-363F-4228-8A2D-6339DFC3AF5E}" name="Column5363"/>
    <tableColumn id="5366" xr3:uid="{D214B01B-5420-470E-A78C-0D58EF77E229}" name="Column5364"/>
    <tableColumn id="5367" xr3:uid="{BBD6B607-259D-4094-B1B6-281C7168FA5C}" name="Column5365"/>
    <tableColumn id="5368" xr3:uid="{B3F37ABE-8117-4C23-88FA-966BC69D776D}" name="Column5366"/>
    <tableColumn id="5369" xr3:uid="{6B294B4C-40FD-4781-B6E5-D0A3FCF48D98}" name="Column5367"/>
    <tableColumn id="5370" xr3:uid="{3058C679-0816-4C8F-BE41-30E9FFFD20D5}" name="Column5368"/>
    <tableColumn id="5371" xr3:uid="{832F485A-B9C3-42B4-821A-07C73760BE38}" name="Column5369"/>
    <tableColumn id="5372" xr3:uid="{08D4B371-6A21-4F05-AB53-D6C850B3ED9B}" name="Column5370"/>
    <tableColumn id="5373" xr3:uid="{F12C21D7-3E2C-4687-9624-37831CE78C45}" name="Column5371"/>
    <tableColumn id="5374" xr3:uid="{91603472-D9BD-4AE8-91FB-4CAEC547FC57}" name="Column5372"/>
    <tableColumn id="5375" xr3:uid="{F6296502-38E4-4EDF-9944-91BF1EFDEB09}" name="Column5373"/>
    <tableColumn id="5376" xr3:uid="{E3B66172-2576-4D7A-AF11-6B3BD576F20B}" name="Column5374"/>
    <tableColumn id="5377" xr3:uid="{DF064BEC-68A5-4E16-B96A-E123BD09F860}" name="Column5375"/>
    <tableColumn id="5378" xr3:uid="{E1D695F6-1B2D-4791-A42F-832275FE245C}" name="Column5376"/>
    <tableColumn id="5379" xr3:uid="{3C451A57-C731-4E78-BBA7-932F0C84E1EF}" name="Column5377"/>
    <tableColumn id="5380" xr3:uid="{81BCB42A-5E1D-4785-953B-8AF89585D83B}" name="Column5378"/>
    <tableColumn id="5381" xr3:uid="{884C21B2-DF29-43C4-BB45-68E79EBC116C}" name="Column5379"/>
    <tableColumn id="5382" xr3:uid="{502F1B24-0E70-442C-9248-575049F2F262}" name="Column5380"/>
    <tableColumn id="5383" xr3:uid="{E9AFCEB4-3C6B-49E9-9F7A-8BFC8854DDD9}" name="Column5381"/>
    <tableColumn id="5384" xr3:uid="{91A0EDE4-3F36-4C5F-8061-9CCF9BA2A5AA}" name="Column5382"/>
    <tableColumn id="5385" xr3:uid="{8FBE6BE0-762B-434F-945F-5FF405C50462}" name="Column5383"/>
    <tableColumn id="5386" xr3:uid="{6A69D7FC-13A2-4036-BAEA-6DEA7231D233}" name="Column5384"/>
    <tableColumn id="5387" xr3:uid="{D485653B-37CD-4F58-AEED-41EBF019DAF1}" name="Column5385"/>
    <tableColumn id="5388" xr3:uid="{52FD5C7E-3340-435E-B504-4DF2349145AA}" name="Column5386"/>
    <tableColumn id="5389" xr3:uid="{FB68642B-5006-43BC-89D3-ADFBB0BD945A}" name="Column5387"/>
    <tableColumn id="5390" xr3:uid="{014B6707-CC72-4984-A025-811C09E571D6}" name="Column5388"/>
    <tableColumn id="5391" xr3:uid="{6D2306C9-F9B3-4285-B94D-A934988AF06B}" name="Column5389"/>
    <tableColumn id="5392" xr3:uid="{1DEF64D0-5916-4934-BB86-2A6BFC3367B1}" name="Column5390"/>
    <tableColumn id="5393" xr3:uid="{3DEDF5C2-E6D2-4AAD-B0AF-40C66D91F617}" name="Column5391"/>
    <tableColumn id="5394" xr3:uid="{CE2AC9E1-9046-41F6-8A81-10B941A5DEDB}" name="Column5392"/>
    <tableColumn id="5395" xr3:uid="{5B2E04DA-C4AE-473D-9C24-8B5EB3DEFC81}" name="Column5393"/>
    <tableColumn id="5396" xr3:uid="{0F345FD1-F17D-48FF-B5B7-828F99935BC9}" name="Column5394"/>
    <tableColumn id="5397" xr3:uid="{4B524DA0-FF18-4E66-A14E-44E222C5F170}" name="Column5395"/>
    <tableColumn id="5398" xr3:uid="{FDB67311-41E2-4F1D-973F-86C284D9897F}" name="Column5396"/>
    <tableColumn id="5399" xr3:uid="{861F7619-94E8-46EE-8385-121CA023BA0F}" name="Column5397"/>
    <tableColumn id="5400" xr3:uid="{27B2884F-698B-4C4C-A6B3-672418C45AE0}" name="Column5398"/>
    <tableColumn id="5401" xr3:uid="{9F62C2D4-1114-456B-BC24-12A5DF8F0121}" name="Column5399"/>
    <tableColumn id="5402" xr3:uid="{64474320-C281-419C-A498-5E838DC581A8}" name="Column5400"/>
    <tableColumn id="5403" xr3:uid="{C2FF77A7-013B-41D3-BA77-1393628A4F51}" name="Column5401"/>
    <tableColumn id="5404" xr3:uid="{594A5990-7612-48FD-83C8-F05EC8D63F0F}" name="Column5402"/>
    <tableColumn id="5405" xr3:uid="{EA4F9972-780C-4D2A-BAD5-1FF922D7FA98}" name="Column5403"/>
    <tableColumn id="5406" xr3:uid="{DD34479F-9FD0-4315-AA70-2BF1B46881BE}" name="Column5404"/>
    <tableColumn id="5407" xr3:uid="{B989D75E-C8B0-4D09-948E-F99B87A2AE2C}" name="Column5405"/>
    <tableColumn id="5408" xr3:uid="{00D7C8CE-D2AE-4FF1-89ED-A2E457A66AB8}" name="Column5406"/>
    <tableColumn id="5409" xr3:uid="{D3B686C4-8A58-4583-89A1-83C6CD0DCA1D}" name="Column5407"/>
    <tableColumn id="5410" xr3:uid="{B50FDAAD-1DC1-4161-B436-65DE4F31B4EC}" name="Column5408"/>
    <tableColumn id="5411" xr3:uid="{5D1885AE-4204-4D9D-AFC7-5C3715766CA3}" name="Column5409"/>
    <tableColumn id="5412" xr3:uid="{80527DC2-7FFD-411A-A8C1-119B763D8F64}" name="Column5410"/>
    <tableColumn id="5413" xr3:uid="{9389A482-947E-4D48-AD5F-FF5E8735096F}" name="Column5411"/>
    <tableColumn id="5414" xr3:uid="{B8B9549A-905D-4566-9697-FAC00C6B6618}" name="Column5412"/>
    <tableColumn id="5415" xr3:uid="{862C4ACA-9793-44D5-AF21-93B981F70F46}" name="Column5413"/>
    <tableColumn id="5416" xr3:uid="{4053DBE9-CF95-4BA7-8710-096373588E7F}" name="Column5414"/>
    <tableColumn id="5417" xr3:uid="{472389ED-7DB3-4A41-A005-F39F09208E52}" name="Column5415"/>
    <tableColumn id="5418" xr3:uid="{82E4B4C6-A345-4B8F-A5A2-BAAC9E8C5472}" name="Column5416"/>
    <tableColumn id="5419" xr3:uid="{F128F21C-78DD-429D-BD03-300FD0024895}" name="Column5417"/>
    <tableColumn id="5420" xr3:uid="{223DED30-2F3E-49E0-BA90-A053D3E14612}" name="Column5418"/>
    <tableColumn id="5421" xr3:uid="{8468B86A-3F9D-40D8-B30D-55A0182A4D2A}" name="Column5419"/>
    <tableColumn id="5422" xr3:uid="{0C1C18AF-08C5-41A1-8C00-6287F3B5CA0C}" name="Column5420"/>
    <tableColumn id="5423" xr3:uid="{CD7C6962-76AB-4435-9C23-3D49120B4F03}" name="Column5421"/>
    <tableColumn id="5424" xr3:uid="{D87E78FC-2BDA-4CB3-AE92-697A155F67CE}" name="Column5422"/>
    <tableColumn id="5425" xr3:uid="{83697B04-1C9C-475C-80E1-B287E59ED491}" name="Column5423"/>
    <tableColumn id="5426" xr3:uid="{BEB473E8-78B2-4CB0-8987-64812A8A1185}" name="Column5424"/>
    <tableColumn id="5427" xr3:uid="{566CFBDB-46DF-4709-950C-C2808F73510E}" name="Column5425"/>
    <tableColumn id="5428" xr3:uid="{5200B994-27EE-4388-9361-E82BD2F6DB8C}" name="Column5426"/>
    <tableColumn id="5429" xr3:uid="{DC04DED0-772F-44E4-A9ED-8D33701C06B3}" name="Column5427"/>
    <tableColumn id="5430" xr3:uid="{39913EA9-5EE4-4685-8EA0-E0AA1E97F0E5}" name="Column5428"/>
    <tableColumn id="5431" xr3:uid="{A1F25425-6A99-4848-AAA8-BAD18BFC8F36}" name="Column5429"/>
    <tableColumn id="5432" xr3:uid="{F1419659-1DD8-4398-87FD-44CA187B74FE}" name="Column5430"/>
    <tableColumn id="5433" xr3:uid="{6C7D9B00-10E7-484B-8FA6-8A1BDEDC665A}" name="Column5431"/>
    <tableColumn id="5434" xr3:uid="{80C7D289-46ED-4372-B9D3-038E42D59EDF}" name="Column5432"/>
    <tableColumn id="5435" xr3:uid="{3424DEA6-3103-411B-AD0C-71520ACE0AEB}" name="Column5433"/>
    <tableColumn id="5436" xr3:uid="{DFE7AD38-6DE9-43DC-896E-10B97FCB6A5A}" name="Column5434"/>
    <tableColumn id="5437" xr3:uid="{FD4EF79A-5BC2-438D-8056-B59436809323}" name="Column5435"/>
    <tableColumn id="5438" xr3:uid="{51FC1C96-FB88-419E-B687-44E2A93C395E}" name="Column5436"/>
    <tableColumn id="5439" xr3:uid="{C75B95FC-CF88-45A0-8AAE-8AF63967C938}" name="Column5437"/>
    <tableColumn id="5440" xr3:uid="{B1470458-E039-40A0-8EE4-065388D6E6AE}" name="Column5438"/>
    <tableColumn id="5441" xr3:uid="{1BEAD745-7051-4C76-8F7C-175270C289FC}" name="Column5439"/>
    <tableColumn id="5442" xr3:uid="{A33BD5FD-FA19-4DDB-B917-0F118E2193A2}" name="Column5440"/>
    <tableColumn id="5443" xr3:uid="{922E4F74-EC94-4D02-A271-35F33A08FDCD}" name="Column5441"/>
    <tableColumn id="5444" xr3:uid="{3A53C681-7F13-4719-9955-B7A8C5D720C7}" name="Column5442"/>
    <tableColumn id="5445" xr3:uid="{71F82370-DF3E-445D-8041-B9B7FCEA6AEF}" name="Column5443"/>
    <tableColumn id="5446" xr3:uid="{0798BFE2-115D-4655-AC86-11F5FB029A88}" name="Column5444"/>
    <tableColumn id="5447" xr3:uid="{8E640891-9285-473F-BC2A-07B1EAE606BB}" name="Column5445"/>
    <tableColumn id="5448" xr3:uid="{C610A47F-9FAD-435C-AD3B-DC61D86109EB}" name="Column5446"/>
    <tableColumn id="5449" xr3:uid="{E1345C5C-18BE-4D23-993F-1C4350FB9045}" name="Column5447"/>
    <tableColumn id="5450" xr3:uid="{53D48DED-E5D7-4847-A51B-C80853C667CD}" name="Column5448"/>
    <tableColumn id="5451" xr3:uid="{A3B7A530-6B9C-494A-8186-F65479EA74B9}" name="Column5449"/>
    <tableColumn id="5452" xr3:uid="{64FF5FE0-0694-4A97-B66B-16B2DBE79963}" name="Column5450"/>
    <tableColumn id="5453" xr3:uid="{2070F81E-3AA7-410F-B7A8-9DDDC152EF25}" name="Column5451"/>
    <tableColumn id="5454" xr3:uid="{3D4D87FB-C664-4A94-B9E1-0E3A05906E66}" name="Column5452"/>
    <tableColumn id="5455" xr3:uid="{DDDFD6C9-BB06-4B41-AC70-16155C27C146}" name="Column5453"/>
    <tableColumn id="5456" xr3:uid="{83D8AFC3-2EA6-4CBA-83C4-F71039737442}" name="Column5454"/>
    <tableColumn id="5457" xr3:uid="{D8756FAB-5209-4194-8615-AF441FCEA29D}" name="Column5455"/>
    <tableColumn id="5458" xr3:uid="{56F4C3C4-130F-4A7D-8471-B90C860E51D3}" name="Column5456"/>
    <tableColumn id="5459" xr3:uid="{94EAE19C-A9F4-410B-BA85-7928412EFE60}" name="Column5457"/>
    <tableColumn id="5460" xr3:uid="{3BEF65A5-7203-4073-BD85-5482253FC524}" name="Column5458"/>
    <tableColumn id="5461" xr3:uid="{AE1BAC94-9189-462F-B4A6-3231C793AE15}" name="Column5459"/>
    <tableColumn id="5462" xr3:uid="{4405220F-A6C2-4BBD-95D6-26DF10A62230}" name="Column5460"/>
    <tableColumn id="5463" xr3:uid="{F6F4496C-0583-4AEC-88CD-14CC51310EB6}" name="Column5461"/>
    <tableColumn id="5464" xr3:uid="{4A52F287-3138-415D-9EB1-9CE23F3E521A}" name="Column5462"/>
    <tableColumn id="5465" xr3:uid="{46E5C2E2-FC82-47B3-8233-D333E1618B8B}" name="Column5463"/>
    <tableColumn id="5466" xr3:uid="{49DF8CE7-A352-46B4-A574-1696D017BF5D}" name="Column5464"/>
    <tableColumn id="5467" xr3:uid="{212B2CC4-79E0-48C3-A8EA-1392002D6A85}" name="Column5465"/>
    <tableColumn id="5468" xr3:uid="{B83515EC-2BBE-465C-B0B5-FD4D3E1C0D73}" name="Column5466"/>
    <tableColumn id="5469" xr3:uid="{C2FBF96B-2E4C-4E10-A83D-EEEAC639C9E1}" name="Column5467"/>
    <tableColumn id="5470" xr3:uid="{B4ED577C-AA69-401C-998B-45442ACAEA9A}" name="Column5468"/>
    <tableColumn id="5471" xr3:uid="{5DF32BBE-CEB2-4D32-B8EE-E58F7E6AA457}" name="Column5469"/>
    <tableColumn id="5472" xr3:uid="{EA54A238-1A01-4B5B-AC26-B25BAEC9BB36}" name="Column5470"/>
    <tableColumn id="5473" xr3:uid="{6BF87842-CAE2-4814-AA13-0D27C686EF22}" name="Column5471"/>
    <tableColumn id="5474" xr3:uid="{DE7C4A9C-067B-4F63-B034-BCDC420FD683}" name="Column5472"/>
    <tableColumn id="5475" xr3:uid="{52217C69-B41F-4047-ABC9-03FADABAD826}" name="Column5473"/>
    <tableColumn id="5476" xr3:uid="{348024E9-90C9-4C6B-8D6E-1B9538048538}" name="Column5474"/>
    <tableColumn id="5477" xr3:uid="{EF3BF30A-0557-43BB-9391-1B3E4B7EABBC}" name="Column5475"/>
    <tableColumn id="5478" xr3:uid="{B251C945-CCE2-4E47-BFAF-233DAA25BFD7}" name="Column5476"/>
    <tableColumn id="5479" xr3:uid="{22B4DC6B-B733-4F08-9678-7678F4667784}" name="Column5477"/>
    <tableColumn id="5480" xr3:uid="{36649D82-5F44-4AC9-A534-246A1A549370}" name="Column5478"/>
    <tableColumn id="5481" xr3:uid="{16463DAC-ED0F-4AE6-BEEA-4A191069C703}" name="Column5479"/>
    <tableColumn id="5482" xr3:uid="{2BC0665F-2216-4D36-B422-4C271C2854B7}" name="Column5480"/>
    <tableColumn id="5483" xr3:uid="{BF498A22-4CDA-4474-B91B-BCF5AA916DF6}" name="Column5481"/>
    <tableColumn id="5484" xr3:uid="{CFB0BEBF-6C70-4884-A92F-FA2CEE98542A}" name="Column5482"/>
    <tableColumn id="5485" xr3:uid="{988A87BE-0E2C-454E-ABD6-B9CEEADE6B28}" name="Column5483"/>
    <tableColumn id="5486" xr3:uid="{DF21AEFE-BE96-4CDF-A894-7208CACD8CDC}" name="Column5484"/>
    <tableColumn id="5487" xr3:uid="{303868E3-8342-4262-B7A8-0B7196C25E5A}" name="Column5485"/>
    <tableColumn id="5488" xr3:uid="{BBF5BB94-A84C-4911-92D5-1FF5C2C8C7B7}" name="Column5486"/>
    <tableColumn id="5489" xr3:uid="{99AE1166-A67D-4772-9E6F-0CAE916DE037}" name="Column5487"/>
    <tableColumn id="5490" xr3:uid="{1BACFFC3-4F41-41DD-926D-3DA7B86641E6}" name="Column5488"/>
    <tableColumn id="5491" xr3:uid="{F19D915E-2B39-4670-867F-490606F5669E}" name="Column5489"/>
    <tableColumn id="5492" xr3:uid="{F7A2B421-A9D8-4D91-82A2-FE34B9866C0D}" name="Column5490"/>
    <tableColumn id="5493" xr3:uid="{048B2910-84A3-4423-B549-382A9846AA99}" name="Column5491"/>
    <tableColumn id="5494" xr3:uid="{A577DBBF-BD83-4B1A-A0B5-9BE4A0D34DA5}" name="Column5492"/>
    <tableColumn id="5495" xr3:uid="{2E868946-5572-4659-BB45-EDB579AA099F}" name="Column5493"/>
    <tableColumn id="5496" xr3:uid="{437B1FC9-BFF3-41AB-8431-A8C7E7D90245}" name="Column5494"/>
    <tableColumn id="5497" xr3:uid="{49AA64D9-10BC-408D-ABF8-093C89FEDED1}" name="Column5495"/>
    <tableColumn id="5498" xr3:uid="{8FAF3643-44C4-452D-8373-88E76F02F260}" name="Column5496"/>
    <tableColumn id="5499" xr3:uid="{E212302B-7979-476F-BB55-1520BE4DCED7}" name="Column5497"/>
    <tableColumn id="5500" xr3:uid="{6FB219CA-55BE-485F-96C1-E5730B007D90}" name="Column5498"/>
    <tableColumn id="5501" xr3:uid="{A824DDF2-A75B-4A64-80E2-7F1DB8463C87}" name="Column5499"/>
    <tableColumn id="5502" xr3:uid="{7996BA8E-463E-466A-A2AF-18F48ECBD89A}" name="Column5500"/>
    <tableColumn id="5503" xr3:uid="{07020F5B-0259-4D97-B623-57EC3B3BD392}" name="Column5501"/>
    <tableColumn id="5504" xr3:uid="{46DA7F10-0DB6-4F0A-92BD-B0B64A36A749}" name="Column5502"/>
    <tableColumn id="5505" xr3:uid="{A8A00AD5-247E-46C4-A9AF-92FE6B2E96B5}" name="Column5503"/>
    <tableColumn id="5506" xr3:uid="{39A7A1A2-2F10-4AFE-933F-E3D840977A85}" name="Column5504"/>
    <tableColumn id="5507" xr3:uid="{D7A57D93-10F1-4EB6-9D3D-A614D111CFAE}" name="Column5505"/>
    <tableColumn id="5508" xr3:uid="{6BBA3FFF-59E6-4BCF-AA68-4B9D31923932}" name="Column5506"/>
    <tableColumn id="5509" xr3:uid="{02BAEF44-F8C2-4970-8345-359396861920}" name="Column5507"/>
    <tableColumn id="5510" xr3:uid="{B761CE8C-DA5A-4628-8986-092450EBA789}" name="Column5508"/>
    <tableColumn id="5511" xr3:uid="{84465892-D17C-47C4-8E2F-F65622BA2283}" name="Column5509"/>
    <tableColumn id="5512" xr3:uid="{70D10FB5-7325-42DC-A2B8-B3C661121F93}" name="Column5510"/>
    <tableColumn id="5513" xr3:uid="{141FA53D-4317-498D-AA69-BED6A8371FDE}" name="Column5511"/>
    <tableColumn id="5514" xr3:uid="{3FB64935-D7EB-4A42-B417-68DC3FEAD2A2}" name="Column5512"/>
    <tableColumn id="5515" xr3:uid="{3D151D6D-A892-400F-ABA1-F85D16DB5708}" name="Column5513"/>
    <tableColumn id="5516" xr3:uid="{727388C6-42E5-46D0-AA1E-2D2A58787BDE}" name="Column5514"/>
    <tableColumn id="5517" xr3:uid="{D03A8621-A436-429D-A020-3CF389E48D7B}" name="Column5515"/>
    <tableColumn id="5518" xr3:uid="{4E24BC6D-D90E-4C7E-A626-89B6543B04E5}" name="Column5516"/>
    <tableColumn id="5519" xr3:uid="{98477A0F-43DD-44B6-BD7B-B9456061841B}" name="Column5517"/>
    <tableColumn id="5520" xr3:uid="{8822E36A-59D0-4DC9-91C5-9E1EE5342838}" name="Column5518"/>
    <tableColumn id="5521" xr3:uid="{4CD7F751-131E-4881-BA82-FE595068C845}" name="Column5519"/>
    <tableColumn id="5522" xr3:uid="{90C080FA-447B-41CE-8BC1-6E6881CAF23B}" name="Column5520"/>
    <tableColumn id="5523" xr3:uid="{3EAD5220-670F-4B79-A27C-10DD8F5A1C94}" name="Column5521"/>
    <tableColumn id="5524" xr3:uid="{B2CBC44C-9016-47F7-8D0C-3E77F667F6F7}" name="Column5522"/>
    <tableColumn id="5525" xr3:uid="{A44798DA-0DAB-4FAC-841A-3F6B84086189}" name="Column5523"/>
    <tableColumn id="5526" xr3:uid="{3676B333-6DAD-4BF3-B38C-3FC5645BD7C3}" name="Column5524"/>
    <tableColumn id="5527" xr3:uid="{87239E61-88DA-490B-96EC-1453088A9431}" name="Column5525"/>
    <tableColumn id="5528" xr3:uid="{68AE5B0B-5164-4ADE-8E01-89D8563B5F2A}" name="Column5526"/>
    <tableColumn id="5529" xr3:uid="{AD727B53-4D5F-4275-98A2-2AD01820B502}" name="Column5527"/>
    <tableColumn id="5530" xr3:uid="{3DC68B05-9BA5-4AA5-A043-AC530829844A}" name="Column5528"/>
    <tableColumn id="5531" xr3:uid="{834DD78B-989E-45BC-8897-C409D951C3AA}" name="Column5529"/>
    <tableColumn id="5532" xr3:uid="{346D3179-85EB-456D-999B-E12F0AA07CF0}" name="Column5530"/>
    <tableColumn id="5533" xr3:uid="{98C99232-3640-4EEB-A09A-8C745157C827}" name="Column5531"/>
    <tableColumn id="5534" xr3:uid="{3A8D50B1-1E29-4842-AF8B-768DBB08F6C5}" name="Column5532"/>
    <tableColumn id="5535" xr3:uid="{6F412387-C215-44A9-93A3-6737D49151B3}" name="Column5533"/>
    <tableColumn id="5536" xr3:uid="{1E36EF4A-5803-48CA-A30A-D182EE5A8006}" name="Column5534"/>
    <tableColumn id="5537" xr3:uid="{88A14878-76AD-4CF6-B93F-768C91A564E0}" name="Column5535"/>
    <tableColumn id="5538" xr3:uid="{4220760C-95C4-4085-A211-4F70E38819A1}" name="Column5536"/>
    <tableColumn id="5539" xr3:uid="{891B487F-498A-4D39-8D06-FE393283BC8B}" name="Column5537"/>
    <tableColumn id="5540" xr3:uid="{BA9EB895-BF48-408E-AED4-75F13C5E1A6F}" name="Column5538"/>
    <tableColumn id="5541" xr3:uid="{B0831423-29E2-4526-9C80-127A5773077A}" name="Column5539"/>
    <tableColumn id="5542" xr3:uid="{3D7D3478-96C1-426F-A8F3-782CAD059383}" name="Column5540"/>
    <tableColumn id="5543" xr3:uid="{0F7BB418-537A-48B7-9C1B-D1DCF846908A}" name="Column5541"/>
    <tableColumn id="5544" xr3:uid="{4C7C3039-A761-473E-914F-97E4B3CA3B73}" name="Column5542"/>
    <tableColumn id="5545" xr3:uid="{0AECE3E0-ED32-42A1-BD32-DC92A424F434}" name="Column5543"/>
    <tableColumn id="5546" xr3:uid="{2E90EB7C-9858-40D0-95C6-C25E67CE4AC0}" name="Column5544"/>
    <tableColumn id="5547" xr3:uid="{6EB4D105-D3E5-4919-B17D-5B997BE523D5}" name="Column5545"/>
    <tableColumn id="5548" xr3:uid="{982847C3-4246-441B-A9A7-DCDCD5942138}" name="Column5546"/>
    <tableColumn id="5549" xr3:uid="{78ACBB77-189E-4F0E-A996-0104D78D4568}" name="Column5547"/>
    <tableColumn id="5550" xr3:uid="{E4BFF08F-DE52-48FE-99F8-1ABCD3BAA8EA}" name="Column5548"/>
    <tableColumn id="5551" xr3:uid="{186A1131-2998-4C09-97E5-96561F50F96D}" name="Column5549"/>
    <tableColumn id="5552" xr3:uid="{10A58B35-52FD-4D33-A555-13449AAC832D}" name="Column5550"/>
    <tableColumn id="5553" xr3:uid="{C63A69B0-D9D0-40F5-B779-2779B957E4EF}" name="Column5551"/>
    <tableColumn id="5554" xr3:uid="{A8632989-536D-40A1-8176-3538BB3CF37E}" name="Column5552"/>
    <tableColumn id="5555" xr3:uid="{BF661EC1-1B17-48D2-B29B-E8DBEF75F312}" name="Column5553"/>
    <tableColumn id="5556" xr3:uid="{C78F557F-651B-486B-A056-FB9B6C0A32AC}" name="Column5554"/>
    <tableColumn id="5557" xr3:uid="{4205DD1C-16F5-4591-9D8C-31033787EFA6}" name="Column5555"/>
    <tableColumn id="5558" xr3:uid="{DE39706B-58BF-42E4-9992-5FFB78785806}" name="Column5556"/>
    <tableColumn id="5559" xr3:uid="{2749CC5E-892A-4A9D-B673-656A73570F6E}" name="Column5557"/>
    <tableColumn id="5560" xr3:uid="{036C9260-00C3-472E-A137-5D47C663A76B}" name="Column5558"/>
    <tableColumn id="5561" xr3:uid="{67D99075-E396-4DFF-AA7D-F5CCA07B7B62}" name="Column5559"/>
    <tableColumn id="5562" xr3:uid="{51F473A2-25B6-4549-8D7A-EFC8D913757F}" name="Column5560"/>
    <tableColumn id="5563" xr3:uid="{0A242125-A8EE-444D-8900-DFC26058B6BA}" name="Column5561"/>
    <tableColumn id="5564" xr3:uid="{56EB8F12-CEB3-4DE2-80E9-3432A56157FD}" name="Column5562"/>
    <tableColumn id="5565" xr3:uid="{E2D297C1-1517-474F-BE33-735015BF92E2}" name="Column5563"/>
    <tableColumn id="5566" xr3:uid="{E8A67463-BD14-42AC-A4FC-0041542EC9C3}" name="Column5564"/>
    <tableColumn id="5567" xr3:uid="{A56AE929-EB03-4CF1-A7C2-4895C59EFF1F}" name="Column5565"/>
    <tableColumn id="5568" xr3:uid="{0DEEF411-AA55-4EB5-9E2E-39285446C6C9}" name="Column5566"/>
    <tableColumn id="5569" xr3:uid="{B1F5E061-0175-4EBE-B4BF-D877B8E5E67C}" name="Column5567"/>
    <tableColumn id="5570" xr3:uid="{76069A25-CF5D-496A-97E4-585E72FFA715}" name="Column5568"/>
    <tableColumn id="5571" xr3:uid="{79DEB5DD-CFB6-44AC-8C0C-0D5D14A59803}" name="Column5569"/>
    <tableColumn id="5572" xr3:uid="{178E101E-B7BA-49D2-A29B-1C0407F15945}" name="Column5570"/>
    <tableColumn id="5573" xr3:uid="{298856AB-603D-44A4-89DB-48F76E73EBE6}" name="Column5571"/>
    <tableColumn id="5574" xr3:uid="{1AD727E3-AC3D-4FCD-808E-70251EE20842}" name="Column5572"/>
    <tableColumn id="5575" xr3:uid="{BEB28BB5-D110-4C5C-A39F-33D98DC52B2F}" name="Column5573"/>
    <tableColumn id="5576" xr3:uid="{D8025F5C-4F24-4A54-83C0-890020430CB8}" name="Column5574"/>
    <tableColumn id="5577" xr3:uid="{766B349B-AA51-4BD8-BF9F-1CAA00AA7E8B}" name="Column5575"/>
    <tableColumn id="5578" xr3:uid="{90F5D668-69C6-48D5-B5E7-8B56F7A273D6}" name="Column5576"/>
    <tableColumn id="5579" xr3:uid="{9AE54F40-4B29-46E9-9C74-1BD7AAE9B963}" name="Column5577"/>
    <tableColumn id="5580" xr3:uid="{2A82BE01-2E4F-4974-9997-5D6608FCB0CD}" name="Column5578"/>
    <tableColumn id="5581" xr3:uid="{2A4BD87C-B257-414D-879E-23FEC49E52F0}" name="Column5579"/>
    <tableColumn id="5582" xr3:uid="{375CB7EA-0A55-4A90-9124-A18E4C578B25}" name="Column5580"/>
    <tableColumn id="5583" xr3:uid="{791303A5-EEB0-45B0-9309-C8F70C128979}" name="Column5581"/>
    <tableColumn id="5584" xr3:uid="{99C4A45C-E44D-4315-B419-1D4005749134}" name="Column5582"/>
    <tableColumn id="5585" xr3:uid="{04A6A688-36B9-4BEB-A158-5FD0D5F91818}" name="Column5583"/>
    <tableColumn id="5586" xr3:uid="{BCD8FE5E-D243-4366-9DEB-3742FF410847}" name="Column5584"/>
    <tableColumn id="5587" xr3:uid="{A9CFF7B2-71D9-4AF8-9F77-B5D0DC592703}" name="Column5585"/>
    <tableColumn id="5588" xr3:uid="{A2A4D18A-586C-480B-A75E-81F3FC0130A5}" name="Column5586"/>
    <tableColumn id="5589" xr3:uid="{2BDF05B7-C730-4705-9D96-B80D6D1EBFC5}" name="Column5587"/>
    <tableColumn id="5590" xr3:uid="{A1320B29-D9E5-448E-A841-F0BE92C210CA}" name="Column5588"/>
    <tableColumn id="5591" xr3:uid="{6536763A-A966-4AF0-BB83-8ADC7FD3E41F}" name="Column5589"/>
    <tableColumn id="5592" xr3:uid="{70F815E6-505F-499F-8195-6606FB761659}" name="Column5590"/>
    <tableColumn id="5593" xr3:uid="{5D7D416E-6F4C-45A8-AD96-CBEA2ACAC587}" name="Column5591"/>
    <tableColumn id="5594" xr3:uid="{9F1BC4E3-6E16-4B23-BBD8-CED37E9D798C}" name="Column5592"/>
    <tableColumn id="5595" xr3:uid="{25B91D9E-8840-4986-9346-9417422193C7}" name="Column5593"/>
    <tableColumn id="5596" xr3:uid="{F11848F5-E919-4566-B814-59E5A8B3DE5F}" name="Column5594"/>
    <tableColumn id="5597" xr3:uid="{173D547A-E3EA-48D6-82C7-4123F6C456C0}" name="Column5595"/>
    <tableColumn id="5598" xr3:uid="{D14618CD-9A59-4109-A92D-8EA90AAB74C5}" name="Column5596"/>
    <tableColumn id="5599" xr3:uid="{A7AB7094-54B5-4ADB-B24A-7A2DE0BB320E}" name="Column5597"/>
    <tableColumn id="5600" xr3:uid="{87C32292-747D-47A7-A254-98314A5E392B}" name="Column5598"/>
    <tableColumn id="5601" xr3:uid="{7AD35A7C-156E-4438-813A-0B2EB8EE0FD9}" name="Column5599"/>
    <tableColumn id="5602" xr3:uid="{0648FB9E-406C-4740-9FA9-2D7C0355F35D}" name="Column5600"/>
    <tableColumn id="5603" xr3:uid="{1ED382A8-5237-484C-8504-CDB6B071C09F}" name="Column5601"/>
    <tableColumn id="5604" xr3:uid="{A517A014-5507-4DB9-96F5-BDDEF3FCB6A6}" name="Column5602"/>
    <tableColumn id="5605" xr3:uid="{13809FBC-7382-42FA-ACDD-B8AFE30CEEC8}" name="Column5603"/>
    <tableColumn id="5606" xr3:uid="{E00A7F9A-26C3-40CD-B789-F94B832A329F}" name="Column5604"/>
    <tableColumn id="5607" xr3:uid="{E6071DD5-65EF-4EAC-9B25-E035986DDD76}" name="Column5605"/>
    <tableColumn id="5608" xr3:uid="{3E3BA29D-5650-4954-A545-8B829BF3D967}" name="Column5606"/>
    <tableColumn id="5609" xr3:uid="{E15FA506-9633-4836-883E-ABF3379A6C53}" name="Column5607"/>
    <tableColumn id="5610" xr3:uid="{DB7A75A1-9256-44C3-8D47-526088087353}" name="Column5608"/>
    <tableColumn id="5611" xr3:uid="{D560FACE-538F-42B2-996F-A0F589FBDF58}" name="Column5609"/>
    <tableColumn id="5612" xr3:uid="{0E9DB6F3-2617-4541-B0D0-1A6BC670790A}" name="Column5610"/>
    <tableColumn id="5613" xr3:uid="{629A7AD5-3C0C-41A8-B40D-90D335CA3259}" name="Column5611"/>
    <tableColumn id="5614" xr3:uid="{FCF10118-59E1-4F52-82FF-E85E73431A17}" name="Column5612"/>
    <tableColumn id="5615" xr3:uid="{18F87E28-2369-4EA7-8AC1-D47A7207408D}" name="Column5613"/>
    <tableColumn id="5616" xr3:uid="{F0CEBED9-D022-439F-ABB7-8AFF34EC8DC6}" name="Column5614"/>
    <tableColumn id="5617" xr3:uid="{F748AE12-B1FA-43A7-8681-8D702A821216}" name="Column5615"/>
    <tableColumn id="5618" xr3:uid="{5A0C0B05-49CC-4FFC-BF34-28FB564E2626}" name="Column5616"/>
    <tableColumn id="5619" xr3:uid="{317ACF12-3EC3-41C3-A71B-7A48EC952CD8}" name="Column5617"/>
    <tableColumn id="5620" xr3:uid="{3778E595-626A-41FB-9ECE-E920E3378EC3}" name="Column5618"/>
    <tableColumn id="5621" xr3:uid="{976014D7-93B9-4842-973E-A7C6E0827230}" name="Column5619"/>
    <tableColumn id="5622" xr3:uid="{ABA97D03-0DE3-40EB-9248-84E79FD7F147}" name="Column5620"/>
    <tableColumn id="5623" xr3:uid="{BB3C9AEB-FA96-4D32-B4CA-2068A05F89B9}" name="Column5621"/>
    <tableColumn id="5624" xr3:uid="{8EDF5340-8F18-46E5-AF9A-72F0CE2438DC}" name="Column5622"/>
    <tableColumn id="5625" xr3:uid="{A1F92971-F603-47FF-AB00-0116660C41EE}" name="Column5623"/>
    <tableColumn id="5626" xr3:uid="{AEC13709-BEDF-42D1-9A7B-D60ED282E2EB}" name="Column5624"/>
    <tableColumn id="5627" xr3:uid="{5777BBCD-687F-4815-BC13-B94BF06D54CA}" name="Column5625"/>
    <tableColumn id="5628" xr3:uid="{3CB5AA3B-9B09-44DF-B520-686396E793A0}" name="Column5626"/>
    <tableColumn id="5629" xr3:uid="{F86F9D93-B2BC-4A6F-8CAD-26DCCA79A075}" name="Column5627"/>
    <tableColumn id="5630" xr3:uid="{6AD75796-3D20-4C83-88FB-E56CDC7A09D3}" name="Column5628"/>
    <tableColumn id="5631" xr3:uid="{4642A34C-2662-4855-A8A7-4471187BC7B9}" name="Column5629"/>
    <tableColumn id="5632" xr3:uid="{97B99F58-B229-45DA-8492-CFA803D38A2E}" name="Column5630"/>
    <tableColumn id="5633" xr3:uid="{03D0AB6D-1BFF-4D04-A7A4-A82321126990}" name="Column5631"/>
    <tableColumn id="5634" xr3:uid="{1DA4E021-58E4-479A-93C9-E9C481C2A73C}" name="Column5632"/>
    <tableColumn id="5635" xr3:uid="{69020ABD-7C4D-4E91-9D7C-E80DC077C503}" name="Column5633"/>
    <tableColumn id="5636" xr3:uid="{04F5549B-F1D4-424F-9BF0-8FE0F44270B0}" name="Column5634"/>
    <tableColumn id="5637" xr3:uid="{F354D193-268D-4AA0-BBD2-AC0C9B13009E}" name="Column5635"/>
    <tableColumn id="5638" xr3:uid="{BEE88AA8-3B00-4680-A29E-29C0507F9C7C}" name="Column5636"/>
    <tableColumn id="5639" xr3:uid="{F399D917-12DE-45E7-BBF3-B45DF842EEAF}" name="Column5637"/>
    <tableColumn id="5640" xr3:uid="{D9D4B088-D671-4C5B-96A7-D035A1A310C8}" name="Column5638"/>
    <tableColumn id="5641" xr3:uid="{367EC748-8DE1-4439-AFC6-BEC19EDDD76C}" name="Column5639"/>
    <tableColumn id="5642" xr3:uid="{449E8A41-F9F6-472D-B544-D813D856690E}" name="Column5640"/>
    <tableColumn id="5643" xr3:uid="{99DFE888-B63B-43EB-A4C8-9E39DB4CA4F1}" name="Column5641"/>
    <tableColumn id="5644" xr3:uid="{C60BC9ED-D49B-44B0-8E16-DA7CE23CD446}" name="Column5642"/>
    <tableColumn id="5645" xr3:uid="{27C9A768-751C-4BFC-A03F-66BE6A8BB512}" name="Column5643"/>
    <tableColumn id="5646" xr3:uid="{C3804EBB-5083-4CF8-B9AA-FF87C8D55B49}" name="Column5644"/>
    <tableColumn id="5647" xr3:uid="{38C66EF4-4C7B-4FAD-9357-8346802D2DED}" name="Column5645"/>
    <tableColumn id="5648" xr3:uid="{4E2A1D2E-EA90-4F98-AC27-2F6A36BCCAE1}" name="Column5646"/>
    <tableColumn id="5649" xr3:uid="{2C824BE7-A8DF-48ED-92BF-1275D67AB086}" name="Column5647"/>
    <tableColumn id="5650" xr3:uid="{2F9B3215-15E5-4DA6-A888-BDF390116496}" name="Column5648"/>
    <tableColumn id="5651" xr3:uid="{94B64E98-ACD7-417B-9364-F32D7D319431}" name="Column5649"/>
    <tableColumn id="5652" xr3:uid="{D0E06F5E-D747-446B-9BA3-E4530AAABAFF}" name="Column5650"/>
    <tableColumn id="5653" xr3:uid="{034955B9-6036-4EA2-9677-5092D6A83100}" name="Column5651"/>
    <tableColumn id="5654" xr3:uid="{1D42D998-1DCE-46FF-BD04-90BA1B3F2C60}" name="Column5652"/>
    <tableColumn id="5655" xr3:uid="{25046608-23B5-481F-B5C5-32A11AAC27BF}" name="Column5653"/>
    <tableColumn id="5656" xr3:uid="{FF1FE360-7C6D-4512-9C64-56D8C6C1C412}" name="Column5654"/>
    <tableColumn id="5657" xr3:uid="{1688ADE5-DCC8-4ED5-8EA7-A2B974207394}" name="Column5655"/>
    <tableColumn id="5658" xr3:uid="{DAE3470C-215A-41E1-AD8A-4BDCBCEB3273}" name="Column5656"/>
    <tableColumn id="5659" xr3:uid="{63213879-BD35-4FD7-8087-3AE6D58E6C15}" name="Column5657"/>
    <tableColumn id="5660" xr3:uid="{E382EF89-38D8-4399-BA78-209A17770F93}" name="Column5658"/>
    <tableColumn id="5661" xr3:uid="{96C61022-8811-4642-BC6A-5CE2ADFB8BD7}" name="Column5659"/>
    <tableColumn id="5662" xr3:uid="{2B0AB310-A551-4436-9E57-BDE573468612}" name="Column5660"/>
    <tableColumn id="5663" xr3:uid="{620FD5CB-C676-4637-9255-8D64B8376247}" name="Column5661"/>
    <tableColumn id="5664" xr3:uid="{A5864AA9-F00C-4C6B-921A-BD8C6D8B1887}" name="Column5662"/>
    <tableColumn id="5665" xr3:uid="{52A7B8C3-C59A-4042-8937-92F4FE0C880B}" name="Column5663"/>
    <tableColumn id="5666" xr3:uid="{9819A2D1-15E9-4291-B974-24147B94AB4C}" name="Column5664"/>
    <tableColumn id="5667" xr3:uid="{BDBB06E3-3660-4A41-9351-D8E9DB50E0BF}" name="Column5665"/>
    <tableColumn id="5668" xr3:uid="{691C3A60-8AB1-4755-8029-88967CDA0571}" name="Column5666"/>
    <tableColumn id="5669" xr3:uid="{89E21E2E-3E2F-4AE7-BE1E-8A37D30BACF1}" name="Column5667"/>
    <tableColumn id="5670" xr3:uid="{87A16642-0B6D-4A09-A17F-401993E4A6B7}" name="Column5668"/>
    <tableColumn id="5671" xr3:uid="{AEA9FDE4-973D-47F3-A58A-42690908C006}" name="Column5669"/>
    <tableColumn id="5672" xr3:uid="{9B0A6EF2-E363-42D9-9C9A-5A9AB229B5F5}" name="Column5670"/>
    <tableColumn id="5673" xr3:uid="{AE0ACB85-A2A4-468F-8AF8-72C8E0D5F39B}" name="Column5671"/>
    <tableColumn id="5674" xr3:uid="{B0DAF83D-481F-403B-ADF2-D68F5636240D}" name="Column5672"/>
    <tableColumn id="5675" xr3:uid="{F49F9DFC-DCA6-4E7B-BC7E-EC4A84243D01}" name="Column5673"/>
    <tableColumn id="5676" xr3:uid="{58D4166C-AD65-4A36-89D9-FA2487AF91E4}" name="Column5674"/>
    <tableColumn id="5677" xr3:uid="{4B44FE1C-07AC-4B89-B4DD-F7F1F8889642}" name="Column5675"/>
    <tableColumn id="5678" xr3:uid="{9C49FC98-623B-4ED0-8FD7-C095EAF6762B}" name="Column5676"/>
    <tableColumn id="5679" xr3:uid="{406D1A67-B9B4-48E7-95BC-8243AE093C56}" name="Column5677"/>
    <tableColumn id="5680" xr3:uid="{9594E19B-685B-4401-9CB7-01DB7017F375}" name="Column5678"/>
    <tableColumn id="5681" xr3:uid="{557C54E0-1F9C-4408-88AD-F06B39A1B8E0}" name="Column5679"/>
    <tableColumn id="5682" xr3:uid="{653B4C77-F656-438E-A800-32A6E12401D2}" name="Column5680"/>
    <tableColumn id="5683" xr3:uid="{35BDD976-B1C4-4AFF-9DA0-FE4E662F03E3}" name="Column5681"/>
    <tableColumn id="5684" xr3:uid="{42FF8546-CDFC-461C-8DAD-72ABBA66CF1C}" name="Column5682"/>
    <tableColumn id="5685" xr3:uid="{AEFC7A3E-A245-4357-BCCA-75B0472A0D43}" name="Column5683"/>
    <tableColumn id="5686" xr3:uid="{7750CF9D-4C84-4110-ADCD-FB60B065E77B}" name="Column5684"/>
    <tableColumn id="5687" xr3:uid="{55D1E31D-E389-4C93-B34D-BCC49EF709A7}" name="Column5685"/>
    <tableColumn id="5688" xr3:uid="{196D7D3B-65BB-4BCC-B8E4-7DA6F1561863}" name="Column5686"/>
    <tableColumn id="5689" xr3:uid="{C060EBA4-53A7-4D6F-930C-03E7E376151B}" name="Column5687"/>
    <tableColumn id="5690" xr3:uid="{D705F7C7-4BF4-412E-A7C3-598473FD3CFD}" name="Column5688"/>
    <tableColumn id="5691" xr3:uid="{3962403F-92F4-4AB1-BC1E-84A35301F8DE}" name="Column5689"/>
    <tableColumn id="5692" xr3:uid="{6401D44D-A3FB-4055-8F60-4DA1E0EE9636}" name="Column5690"/>
    <tableColumn id="5693" xr3:uid="{B7E28EE4-17C8-405B-ACFE-2BBF289EF5BF}" name="Column5691"/>
    <tableColumn id="5694" xr3:uid="{8740E3C8-E3A5-4918-8A03-4DD4645AE89D}" name="Column5692"/>
    <tableColumn id="5695" xr3:uid="{9EE7D22D-B78E-4619-A3FD-6CA9BFC0FA87}" name="Column5693"/>
    <tableColumn id="5696" xr3:uid="{46EB2D18-CF61-416E-9EAC-1BDAF33F5575}" name="Column5694"/>
    <tableColumn id="5697" xr3:uid="{CF850C34-6211-46DF-909C-D3D2285DB615}" name="Column5695"/>
    <tableColumn id="5698" xr3:uid="{ACFAFD0E-CE17-4A1B-A77A-14494A796CF5}" name="Column5696"/>
    <tableColumn id="5699" xr3:uid="{2819D4D0-4FFB-4DF8-B7B0-B2EFDE475DBD}" name="Column5697"/>
    <tableColumn id="5700" xr3:uid="{43ED41DB-9CCE-4DBB-895B-4F4AA3A342E3}" name="Column5698"/>
    <tableColumn id="5701" xr3:uid="{AAAD6E13-C453-40EF-8DFD-BCB1780BD88E}" name="Column5699"/>
    <tableColumn id="5702" xr3:uid="{1E9A0C70-8FE7-484D-A364-442A94A7C769}" name="Column5700"/>
    <tableColumn id="5703" xr3:uid="{479D68FD-6F23-474B-8245-CFF5E254A87E}" name="Column5701"/>
    <tableColumn id="5704" xr3:uid="{E746BBE1-292C-46F1-9926-C3AA3354F418}" name="Column5702"/>
    <tableColumn id="5705" xr3:uid="{D56CC463-8AA9-4FE7-A639-BBCBF018922E}" name="Column5703"/>
    <tableColumn id="5706" xr3:uid="{CEBBDA56-4AF6-4832-B1EF-D79B0B3112C4}" name="Column5704"/>
    <tableColumn id="5707" xr3:uid="{7423FE00-8AB9-4DA7-87AE-D498A2F20766}" name="Column5705"/>
    <tableColumn id="5708" xr3:uid="{A00B7375-7F39-43DC-863C-0816FB10A64A}" name="Column5706"/>
    <tableColumn id="5709" xr3:uid="{99F038AF-0A79-46D9-9078-E428F13DD7C3}" name="Column5707"/>
    <tableColumn id="5710" xr3:uid="{25504CB8-3C4D-4567-AA55-68336D03349E}" name="Column5708"/>
    <tableColumn id="5711" xr3:uid="{C33D1E62-82D5-45D3-8CC7-E102E88C7EA6}" name="Column5709"/>
    <tableColumn id="5712" xr3:uid="{52EF20E9-C044-41B1-B685-D62BE4782EF1}" name="Column5710"/>
    <tableColumn id="5713" xr3:uid="{1253AA8B-D7D6-4351-954C-2399465B54A3}" name="Column5711"/>
    <tableColumn id="5714" xr3:uid="{DFFC20DF-EAA9-4D27-923E-97CC480F877F}" name="Column5712"/>
    <tableColumn id="5715" xr3:uid="{0B0618FD-E494-45A3-A215-F4F0B3CF5DDA}" name="Column5713"/>
    <tableColumn id="5716" xr3:uid="{43A26908-F994-4713-9EFD-7045352EC9BA}" name="Column5714"/>
    <tableColumn id="5717" xr3:uid="{E899ACB5-0CF7-4C85-B7E5-0FB32E27FD3F}" name="Column5715"/>
    <tableColumn id="5718" xr3:uid="{55BF9642-794C-4413-92C6-2FCBA0D474D8}" name="Column5716"/>
    <tableColumn id="5719" xr3:uid="{F2E69AEF-3B04-4BA6-B9CD-8EDA7C390503}" name="Column5717"/>
    <tableColumn id="5720" xr3:uid="{65530467-6185-4978-B915-5DA50E40B553}" name="Column5718"/>
    <tableColumn id="5721" xr3:uid="{137BCAA5-7E3F-4789-BD88-394BF833BE8C}" name="Column5719"/>
    <tableColumn id="5722" xr3:uid="{A4A06858-C5A0-4228-8012-57F3A940C041}" name="Column5720"/>
    <tableColumn id="5723" xr3:uid="{D01D62F9-9209-4AEC-AC51-B2873163DB72}" name="Column5721"/>
    <tableColumn id="5724" xr3:uid="{4A8F19C8-752B-4F8D-9450-C1D2670EF6F0}" name="Column5722"/>
    <tableColumn id="5725" xr3:uid="{211C18D2-1254-4A13-8D41-B8F680E28DB4}" name="Column5723"/>
    <tableColumn id="5726" xr3:uid="{5672683A-439A-4E4A-A7FC-CE925E6B51E5}" name="Column5724"/>
    <tableColumn id="5727" xr3:uid="{82CC29A9-E534-4720-BC07-D0AC7C17EB31}" name="Column5725"/>
    <tableColumn id="5728" xr3:uid="{EC272025-40F1-4EB2-99B3-8D5295C493AF}" name="Column5726"/>
    <tableColumn id="5729" xr3:uid="{D3179111-BB49-40CD-BBB6-5A4FA5326225}" name="Column5727"/>
    <tableColumn id="5730" xr3:uid="{CB6D366C-A9C9-4464-8861-8E04416DAC02}" name="Column5728"/>
    <tableColumn id="5731" xr3:uid="{2D533BD6-4A1F-41A2-9FF0-A8495E89AC6A}" name="Column5729"/>
    <tableColumn id="5732" xr3:uid="{565E4E52-1AD4-4538-9466-2CDB4E3E5DB4}" name="Column5730"/>
    <tableColumn id="5733" xr3:uid="{478439A6-BBDD-4068-9D98-3CCD337BF9BC}" name="Column5731"/>
    <tableColumn id="5734" xr3:uid="{60912A34-75C2-4DD0-AE9E-50B9CDE7C375}" name="Column5732"/>
    <tableColumn id="5735" xr3:uid="{8EE43CF5-53CE-4A55-9A57-4043E7C30480}" name="Column5733"/>
    <tableColumn id="5736" xr3:uid="{A97E6E9E-C58D-4278-A977-CBE4D08B3247}" name="Column5734"/>
    <tableColumn id="5737" xr3:uid="{DD8C8436-3626-4B0E-8158-13FD45C33E0B}" name="Column5735"/>
    <tableColumn id="5738" xr3:uid="{D2BB405D-38DB-4078-A629-9F00245F21E2}" name="Column5736"/>
    <tableColumn id="5739" xr3:uid="{7C201125-7844-4DA3-811A-D5462A7CDF36}" name="Column5737"/>
    <tableColumn id="5740" xr3:uid="{32953287-338D-4CE6-9604-7099BF47013E}" name="Column5738"/>
    <tableColumn id="5741" xr3:uid="{B4C512D3-E832-4C4E-AD6E-B35ADED29A0F}" name="Column5739"/>
    <tableColumn id="5742" xr3:uid="{09F55695-C0C4-4CDE-9670-9B9FF392C92D}" name="Column5740"/>
    <tableColumn id="5743" xr3:uid="{FC57D814-A3A0-434B-8F27-BCAEECC938F6}" name="Column5741"/>
    <tableColumn id="5744" xr3:uid="{1013373C-D014-4345-B668-1B3697936BED}" name="Column5742"/>
    <tableColumn id="5745" xr3:uid="{64B49076-00A4-47FA-A756-77FF3356A58E}" name="Column5743"/>
    <tableColumn id="5746" xr3:uid="{6C1323EF-B20F-46DE-A6C8-46C5DB6BC72E}" name="Column5744"/>
    <tableColumn id="5747" xr3:uid="{89E17143-05B8-42F6-994E-5B20E95A8763}" name="Column5745"/>
    <tableColumn id="5748" xr3:uid="{2B6F81AB-F416-45D1-B557-F6E1F0BED5C5}" name="Column5746"/>
    <tableColumn id="5749" xr3:uid="{5CC16E35-CD6E-43E2-A0EF-9337F570F618}" name="Column5747"/>
    <tableColumn id="5750" xr3:uid="{46A855F5-86EE-468D-8D6F-12220484D9BB}" name="Column5748"/>
    <tableColumn id="5751" xr3:uid="{3A78A42C-E5C9-4D48-907B-C00B07071031}" name="Column5749"/>
    <tableColumn id="5752" xr3:uid="{A7925554-8FE7-418D-8D07-082D0384EB3A}" name="Column5750"/>
    <tableColumn id="5753" xr3:uid="{ADDF2F06-0FCB-4B03-A432-E6B67AF055A5}" name="Column5751"/>
    <tableColumn id="5754" xr3:uid="{BEF1E52D-449D-482A-BDD9-F26F1173298F}" name="Column5752"/>
    <tableColumn id="5755" xr3:uid="{1CE76209-B931-4C5B-82F4-6CDC96B603B3}" name="Column5753"/>
    <tableColumn id="5756" xr3:uid="{CA48D09A-CEE6-4B71-BE15-A5214FDF7C56}" name="Column5754"/>
    <tableColumn id="5757" xr3:uid="{FE437B71-D9D9-44EC-A278-C7B34DDCC0D6}" name="Column5755"/>
    <tableColumn id="5758" xr3:uid="{5C1E79B6-5F00-4AE2-A769-2783F2C12220}" name="Column5756"/>
    <tableColumn id="5759" xr3:uid="{8AC6E0D1-53E3-4633-A728-D6F3D169FD28}" name="Column5757"/>
    <tableColumn id="5760" xr3:uid="{A138ADCC-2080-469D-B60D-88362F1EB2EC}" name="Column5758"/>
    <tableColumn id="5761" xr3:uid="{0A970834-1B7D-496F-8AFE-4392EF0D1D6B}" name="Column5759"/>
    <tableColumn id="5762" xr3:uid="{6D142574-3ABB-47C1-AA8B-55EF9A9164DF}" name="Column5760"/>
    <tableColumn id="5763" xr3:uid="{A265F979-6D6D-41BF-831F-4329533C1A95}" name="Column5761"/>
    <tableColumn id="5764" xr3:uid="{6AEC460B-3CEE-47D8-A096-3CF897A7464E}" name="Column5762"/>
    <tableColumn id="5765" xr3:uid="{39FDC28F-0BF2-4687-84E8-235904B91AC9}" name="Column5763"/>
    <tableColumn id="5766" xr3:uid="{7BE3BC9B-3E00-4A5D-85FA-CF6D5E798553}" name="Column5764"/>
    <tableColumn id="5767" xr3:uid="{B43093BC-5C7D-4804-9B3A-FA7D248D295A}" name="Column5765"/>
    <tableColumn id="5768" xr3:uid="{60444A45-8BA7-49E8-9C6B-D7A1C0E45F3D}" name="Column5766"/>
    <tableColumn id="5769" xr3:uid="{8CCCD909-6286-48C0-9509-F4A762EFBA6C}" name="Column5767"/>
    <tableColumn id="5770" xr3:uid="{F1CCC91C-39A6-4782-9320-4B8884F47798}" name="Column5768"/>
    <tableColumn id="5771" xr3:uid="{A7EE473F-8082-407F-9A11-2965F9E17DB4}" name="Column5769"/>
    <tableColumn id="5772" xr3:uid="{FA18D673-2EE9-4DFF-9610-0ACFD2BBAEB2}" name="Column5770"/>
    <tableColumn id="5773" xr3:uid="{7593E4DD-2E4F-4FD8-9156-330EF449D5FE}" name="Column5771"/>
    <tableColumn id="5774" xr3:uid="{D43B9078-C3B5-4D3E-85C2-F022D3859566}" name="Column5772"/>
    <tableColumn id="5775" xr3:uid="{B26F934C-BC8F-4AAF-B49F-3E1D30A8774B}" name="Column5773"/>
    <tableColumn id="5776" xr3:uid="{359F7B10-5A9B-4943-BC19-7283AAD05A63}" name="Column5774"/>
    <tableColumn id="5777" xr3:uid="{1D709A4E-3E7F-4525-9495-36B12F11A170}" name="Column5775"/>
    <tableColumn id="5778" xr3:uid="{9242B4BC-EE85-48AB-A1D9-7925712F9DD5}" name="Column5776"/>
    <tableColumn id="5779" xr3:uid="{B86EC53B-9ADC-457C-A0B1-05145719220C}" name="Column5777"/>
    <tableColumn id="5780" xr3:uid="{BD459610-7CFB-49CB-A1E8-EEB5D42A99C9}" name="Column5778"/>
    <tableColumn id="5781" xr3:uid="{73B2C14B-1AEB-40BB-914D-3564E2852172}" name="Column5779"/>
    <tableColumn id="5782" xr3:uid="{25A6A6E8-791A-4423-82B2-0E4F9F3373B6}" name="Column5780"/>
    <tableColumn id="5783" xr3:uid="{D819150B-8ABE-4EAA-A2DD-F020258BA534}" name="Column5781"/>
    <tableColumn id="5784" xr3:uid="{4DC372F6-4464-421F-8C8E-F2C4359C36E7}" name="Column5782"/>
    <tableColumn id="5785" xr3:uid="{BF1A5F32-6561-4E1D-8446-E26757A61E97}" name="Column5783"/>
    <tableColumn id="5786" xr3:uid="{B5697D47-1729-4CEB-94A7-013B83EE1E91}" name="Column5784"/>
    <tableColumn id="5787" xr3:uid="{BB55A33D-5121-4B0E-ABEC-BEE008CFA11B}" name="Column5785"/>
    <tableColumn id="5788" xr3:uid="{8B0AC8DE-F9AA-46AE-9C1D-254ADA7716EC}" name="Column5786"/>
    <tableColumn id="5789" xr3:uid="{C663D036-5EE2-4C08-861D-DE955BF915AB}" name="Column5787"/>
    <tableColumn id="5790" xr3:uid="{85D466DE-74E2-4C32-9674-7A01D1001230}" name="Column5788"/>
    <tableColumn id="5791" xr3:uid="{50253980-57BC-430A-90F2-1B7DD0625264}" name="Column5789"/>
    <tableColumn id="5792" xr3:uid="{1957AB38-9C19-4DAF-9208-3E5E30CA1AD6}" name="Column5790"/>
    <tableColumn id="5793" xr3:uid="{3DD485A8-AA72-4C2E-B4A7-F5E642E09011}" name="Column5791"/>
    <tableColumn id="5794" xr3:uid="{20F336B1-14A6-4433-921F-15D009B3F644}" name="Column5792"/>
    <tableColumn id="5795" xr3:uid="{B9F7C45C-0FA3-4963-89F9-1CB0E7AEE0A0}" name="Column5793"/>
    <tableColumn id="5796" xr3:uid="{8F8FD961-CCD2-4C85-B333-92EC23A4979D}" name="Column5794"/>
    <tableColumn id="5797" xr3:uid="{C353618D-1373-427B-BE15-855DA0844399}" name="Column5795"/>
    <tableColumn id="5798" xr3:uid="{78509875-2DBA-4DB2-A737-8BEC4BEA917B}" name="Column5796"/>
    <tableColumn id="5799" xr3:uid="{95FF84CE-D8FC-4F89-B20E-C1628DD30E86}" name="Column5797"/>
    <tableColumn id="5800" xr3:uid="{F28A0C62-4165-49C6-AEDF-6DB971E579B4}" name="Column5798"/>
    <tableColumn id="5801" xr3:uid="{A0AF54E4-D652-4297-BA08-D281BA69B069}" name="Column5799"/>
    <tableColumn id="5802" xr3:uid="{C9463564-8D10-4EB9-B176-1C874B916D7D}" name="Column5800"/>
    <tableColumn id="5803" xr3:uid="{A23530CA-728C-4597-8F48-D647BF525E8F}" name="Column5801"/>
    <tableColumn id="5804" xr3:uid="{EA0C8A40-7673-4AC0-AFAA-C2E321882AD2}" name="Column5802"/>
    <tableColumn id="5805" xr3:uid="{A454B5DC-5F03-439A-9D82-1E8A27887972}" name="Column5803"/>
    <tableColumn id="5806" xr3:uid="{54104858-1EFB-4F37-A4AF-C75142922380}" name="Column5804"/>
    <tableColumn id="5807" xr3:uid="{4A479E38-DF52-4238-8AC0-BC6E9F6C7607}" name="Column5805"/>
    <tableColumn id="5808" xr3:uid="{D97FABB0-E158-481D-9F54-EA0813CEDA02}" name="Column5806"/>
    <tableColumn id="5809" xr3:uid="{301306AD-FB6D-476E-A2A2-E5383A914E31}" name="Column5807"/>
    <tableColumn id="5810" xr3:uid="{1145BF64-502F-45C7-A654-A38C455C93DD}" name="Column5808"/>
    <tableColumn id="5811" xr3:uid="{EB209BB7-80C5-4B04-81D4-36DF11C3BFC5}" name="Column5809"/>
    <tableColumn id="5812" xr3:uid="{37721D52-932A-495F-A72C-DCF15DBA5774}" name="Column5810"/>
    <tableColumn id="5813" xr3:uid="{468C8865-317B-4FA0-952F-9869A58C58D3}" name="Column5811"/>
    <tableColumn id="5814" xr3:uid="{44AF5ED1-7EA2-47A0-A7A5-D8AE4F6FE6A5}" name="Column5812"/>
    <tableColumn id="5815" xr3:uid="{6B1277B8-AB80-4C67-92C0-46908A95C7FB}" name="Column5813"/>
    <tableColumn id="5816" xr3:uid="{EB343487-7697-42B6-A51B-6107B590E83C}" name="Column5814"/>
    <tableColumn id="5817" xr3:uid="{FA972DF0-59A3-4D8B-BDE9-EBCA8117E861}" name="Column5815"/>
    <tableColumn id="5818" xr3:uid="{64552411-2B8D-41AA-BDA0-D9BDC89DB571}" name="Column5816"/>
    <tableColumn id="5819" xr3:uid="{32375374-A708-4809-8969-8B5EEF8122F8}" name="Column5817"/>
    <tableColumn id="5820" xr3:uid="{A5F43218-D3F7-4A26-A503-2B45F11EC33C}" name="Column5818"/>
    <tableColumn id="5821" xr3:uid="{EF23EF98-5161-4F2D-9E21-8A428658B9CA}" name="Column5819"/>
    <tableColumn id="5822" xr3:uid="{9835DFF1-E6B7-4631-98D4-0D81B1DF1170}" name="Column5820"/>
    <tableColumn id="5823" xr3:uid="{018BC5D0-51EC-4421-9C95-C3ED9F2B829C}" name="Column5821"/>
    <tableColumn id="5824" xr3:uid="{090B6C45-7524-4E43-97CD-78C95B308F96}" name="Column5822"/>
    <tableColumn id="5825" xr3:uid="{7A57A9EA-2904-4B47-9014-AF323EC5AFC6}" name="Column5823"/>
    <tableColumn id="5826" xr3:uid="{4460B610-252A-4CEC-94FD-F5B2BECFC7D2}" name="Column5824"/>
    <tableColumn id="5827" xr3:uid="{6C9C29F5-8452-490D-9A5B-50B90D81936B}" name="Column5825"/>
    <tableColumn id="5828" xr3:uid="{F03775BF-E300-463F-8B44-24729F75F3A0}" name="Column5826"/>
    <tableColumn id="5829" xr3:uid="{927BF574-9B3B-4C85-8C78-1476E26EBC5B}" name="Column5827"/>
    <tableColumn id="5830" xr3:uid="{09DDBC15-DE1D-47BB-ACA0-B6CE35393D65}" name="Column5828"/>
    <tableColumn id="5831" xr3:uid="{D9B6EC96-22AF-4113-B316-ACCDBCC54B21}" name="Column5829"/>
    <tableColumn id="5832" xr3:uid="{49AEBA44-FCF0-404A-942E-00F04B74E0CA}" name="Column5830"/>
    <tableColumn id="5833" xr3:uid="{FDB5DD65-E1DE-4E90-91A7-B050AEBADC0D}" name="Column5831"/>
    <tableColumn id="5834" xr3:uid="{7D826FA9-38B1-4729-8E13-28D91AAC88A9}" name="Column5832"/>
    <tableColumn id="5835" xr3:uid="{FFC314A1-B573-48CC-BDC3-F3912C4368CC}" name="Column5833"/>
    <tableColumn id="5836" xr3:uid="{95BEFEFB-81F9-48CF-A794-DA024A47D218}" name="Column5834"/>
    <tableColumn id="5837" xr3:uid="{0DF67A6F-E93B-4061-8F65-BF6FA48B73B3}" name="Column5835"/>
    <tableColumn id="5838" xr3:uid="{EF4A2E4C-DCA2-4F86-9B68-315083C339C7}" name="Column5836"/>
    <tableColumn id="5839" xr3:uid="{4F612ED1-D0FF-4BBD-82D7-F56EEFF2AE14}" name="Column5837"/>
    <tableColumn id="5840" xr3:uid="{68C29B29-2596-4394-99C1-FEF7D4CBE250}" name="Column5838"/>
    <tableColumn id="5841" xr3:uid="{98CB6930-393B-4712-95C2-5AA17D7568CD}" name="Column5839"/>
    <tableColumn id="5842" xr3:uid="{6B54B69B-07CC-4C39-BF0F-332C0C4E0E8F}" name="Column5840"/>
    <tableColumn id="5843" xr3:uid="{CCE94A16-153F-4011-A0E6-4A20F469129F}" name="Column5841"/>
    <tableColumn id="5844" xr3:uid="{351DB16F-B307-4F65-838F-37AC9427CC52}" name="Column5842"/>
    <tableColumn id="5845" xr3:uid="{1CCF3FF5-11B3-4AF1-B595-1AEAD0234BCD}" name="Column5843"/>
    <tableColumn id="5846" xr3:uid="{565026AA-67E8-4C43-A739-A493DB0952B3}" name="Column5844"/>
    <tableColumn id="5847" xr3:uid="{9CC9131B-EEB0-47E5-A307-9573DAA8A0E4}" name="Column5845"/>
    <tableColumn id="5848" xr3:uid="{0C7A4244-2152-49AD-B0F9-465CAFFA1300}" name="Column5846"/>
    <tableColumn id="5849" xr3:uid="{20896104-91D7-44B8-86C5-114F1F9FE224}" name="Column5847"/>
    <tableColumn id="5850" xr3:uid="{D1EB96E4-4A14-4AB2-B136-FD0D035DA0E4}" name="Column5848"/>
    <tableColumn id="5851" xr3:uid="{8CF0A501-3BB5-492A-8987-9CAA272CF37C}" name="Column5849"/>
    <tableColumn id="5852" xr3:uid="{C62B9187-BBB7-4E2D-BB34-E59A006DC160}" name="Column5850"/>
    <tableColumn id="5853" xr3:uid="{58BF75B2-B1C6-441B-9186-AC1271B81562}" name="Column5851"/>
    <tableColumn id="5854" xr3:uid="{B046DB41-517D-472A-A0D6-F949306F2EF7}" name="Column5852"/>
    <tableColumn id="5855" xr3:uid="{FE9C0B4D-7D31-479A-ABE8-D01FF14D7A3D}" name="Column5853"/>
    <tableColumn id="5856" xr3:uid="{2B5A5AE7-945B-4480-A6AB-DB51403EC450}" name="Column5854"/>
    <tableColumn id="5857" xr3:uid="{337155DC-25A3-4879-B37B-1B0DFDFF9310}" name="Column5855"/>
    <tableColumn id="5858" xr3:uid="{D77D7C14-2B00-45DD-94A3-D0FA49158B14}" name="Column5856"/>
    <tableColumn id="5859" xr3:uid="{2BF36D8F-436B-4F9D-91FA-1C32739AB2DC}" name="Column5857"/>
    <tableColumn id="5860" xr3:uid="{9E4A02C4-7F2A-4330-9773-A9CF4F71FB5F}" name="Column5858"/>
    <tableColumn id="5861" xr3:uid="{2121A8D2-48DA-4DE9-A081-AC0D2B969274}" name="Column5859"/>
    <tableColumn id="5862" xr3:uid="{731EDF96-1A90-407F-98EB-E929F6D4FB5A}" name="Column5860"/>
    <tableColumn id="5863" xr3:uid="{A598DBA7-EBFC-4AB8-976E-81A5417C3DE5}" name="Column5861"/>
    <tableColumn id="5864" xr3:uid="{9E933F87-F41B-4EC0-B82D-91FAA9C38B93}" name="Column5862"/>
    <tableColumn id="5865" xr3:uid="{AC650481-AFF5-4E68-A49C-EB17AC01B563}" name="Column5863"/>
    <tableColumn id="5866" xr3:uid="{119FA8A1-715B-4B91-B923-A31E940569C0}" name="Column5864"/>
    <tableColumn id="5867" xr3:uid="{DFEC03B6-B2E5-4634-8379-8893EBB36DF8}" name="Column5865"/>
    <tableColumn id="5868" xr3:uid="{CE5D5750-5AB7-4881-97E3-D08EF485AE7B}" name="Column5866"/>
    <tableColumn id="5869" xr3:uid="{3EC3C7D7-3B8D-43AA-825A-1B92E2E27560}" name="Column5867"/>
    <tableColumn id="5870" xr3:uid="{74F43B6C-C50E-4316-9A6D-2D46A5580CF5}" name="Column5868"/>
    <tableColumn id="5871" xr3:uid="{C87F4536-8501-4AFB-8E31-617C1E36B824}" name="Column5869"/>
    <tableColumn id="5872" xr3:uid="{BCCD29EC-41B6-4AE4-A894-E4C34BBA6298}" name="Column5870"/>
    <tableColumn id="5873" xr3:uid="{5D696D65-D911-426B-BBD0-40AD581BD29B}" name="Column5871"/>
    <tableColumn id="5874" xr3:uid="{4826DEF5-8C84-40B1-A04D-B1D87DF62B47}" name="Column5872"/>
    <tableColumn id="5875" xr3:uid="{48E0288D-2C0B-4BAC-874F-41F9D24065E1}" name="Column5873"/>
    <tableColumn id="5876" xr3:uid="{FB44687B-D748-4ADB-AD07-54E7AB4F9061}" name="Column5874"/>
    <tableColumn id="5877" xr3:uid="{69FB55D7-B738-4AD5-B6E5-8EE765E4AA7D}" name="Column5875"/>
    <tableColumn id="5878" xr3:uid="{629E6D3C-12A5-4A29-8FF0-3C4E6B2612B8}" name="Column5876"/>
    <tableColumn id="5879" xr3:uid="{939DD335-87DD-44CD-AC6B-567F04323D1C}" name="Column5877"/>
    <tableColumn id="5880" xr3:uid="{32834A91-3B8A-402F-A765-D1A3F693524F}" name="Column5878"/>
    <tableColumn id="5881" xr3:uid="{7C264F1E-AA77-4463-B072-2C6C439E1138}" name="Column5879"/>
    <tableColumn id="5882" xr3:uid="{8971AD3E-E482-4B4A-A062-F046107BDFC0}" name="Column5880"/>
    <tableColumn id="5883" xr3:uid="{3A31936F-AC07-4E8B-BEB3-9E24EC54825E}" name="Column5881"/>
    <tableColumn id="5884" xr3:uid="{855632BB-38FF-4607-A59D-7FFF3B7868E4}" name="Column5882"/>
    <tableColumn id="5885" xr3:uid="{1878680F-E932-4C5D-8D05-CBA0034F0FF4}" name="Column5883"/>
    <tableColumn id="5886" xr3:uid="{6503DDCF-1298-4C65-8348-0E4305715873}" name="Column5884"/>
    <tableColumn id="5887" xr3:uid="{9820EC6E-48FB-44B4-A0B5-E53A8C8BBF87}" name="Column5885"/>
    <tableColumn id="5888" xr3:uid="{95E425D4-EE5A-4EA3-869D-B9B3F1EDE3EA}" name="Column5886"/>
    <tableColumn id="5889" xr3:uid="{8E8814DC-6187-4AEB-9E99-0160E19AFA61}" name="Column5887"/>
    <tableColumn id="5890" xr3:uid="{84C194D9-E336-44CC-A2C3-EE0D38860D40}" name="Column5888"/>
    <tableColumn id="5891" xr3:uid="{5698ED00-EB67-4F65-A556-A31E84712B21}" name="Column5889"/>
    <tableColumn id="5892" xr3:uid="{C8E122DE-A9D0-44E7-86ED-1A377427DE55}" name="Column5890"/>
    <tableColumn id="5893" xr3:uid="{5E74A4C2-F211-4ADE-9599-E13A68A89EE5}" name="Column5891"/>
    <tableColumn id="5894" xr3:uid="{A1588812-83A1-4852-B806-53A32669F942}" name="Column5892"/>
    <tableColumn id="5895" xr3:uid="{0D30DBA8-2C4D-4EB9-A2F3-CCC85FAF5BAD}" name="Column5893"/>
    <tableColumn id="5896" xr3:uid="{D03F0072-0AAB-4358-A766-F030DCBD0CB5}" name="Column5894"/>
    <tableColumn id="5897" xr3:uid="{3C874EF0-AC15-4EAF-A1F7-BF06F8046CE4}" name="Column5895"/>
    <tableColumn id="5898" xr3:uid="{EAAD1A61-9721-4B9C-8327-F49D209EEBE9}" name="Column5896"/>
    <tableColumn id="5899" xr3:uid="{2EECF6B9-5C90-4E12-876C-C330D23B63E1}" name="Column5897"/>
    <tableColumn id="5900" xr3:uid="{077BE23F-9A81-40F8-9E1F-EC86010F1277}" name="Column5898"/>
    <tableColumn id="5901" xr3:uid="{1DB837F2-6593-47A7-92A9-C085CB1F26DC}" name="Column5899"/>
    <tableColumn id="5902" xr3:uid="{C74E3E0A-B465-448A-8CC6-B373804C41E7}" name="Column5900"/>
    <tableColumn id="5903" xr3:uid="{9985513E-925C-449B-8106-8B1CA915AB66}" name="Column5901"/>
    <tableColumn id="5904" xr3:uid="{7E33C978-D5CB-4F22-9B96-D915A70512F7}" name="Column5902"/>
    <tableColumn id="5905" xr3:uid="{8A5E3E99-FC43-4527-A5CC-60BE3FD63DEF}" name="Column5903"/>
    <tableColumn id="5906" xr3:uid="{086718F0-6D1E-412D-A45F-45BEC0AC200C}" name="Column5904"/>
    <tableColumn id="5907" xr3:uid="{8C0ABCDF-50A8-48F0-A69C-98186D525DEA}" name="Column5905"/>
    <tableColumn id="5908" xr3:uid="{8A08F165-1DFC-44EA-A164-8F67546EF3FE}" name="Column5906"/>
    <tableColumn id="5909" xr3:uid="{C750D982-ACA4-4CCD-BAD1-E890BC5DEC65}" name="Column5907"/>
    <tableColumn id="5910" xr3:uid="{3674C239-1766-400F-936A-5FF7F5A18D72}" name="Column5908"/>
    <tableColumn id="5911" xr3:uid="{3974C557-7FD1-4B94-9E7E-65C171EC5F2C}" name="Column5909"/>
    <tableColumn id="5912" xr3:uid="{D51FF410-3F57-4971-B4DE-4BF56013AF65}" name="Column5910"/>
    <tableColumn id="5913" xr3:uid="{E5CF4472-CD51-43AA-A48B-997F146361CD}" name="Column5911"/>
    <tableColumn id="5914" xr3:uid="{5193D997-11F3-4319-A723-C11FE67BDB60}" name="Column5912"/>
    <tableColumn id="5915" xr3:uid="{55629A10-686A-42BC-9A2A-733E26F320AB}" name="Column5913"/>
    <tableColumn id="5916" xr3:uid="{CB1ADF8B-AB02-4E41-AD3D-1239AA4E0A43}" name="Column5914"/>
    <tableColumn id="5917" xr3:uid="{D292D05D-D569-43E8-A4B3-0BE5A70C7E9F}" name="Column5915"/>
    <tableColumn id="5918" xr3:uid="{1F304C2B-CD74-49BA-8DB2-DCB289876269}" name="Column5916"/>
    <tableColumn id="5919" xr3:uid="{02B21C00-0AFE-414C-9802-AB8BF008DB48}" name="Column5917"/>
    <tableColumn id="5920" xr3:uid="{7E75361A-FF98-4EB6-A5A9-FDEFF1886AD4}" name="Column5918"/>
    <tableColumn id="5921" xr3:uid="{9A12EF34-6DD4-438B-8B86-07737E7BB297}" name="Column5919"/>
    <tableColumn id="5922" xr3:uid="{9D4BCC14-7B21-4ABA-AF85-218CB03AA57A}" name="Column5920"/>
    <tableColumn id="5923" xr3:uid="{F6119495-0985-418F-807E-1BEA82B23509}" name="Column5921"/>
    <tableColumn id="5924" xr3:uid="{B010314B-C3EB-48F4-BB52-7489B8E3E624}" name="Column5922"/>
    <tableColumn id="5925" xr3:uid="{DD47F699-19D2-43DE-A21B-A7A255DB192A}" name="Column5923"/>
    <tableColumn id="5926" xr3:uid="{C6C6FD8F-5682-44CD-84D7-4AF423503398}" name="Column5924"/>
    <tableColumn id="5927" xr3:uid="{26F42012-E6A9-4E43-A4C5-666D761F1ECA}" name="Column5925"/>
    <tableColumn id="5928" xr3:uid="{07E21346-1862-4813-AC1B-072947D68A41}" name="Column5926"/>
    <tableColumn id="5929" xr3:uid="{A0AF0B9A-E324-4FB2-BCF5-CAD8A47AF8AA}" name="Column5927"/>
    <tableColumn id="5930" xr3:uid="{F80D31B4-0F6B-44EA-B1A7-635E64C4D63C}" name="Column5928"/>
    <tableColumn id="5931" xr3:uid="{062F775C-A0AF-493E-B8B0-479AE842DCA6}" name="Column5929"/>
    <tableColumn id="5932" xr3:uid="{226AE274-33C5-42C6-9C6D-35CA5141FE04}" name="Column5930"/>
    <tableColumn id="5933" xr3:uid="{6565BD1E-CE3E-4831-AE62-E34932408F1A}" name="Column5931"/>
    <tableColumn id="5934" xr3:uid="{422D152E-1A76-4CAF-8F86-D18FE8DE32E2}" name="Column5932"/>
    <tableColumn id="5935" xr3:uid="{463269A7-378F-4697-9AE0-365E69BB0766}" name="Column5933"/>
    <tableColumn id="5936" xr3:uid="{42266C81-C882-4BDF-833B-0583206100AF}" name="Column5934"/>
    <tableColumn id="5937" xr3:uid="{99B99199-81D3-48EC-AA6A-4CA91ABD9691}" name="Column5935"/>
    <tableColumn id="5938" xr3:uid="{87FED7DE-38A7-4B91-B1BF-CCFE577612CB}" name="Column5936"/>
    <tableColumn id="5939" xr3:uid="{80883C7D-C03B-4F67-B5DD-40B03B9BF8DE}" name="Column5937"/>
    <tableColumn id="5940" xr3:uid="{4B5A1A9D-323F-428D-8080-39071A00B306}" name="Column5938"/>
    <tableColumn id="5941" xr3:uid="{B94ABF42-F11C-45AE-AFE2-B4BD30D948E1}" name="Column5939"/>
    <tableColumn id="5942" xr3:uid="{584FFAC6-9F7E-46C7-AA33-4AFF0F9D8AC5}" name="Column5940"/>
    <tableColumn id="5943" xr3:uid="{0840B750-C12B-47C3-B9AB-F5E0D2B5C6D5}" name="Column5941"/>
    <tableColumn id="5944" xr3:uid="{D307ABA1-84C7-47D6-B8EE-CCBE0F12172C}" name="Column5942"/>
    <tableColumn id="5945" xr3:uid="{35F9E30C-7057-4E1B-8ECF-305DBF3DC146}" name="Column5943"/>
    <tableColumn id="5946" xr3:uid="{2661A38A-E8FE-4D47-B0ED-0536657B44A0}" name="Column5944"/>
    <tableColumn id="5947" xr3:uid="{F390AA13-1C23-47FF-89FF-38EE48E5FE18}" name="Column5945"/>
    <tableColumn id="5948" xr3:uid="{146C2703-C015-40EE-A258-9841FCE4EFDE}" name="Column5946"/>
    <tableColumn id="5949" xr3:uid="{9DBDC10D-144E-44F8-892B-404E81A06A73}" name="Column5947"/>
    <tableColumn id="5950" xr3:uid="{B9A026B8-867D-43AD-B09F-006B1F2BB41A}" name="Column5948"/>
    <tableColumn id="5951" xr3:uid="{AC90F446-75D7-41C3-9C2E-7AE02FC863F5}" name="Column5949"/>
    <tableColumn id="5952" xr3:uid="{36C8B318-D69C-443A-B1FF-4879792F6BE3}" name="Column5950"/>
    <tableColumn id="5953" xr3:uid="{21EFD4F8-8F22-4ACA-AA65-4AB8B9B38C13}" name="Column5951"/>
    <tableColumn id="5954" xr3:uid="{25BDA830-D1C4-4746-BC05-811D4B063ABE}" name="Column5952"/>
    <tableColumn id="5955" xr3:uid="{6B13966C-3CE1-4851-B6D5-CAD887A329F7}" name="Column5953"/>
    <tableColumn id="5956" xr3:uid="{45A542EB-7784-458E-B1F1-5ADAE98602FE}" name="Column5954"/>
    <tableColumn id="5957" xr3:uid="{D0A4197A-0B4A-40EF-8D8A-93C6EF875167}" name="Column5955"/>
    <tableColumn id="5958" xr3:uid="{AFF86520-F9C0-449B-90DE-2482537100C4}" name="Column5956"/>
    <tableColumn id="5959" xr3:uid="{AF6BEA12-C2B4-45E0-9CE5-1A3279A41ECD}" name="Column5957"/>
    <tableColumn id="5960" xr3:uid="{0660416F-8980-4025-AF4A-E8154715E204}" name="Column5958"/>
    <tableColumn id="5961" xr3:uid="{8FFE69F3-E004-4AA9-948F-C390D0540293}" name="Column5959"/>
    <tableColumn id="5962" xr3:uid="{2F77123E-F1B7-4E7C-A9A7-084952773E99}" name="Column5960"/>
    <tableColumn id="5963" xr3:uid="{CF295141-587D-44BB-B092-2EF86F49E161}" name="Column5961"/>
    <tableColumn id="5964" xr3:uid="{7207AB8B-EDFF-4061-A938-DA58A90A0AB1}" name="Column5962"/>
    <tableColumn id="5965" xr3:uid="{A7044846-FBFB-42D6-B30A-0C4FA61BC34D}" name="Column5963"/>
    <tableColumn id="5966" xr3:uid="{0A6055F0-3144-49C5-A574-9E364E3827BE}" name="Column5964"/>
    <tableColumn id="5967" xr3:uid="{04BA4159-A7D5-43B8-85E2-4523F04A1948}" name="Column5965"/>
    <tableColumn id="5968" xr3:uid="{5F8A0D87-13E8-4355-BE15-36A187C48D2C}" name="Column5966"/>
    <tableColumn id="5969" xr3:uid="{29769E50-689B-4393-8B4F-3237F9C2CD81}" name="Column5967"/>
    <tableColumn id="5970" xr3:uid="{27F6B06E-04B6-43FC-90F8-D5E87A962EF8}" name="Column5968"/>
    <tableColumn id="5971" xr3:uid="{F0F50F1B-554B-4E99-9C58-07C4AA7184ED}" name="Column5969"/>
    <tableColumn id="5972" xr3:uid="{736D03F6-C722-4B9F-B5B8-ED89FD992760}" name="Column5970"/>
    <tableColumn id="5973" xr3:uid="{AB5F3D6E-4015-4163-808E-DFA18AD9CEBE}" name="Column5971"/>
    <tableColumn id="5974" xr3:uid="{3BA02572-2CC8-46ED-B9FE-504D8FF913E3}" name="Column5972"/>
    <tableColumn id="5975" xr3:uid="{44225E16-6373-419A-8CDF-01022765BAF2}" name="Column5973"/>
    <tableColumn id="5976" xr3:uid="{E55C813A-7165-46B4-879D-C4CB2F5ADCB3}" name="Column5974"/>
    <tableColumn id="5977" xr3:uid="{CD537D9A-ECC4-42F5-BDA2-E0ECC6C2A166}" name="Column5975"/>
    <tableColumn id="5978" xr3:uid="{6B63685D-287D-4FED-BF1B-9135A029A004}" name="Column5976"/>
    <tableColumn id="5979" xr3:uid="{D6F7AFDB-CF6C-46E2-8B04-74477271EEDC}" name="Column5977"/>
    <tableColumn id="5980" xr3:uid="{F0523A91-FA64-40C9-85FF-9A1980DD5BCF}" name="Column5978"/>
    <tableColumn id="5981" xr3:uid="{A02CE128-C342-4AC4-875C-90CBA8496CA3}" name="Column5979"/>
    <tableColumn id="5982" xr3:uid="{8F449D43-5081-45C0-A22B-A402185C53CE}" name="Column5980"/>
    <tableColumn id="5983" xr3:uid="{AD8E7D33-76E1-40E3-875D-AEDC58EBC3F8}" name="Column5981"/>
    <tableColumn id="5984" xr3:uid="{D2AFD142-6160-41FE-91DD-D86F13058C27}" name="Column5982"/>
    <tableColumn id="5985" xr3:uid="{0F815440-6EDA-490D-894E-D206186C1A6F}" name="Column5983"/>
    <tableColumn id="5986" xr3:uid="{CF339308-E607-447A-8286-5E6C0636F56E}" name="Column5984"/>
    <tableColumn id="5987" xr3:uid="{268B8AF2-06ED-42E2-80FA-15F8604390B6}" name="Column5985"/>
    <tableColumn id="5988" xr3:uid="{1B349244-833C-445A-9BA7-033D3AF712B0}" name="Column5986"/>
    <tableColumn id="5989" xr3:uid="{8753E4D7-67B7-40F3-81B2-69784F996324}" name="Column5987"/>
    <tableColumn id="5990" xr3:uid="{DF757765-2391-476D-992E-307826F42354}" name="Column5988"/>
    <tableColumn id="5991" xr3:uid="{133468E5-DA0F-4634-8BDF-95059D4AA61A}" name="Column5989"/>
    <tableColumn id="5992" xr3:uid="{A50AC890-5B12-46A6-AA6B-B2A3E45B7846}" name="Column5990"/>
    <tableColumn id="5993" xr3:uid="{A8462704-5192-4264-A14C-8C94D589ECD8}" name="Column5991"/>
    <tableColumn id="5994" xr3:uid="{F7991D99-93EA-478E-8028-D730584A3C86}" name="Column5992"/>
    <tableColumn id="5995" xr3:uid="{CBDE3AE0-5D5E-4CBD-9628-1011EA626572}" name="Column5993"/>
    <tableColumn id="5996" xr3:uid="{29AFBD0D-AB7F-4F75-A99F-8D36F5D04BAE}" name="Column5994"/>
    <tableColumn id="5997" xr3:uid="{710E7984-6F56-4AAA-8EC3-9EE8CE7571A7}" name="Column5995"/>
    <tableColumn id="5998" xr3:uid="{267C47A7-032C-4717-BB45-D2DC02B35223}" name="Column5996"/>
    <tableColumn id="5999" xr3:uid="{1C5D5C87-986F-4EFC-806E-7BD850BA97B9}" name="Column5997"/>
    <tableColumn id="6000" xr3:uid="{C011B025-B7B5-41A8-B4EB-13EB74F05EEF}" name="Column5998"/>
    <tableColumn id="6001" xr3:uid="{4F375B5B-20B3-4901-A12F-35DC1A40955F}" name="Column5999"/>
    <tableColumn id="6002" xr3:uid="{3AC64F0C-40FA-4265-AC6E-35EFEC8D9113}" name="Column6000"/>
    <tableColumn id="6003" xr3:uid="{1CF6EFB5-0BC7-401F-A297-1AEB7C86AB76}" name="Column6001"/>
    <tableColumn id="6004" xr3:uid="{1AE16CC3-1F6C-4AE5-8536-C25EAAB2F335}" name="Column6002"/>
    <tableColumn id="6005" xr3:uid="{4C26B8BA-9770-42D0-A4BB-23BF6D4B65D2}" name="Column6003"/>
    <tableColumn id="6006" xr3:uid="{72FFD5A7-2BE9-4886-8368-E8BAB04ACECE}" name="Column6004"/>
    <tableColumn id="6007" xr3:uid="{118883A9-D30D-4C17-A7C9-B0E713493C71}" name="Column6005"/>
    <tableColumn id="6008" xr3:uid="{2329D8B8-599E-4ECD-948D-FDFC2033F2D7}" name="Column6006"/>
    <tableColumn id="6009" xr3:uid="{305AE1BA-5FEC-4D4C-9C39-163A7E32C575}" name="Column6007"/>
    <tableColumn id="6010" xr3:uid="{88C0DC76-B26B-4570-94AC-B4B02428B8B5}" name="Column6008"/>
    <tableColumn id="6011" xr3:uid="{EC236FD2-3254-4A25-AFCC-2BC3A7D8901B}" name="Column6009"/>
    <tableColumn id="6012" xr3:uid="{7B5B5399-2387-4AC1-9159-9D898AD8AEF4}" name="Column6010"/>
    <tableColumn id="6013" xr3:uid="{12A72BD3-B126-4A68-8E55-3444E6CD7B8C}" name="Column6011"/>
    <tableColumn id="6014" xr3:uid="{D4AA58F1-A552-4030-9F57-04A1A20D7489}" name="Column6012"/>
    <tableColumn id="6015" xr3:uid="{34F9E10D-53C2-4415-A0AD-67CD4A2569EA}" name="Column6013"/>
    <tableColumn id="6016" xr3:uid="{479BFB9F-374F-4CB0-869B-0DE4F88AFCEB}" name="Column6014"/>
    <tableColumn id="6017" xr3:uid="{E1100081-3AAA-4639-B65B-5C81353BABA5}" name="Column6015"/>
    <tableColumn id="6018" xr3:uid="{4B42CB01-1E38-48F9-96FF-8B032C424CC9}" name="Column6016"/>
    <tableColumn id="6019" xr3:uid="{F6D0DE1A-9B1D-4681-9373-EED43481B2A8}" name="Column6017"/>
    <tableColumn id="6020" xr3:uid="{535AAC45-BA13-4390-B392-A28583B14D6F}" name="Column6018"/>
    <tableColumn id="6021" xr3:uid="{EA3D3CB7-FF3B-4056-906B-0C98FA95B322}" name="Column6019"/>
    <tableColumn id="6022" xr3:uid="{52531CB5-62E9-496D-A6A4-B6B6D7092935}" name="Column6020"/>
    <tableColumn id="6023" xr3:uid="{9DFB26BF-C3D1-4A9F-9126-735C3FCB8EFB}" name="Column6021"/>
    <tableColumn id="6024" xr3:uid="{6AFB2E17-EDEF-4FC3-A214-ACDBCC5D6323}" name="Column6022"/>
    <tableColumn id="6025" xr3:uid="{93C64239-36C6-4E92-AD77-CBD18C8AA25B}" name="Column6023"/>
    <tableColumn id="6026" xr3:uid="{35CA8105-8C95-40B2-B0D9-2CABAE206B48}" name="Column6024"/>
    <tableColumn id="6027" xr3:uid="{A82A1241-8194-4895-ABDB-25BE76E8D51C}" name="Column6025"/>
    <tableColumn id="6028" xr3:uid="{E78EB284-E0AA-41AF-9B1B-462E9221D1C9}" name="Column6026"/>
    <tableColumn id="6029" xr3:uid="{620F2802-6EFB-4887-B816-717C911EC756}" name="Column6027"/>
    <tableColumn id="6030" xr3:uid="{245AE423-5C6A-40AF-91C7-3B0599785C74}" name="Column6028"/>
    <tableColumn id="6031" xr3:uid="{74C9FDD7-0667-45A2-9C6E-5E52F55A81CB}" name="Column6029"/>
    <tableColumn id="6032" xr3:uid="{62266F7D-EF81-4DF0-8216-1135BEFC90C1}" name="Column6030"/>
    <tableColumn id="6033" xr3:uid="{68EBB804-BCE0-42CB-8572-88DF05627E17}" name="Column6031"/>
    <tableColumn id="6034" xr3:uid="{508A69CE-72B6-4331-9C2F-84DB5E1DAD88}" name="Column6032"/>
    <tableColumn id="6035" xr3:uid="{7E7A2B71-FE53-4320-81E2-63E9E4A7A751}" name="Column6033"/>
    <tableColumn id="6036" xr3:uid="{C4B3DFD1-FD54-4721-BD7B-5BB7A32A8207}" name="Column6034"/>
    <tableColumn id="6037" xr3:uid="{6390B923-2DA9-4A0F-9E6F-F9B02495637C}" name="Column6035"/>
    <tableColumn id="6038" xr3:uid="{98C9D566-2DC1-4DF7-9D1D-A6D7B9046CF7}" name="Column6036"/>
    <tableColumn id="6039" xr3:uid="{609A4D73-A706-469B-984C-51A6735F2C0D}" name="Column6037"/>
    <tableColumn id="6040" xr3:uid="{189EA196-223A-4F70-96F0-20E2FEB02422}" name="Column6038"/>
    <tableColumn id="6041" xr3:uid="{0DBE15F7-A30E-4151-A405-6384330E715E}" name="Column6039"/>
    <tableColumn id="6042" xr3:uid="{B359FCEE-D104-4566-852C-C356E3037F1B}" name="Column6040"/>
    <tableColumn id="6043" xr3:uid="{AC6D2172-4D6C-4C47-B55A-34E0F1AA35B0}" name="Column6041"/>
    <tableColumn id="6044" xr3:uid="{0055ED37-DC57-40ED-8FF9-2029BB3B0F6A}" name="Column6042"/>
    <tableColumn id="6045" xr3:uid="{138ABBB8-C8DF-45F5-B1EA-B0E04475A471}" name="Column6043"/>
    <tableColumn id="6046" xr3:uid="{3CF1FD1E-CD73-4BB1-B4B5-0EE5B0A8C75B}" name="Column6044"/>
    <tableColumn id="6047" xr3:uid="{C58277D5-7B03-4A27-B35B-E276C63158A5}" name="Column6045"/>
    <tableColumn id="6048" xr3:uid="{2FCD521B-1064-4ED7-A750-9F8C643DFB76}" name="Column6046"/>
    <tableColumn id="6049" xr3:uid="{0B9D2A44-F923-4868-B0DE-BC0EC1B3F829}" name="Column6047"/>
    <tableColumn id="6050" xr3:uid="{0B7D95C8-D61B-4E4A-BD12-B4945F099C37}" name="Column6048"/>
    <tableColumn id="6051" xr3:uid="{8E528982-19B6-478B-B755-A4C302AF8A24}" name="Column6049"/>
    <tableColumn id="6052" xr3:uid="{BC71A497-7597-42FA-8147-4E2B753FE0A8}" name="Column6050"/>
    <tableColumn id="6053" xr3:uid="{3FE6CD44-C767-4D6C-8E77-28B3EF9BF511}" name="Column6051"/>
    <tableColumn id="6054" xr3:uid="{F8528756-2AE6-4C35-8EDE-BBDD97FEB689}" name="Column6052"/>
    <tableColumn id="6055" xr3:uid="{C61E7FAA-6472-4B55-A8E5-367262A7B5FC}" name="Column6053"/>
    <tableColumn id="6056" xr3:uid="{9276CF9B-C188-4E96-8E43-D1F4C278782E}" name="Column6054"/>
    <tableColumn id="6057" xr3:uid="{5D87150D-75D1-45F1-9708-783D9E93ECCB}" name="Column6055"/>
    <tableColumn id="6058" xr3:uid="{E4F6368B-4398-4235-A4C9-247B4F484B90}" name="Column6056"/>
    <tableColumn id="6059" xr3:uid="{0FDF4274-F5B3-4BEE-B52A-C352FF1B01BE}" name="Column6057"/>
    <tableColumn id="6060" xr3:uid="{65B85274-AE3F-4B0F-A8E2-03C395882A07}" name="Column6058"/>
    <tableColumn id="6061" xr3:uid="{7348918C-722D-461F-91F2-86B08909E66B}" name="Column6059"/>
    <tableColumn id="6062" xr3:uid="{898D08AB-7F2D-4BD8-9421-43BBC6897C8D}" name="Column6060"/>
    <tableColumn id="6063" xr3:uid="{6A87D5F7-C005-466C-8628-4C70326BA361}" name="Column6061"/>
    <tableColumn id="6064" xr3:uid="{B1F7226B-1E0E-4F9C-B79C-76B6B36F8310}" name="Column6062"/>
    <tableColumn id="6065" xr3:uid="{C84C4EB8-3A4B-4B15-99E4-9EAE86B04A67}" name="Column6063"/>
    <tableColumn id="6066" xr3:uid="{996E913A-AFFF-4CF8-B025-40C1B3C85A09}" name="Column6064"/>
    <tableColumn id="6067" xr3:uid="{82CE482B-1586-4A0F-B6AF-ED7B7676AC00}" name="Column6065"/>
    <tableColumn id="6068" xr3:uid="{5F1E2F0E-4732-4858-87AD-C26FC1275E1B}" name="Column6066"/>
    <tableColumn id="6069" xr3:uid="{872A33CA-D287-4DD9-87A3-65DF1D1B1391}" name="Column6067"/>
    <tableColumn id="6070" xr3:uid="{3D2C1259-13DF-4FCC-873E-CB57CCE77EC5}" name="Column6068"/>
    <tableColumn id="6071" xr3:uid="{9AD6920D-FDF2-48C6-A279-7C313C97868C}" name="Column6069"/>
    <tableColumn id="6072" xr3:uid="{0B52A245-5C03-48D2-B64D-68BC16C6F196}" name="Column6070"/>
    <tableColumn id="6073" xr3:uid="{EDA18227-29BA-47F7-872E-CA7DF7EAE394}" name="Column6071"/>
    <tableColumn id="6074" xr3:uid="{437A4600-9ED4-4546-B23F-4D6408DFC7D5}" name="Column6072"/>
    <tableColumn id="6075" xr3:uid="{2CD46C51-562F-436A-B6E5-A367988DA174}" name="Column6073"/>
    <tableColumn id="6076" xr3:uid="{1FD8BC53-ED85-4E72-9462-C8DE99F4D3A9}" name="Column6074"/>
    <tableColumn id="6077" xr3:uid="{F1599F29-7B3F-4166-8CD9-8290DA497343}" name="Column6075"/>
    <tableColumn id="6078" xr3:uid="{C5908294-6A8F-4963-B85E-CCCE92157667}" name="Column6076"/>
    <tableColumn id="6079" xr3:uid="{E961A881-4984-4A28-97E7-B7C60CE507BF}" name="Column6077"/>
    <tableColumn id="6080" xr3:uid="{8A1A17C2-7BBC-4BE5-9AD0-1AE63D0C1188}" name="Column6078"/>
    <tableColumn id="6081" xr3:uid="{014535EE-1121-4D20-876E-AF86FEB40C33}" name="Column6079"/>
    <tableColumn id="6082" xr3:uid="{3A97B092-3D6E-4A0D-8156-0CF53D307F27}" name="Column6080"/>
    <tableColumn id="6083" xr3:uid="{68AC9F19-D41B-411C-BE2D-A4F33431B902}" name="Column6081"/>
    <tableColumn id="6084" xr3:uid="{4323985D-5454-4B78-B559-DDFD1F367C41}" name="Column6082"/>
    <tableColumn id="6085" xr3:uid="{F30950BC-5281-4243-B995-FD28D7C314D1}" name="Column6083"/>
    <tableColumn id="6086" xr3:uid="{50E7972C-6509-461F-BF7E-C024F564F47E}" name="Column6084"/>
    <tableColumn id="6087" xr3:uid="{E6EDA892-05F8-47B9-8399-455CCA64921C}" name="Column6085"/>
    <tableColumn id="6088" xr3:uid="{C9B1FB09-A2F2-4F59-9C02-E3F865A221D1}" name="Column6086"/>
    <tableColumn id="6089" xr3:uid="{D70AF7ED-6945-4E2F-9FC9-C19F85E9ACBC}" name="Column6087"/>
    <tableColumn id="6090" xr3:uid="{B7DDA366-6A40-403D-B027-320D51A3D4E4}" name="Column6088"/>
    <tableColumn id="6091" xr3:uid="{FD5DA46C-0CA4-463D-8E56-F6C8ED5981EB}" name="Column6089"/>
    <tableColumn id="6092" xr3:uid="{5BC60FDE-6865-4F7C-A2E7-11148C431625}" name="Column6090"/>
    <tableColumn id="6093" xr3:uid="{56DFAE31-B097-4B96-90CD-3F17CFC26559}" name="Column6091"/>
    <tableColumn id="6094" xr3:uid="{6113AA27-7A46-4DC3-8797-4DD7F26CF946}" name="Column6092"/>
    <tableColumn id="6095" xr3:uid="{AF23849B-21F8-40B9-B711-4F46A31DB8B2}" name="Column6093"/>
    <tableColumn id="6096" xr3:uid="{F1630907-2E12-480F-BB81-5A285D5C19A1}" name="Column6094"/>
    <tableColumn id="6097" xr3:uid="{9DB18793-C18F-4C2A-8473-1361283E3F21}" name="Column6095"/>
    <tableColumn id="6098" xr3:uid="{F4464E0F-CD84-4112-A0AA-1A13CAD8CA2D}" name="Column6096"/>
    <tableColumn id="6099" xr3:uid="{CAB22F5D-C2F0-4BF5-9A9F-89E33AA833B1}" name="Column6097"/>
    <tableColumn id="6100" xr3:uid="{4CE7AFA3-F76C-4702-B3C9-81D2A3A440D1}" name="Column6098"/>
    <tableColumn id="6101" xr3:uid="{45283523-8D67-4305-AD39-34D333949CE9}" name="Column6099"/>
    <tableColumn id="6102" xr3:uid="{B9E6A7AB-9D13-4199-A4CB-A085791CA94C}" name="Column6100"/>
    <tableColumn id="6103" xr3:uid="{73FAC6D0-71A8-4AEF-9EF5-9A6DECCA1851}" name="Column6101"/>
    <tableColumn id="6104" xr3:uid="{89FBB220-2799-494B-8F34-08B9BBA356BC}" name="Column6102"/>
    <tableColumn id="6105" xr3:uid="{085AB48D-FDF4-4798-A17F-4BD62CCB2149}" name="Column6103"/>
    <tableColumn id="6106" xr3:uid="{9BA2CAF9-196F-4EF8-BB14-32B7CC572AE3}" name="Column6104"/>
    <tableColumn id="6107" xr3:uid="{9B3BBBEB-7A7D-4459-993C-86C668FDEAF4}" name="Column6105"/>
    <tableColumn id="6108" xr3:uid="{33E6F3A8-57A5-4C23-B97F-2B4A431EE2B2}" name="Column6106"/>
    <tableColumn id="6109" xr3:uid="{B9AF6007-600B-4DA8-B471-448AB45D53AA}" name="Column6107"/>
    <tableColumn id="6110" xr3:uid="{2C134E48-F264-4ECB-B485-8BF2E0B1517B}" name="Column6108"/>
    <tableColumn id="6111" xr3:uid="{2CC1F34E-1774-4D25-96D1-C58B1F58608F}" name="Column6109"/>
    <tableColumn id="6112" xr3:uid="{763E1A10-2E73-4962-84F4-B7374325DC78}" name="Column6110"/>
    <tableColumn id="6113" xr3:uid="{A2025244-2993-4C46-97E7-D27C167F00A5}" name="Column6111"/>
    <tableColumn id="6114" xr3:uid="{8F00DFDC-3BDD-4FFE-896E-CFA48587B7CF}" name="Column6112"/>
    <tableColumn id="6115" xr3:uid="{3283E254-2AC1-4569-B8E6-CD36E1F9EA92}" name="Column6113"/>
    <tableColumn id="6116" xr3:uid="{1AC6F855-78B8-4C40-A9C3-0AD9264B3FB0}" name="Column6114"/>
    <tableColumn id="6117" xr3:uid="{CE63DB58-BC5F-4870-A803-8F5C84916EE1}" name="Column6115"/>
    <tableColumn id="6118" xr3:uid="{E6BB04C1-B0BB-4A02-A87A-E1726F332976}" name="Column6116"/>
    <tableColumn id="6119" xr3:uid="{B4165E49-2670-4661-8105-DB946ADA375E}" name="Column6117"/>
    <tableColumn id="6120" xr3:uid="{133E94F9-BA34-47C9-B53B-CD04D2328B2F}" name="Column6118"/>
    <tableColumn id="6121" xr3:uid="{55681C47-1DB1-4C26-BC6E-E0C844B96839}" name="Column6119"/>
    <tableColumn id="6122" xr3:uid="{8CC77B3C-E76C-4C3B-93AA-88BCA30E06A4}" name="Column6120"/>
    <tableColumn id="6123" xr3:uid="{02FFDFC4-AEDF-4852-B221-D2AB957DFCDC}" name="Column6121"/>
    <tableColumn id="6124" xr3:uid="{2098BDFC-F930-400F-B8D4-BA3F8E19F8B1}" name="Column6122"/>
    <tableColumn id="6125" xr3:uid="{68A162FA-3515-4495-9470-E13482577236}" name="Column6123"/>
    <tableColumn id="6126" xr3:uid="{01137619-F142-4FDB-99DA-DC8C3ED03C3E}" name="Column6124"/>
    <tableColumn id="6127" xr3:uid="{ABD55ED6-51CE-41F7-808A-C1A2391E6E11}" name="Column6125"/>
    <tableColumn id="6128" xr3:uid="{850C8ED7-25C9-4E79-9E58-B3A7A045F603}" name="Column6126"/>
    <tableColumn id="6129" xr3:uid="{69D92298-6B52-438E-88A0-3694CAA34E25}" name="Column6127"/>
    <tableColumn id="6130" xr3:uid="{55A4B2B7-1ECC-446F-B67A-19E08098C9B5}" name="Column6128"/>
    <tableColumn id="6131" xr3:uid="{B3B76540-1AD8-4D56-8FD3-5454696AB18A}" name="Column6129"/>
    <tableColumn id="6132" xr3:uid="{650180FD-B48E-4056-9F1B-A4B5BDDFCFD1}" name="Column6130"/>
    <tableColumn id="6133" xr3:uid="{E6F2BAA3-6110-49DD-877D-953FB574F9FF}" name="Column6131"/>
    <tableColumn id="6134" xr3:uid="{0970A9B1-671E-47D2-A99B-158DE6851735}" name="Column6132"/>
    <tableColumn id="6135" xr3:uid="{BA039E1C-5CD1-45D9-B197-0DA23977BEFF}" name="Column6133"/>
    <tableColumn id="6136" xr3:uid="{9E4F2609-F567-406E-B05D-2F4354B61FAE}" name="Column6134"/>
    <tableColumn id="6137" xr3:uid="{A87C558E-A884-44F4-BF63-70EC0B5DCD22}" name="Column6135"/>
    <tableColumn id="6138" xr3:uid="{716E578A-C19A-4E37-B933-BBCFF974B400}" name="Column6136"/>
    <tableColumn id="6139" xr3:uid="{367A68B7-38C1-4A08-9A76-98E120336FE3}" name="Column6137"/>
    <tableColumn id="6140" xr3:uid="{A989DD45-E951-468B-9BCE-F62B83C20917}" name="Column6138"/>
    <tableColumn id="6141" xr3:uid="{7BF65A4B-7EB9-4BE8-AB20-25C017A0B853}" name="Column6139"/>
    <tableColumn id="6142" xr3:uid="{4021D656-DFE7-415D-8B9E-6EE678F016EE}" name="Column6140"/>
    <tableColumn id="6143" xr3:uid="{E7E36211-7730-4788-B515-E8315B41EDD9}" name="Column6141"/>
    <tableColumn id="6144" xr3:uid="{70279CD2-BBC0-4403-89E2-366FFB01B2EF}" name="Column6142"/>
    <tableColumn id="6145" xr3:uid="{C9EA2CA6-AD79-4383-A697-FE881C14F06E}" name="Column6143"/>
    <tableColumn id="6146" xr3:uid="{783DDAB1-0ABB-4907-A984-93CDB3242730}" name="Column6144"/>
    <tableColumn id="6147" xr3:uid="{22E0546E-6AE0-4AF1-BE33-E750BF51C4EA}" name="Column6145"/>
    <tableColumn id="6148" xr3:uid="{DA0B1D29-EB53-4149-BB33-FC68C42E2C1E}" name="Column6146"/>
    <tableColumn id="6149" xr3:uid="{95723633-3616-4EE6-A3A6-19F706EC77F3}" name="Column6147"/>
    <tableColumn id="6150" xr3:uid="{02C0B42B-F3D5-4030-80DF-CBFFFBBEEAA1}" name="Column6148"/>
    <tableColumn id="6151" xr3:uid="{89800AFB-A6BD-4988-B8C0-012D727FD480}" name="Column6149"/>
    <tableColumn id="6152" xr3:uid="{83CE9BCF-89C6-45F7-BC6E-AF88439B0AE3}" name="Column6150"/>
    <tableColumn id="6153" xr3:uid="{00EC1B0B-BDE3-4138-9D7E-F2FB736EB3C6}" name="Column6151"/>
    <tableColumn id="6154" xr3:uid="{5A79A57E-8899-41CC-83DD-3A851E5CE6AF}" name="Column6152"/>
    <tableColumn id="6155" xr3:uid="{F603D6DD-E9C6-4AF4-AF9D-1AAA88567C7E}" name="Column6153"/>
    <tableColumn id="6156" xr3:uid="{720146FA-02E0-497D-BFC0-DADB7B637B55}" name="Column6154"/>
    <tableColumn id="6157" xr3:uid="{4AA3CBF6-6776-42CC-9167-B262E678C36E}" name="Column6155"/>
    <tableColumn id="6158" xr3:uid="{6A1A3D7F-5BE9-4E79-912B-02D72A24272E}" name="Column6156"/>
    <tableColumn id="6159" xr3:uid="{46F3926B-8896-4F2E-A6F1-44845E0A23B2}" name="Column6157"/>
    <tableColumn id="6160" xr3:uid="{86F4E6AF-7345-47F9-8892-808825129E30}" name="Column6158"/>
    <tableColumn id="6161" xr3:uid="{6C23DE5B-CE93-4003-9CAD-1566C089C7BF}" name="Column6159"/>
    <tableColumn id="6162" xr3:uid="{C608C691-065F-4A99-BBE1-F5E5B177D162}" name="Column6160"/>
    <tableColumn id="6163" xr3:uid="{14B828B3-A6ED-4C90-AF9D-835644A4A03B}" name="Column6161"/>
    <tableColumn id="6164" xr3:uid="{FA3EFDD9-4313-4726-8AA7-FC066F58D612}" name="Column6162"/>
    <tableColumn id="6165" xr3:uid="{7811C8A1-338E-48B3-841D-934812FDA328}" name="Column6163"/>
    <tableColumn id="6166" xr3:uid="{5CC0EFE2-6179-4135-A585-941CB8148892}" name="Column6164"/>
    <tableColumn id="6167" xr3:uid="{AF1FFE6A-49CC-461F-9970-7C03041AB597}" name="Column6165"/>
    <tableColumn id="6168" xr3:uid="{09D8D0D2-FF0A-4064-83B2-440CEDF02502}" name="Column6166"/>
    <tableColumn id="6169" xr3:uid="{2C3D2D36-AC48-464E-8964-C3F7A973281B}" name="Column6167"/>
    <tableColumn id="6170" xr3:uid="{1A33527E-F113-467E-8743-FB0C832E18C1}" name="Column6168"/>
    <tableColumn id="6171" xr3:uid="{F94E0542-94BC-4094-AD38-3FC89E8660F4}" name="Column6169"/>
    <tableColumn id="6172" xr3:uid="{D5F7AC5B-95AD-4196-AD8B-DBA91204A9C9}" name="Column6170"/>
    <tableColumn id="6173" xr3:uid="{E2CCAC0D-92C6-4429-96B2-6752342790AC}" name="Column6171"/>
    <tableColumn id="6174" xr3:uid="{AFF4BC3D-BF48-404A-8495-2CE0C8CCDE8B}" name="Column6172"/>
    <tableColumn id="6175" xr3:uid="{E4123B6F-98AD-46FC-A46F-A9C95187EC14}" name="Column6173"/>
    <tableColumn id="6176" xr3:uid="{4070B42E-72CA-4344-95F4-3EDC67F44A33}" name="Column6174"/>
    <tableColumn id="6177" xr3:uid="{CEF4B5A7-3466-4797-94C0-C4881451944D}" name="Column6175"/>
    <tableColumn id="6178" xr3:uid="{F451330F-87D8-4CDD-A9EE-E68E4C3D370B}" name="Column6176"/>
    <tableColumn id="6179" xr3:uid="{B3EE0B4B-CEB3-4FD2-8C53-2FB926C46E0D}" name="Column6177"/>
    <tableColumn id="6180" xr3:uid="{A6611EB7-CEA4-4E32-9933-20F2350F74A3}" name="Column6178"/>
    <tableColumn id="6181" xr3:uid="{28A3CEDC-FC7F-42BB-ADF6-9ED0208BF172}" name="Column6179"/>
    <tableColumn id="6182" xr3:uid="{03DEB851-3165-4189-BD42-065BC87510B6}" name="Column6180"/>
    <tableColumn id="6183" xr3:uid="{38843351-0614-4682-B39C-0190FFA40E71}" name="Column6181"/>
    <tableColumn id="6184" xr3:uid="{D2C0E4EE-7F1E-4709-A5FD-9A238AA3C22A}" name="Column6182"/>
    <tableColumn id="6185" xr3:uid="{589123E2-0E61-4C47-B630-CC69002CEC0B}" name="Column6183"/>
    <tableColumn id="6186" xr3:uid="{04D919C1-401B-49F9-AFED-C815318C3E3B}" name="Column6184"/>
    <tableColumn id="6187" xr3:uid="{FB33A612-E460-4748-9E75-500B89EE0DAE}" name="Column6185"/>
    <tableColumn id="6188" xr3:uid="{9C049724-CFAC-404B-902C-C1B23D72ED8E}" name="Column6186"/>
    <tableColumn id="6189" xr3:uid="{2F6ECE62-A48E-4916-99C6-F6E6D838197D}" name="Column6187"/>
    <tableColumn id="6190" xr3:uid="{67BF3695-11B8-4DB1-84C1-DD9A844E1E9F}" name="Column6188"/>
    <tableColumn id="6191" xr3:uid="{E408C301-718B-44AC-91AD-24233B12BA0C}" name="Column6189"/>
    <tableColumn id="6192" xr3:uid="{9F05B5DD-00ED-4B2D-BFCA-89EEC0EFB6A6}" name="Column6190"/>
    <tableColumn id="6193" xr3:uid="{6777A0AA-09DE-4347-A893-4B33E956F909}" name="Column6191"/>
    <tableColumn id="6194" xr3:uid="{1CA36679-CD7E-4F88-8F26-5476720B004B}" name="Column6192"/>
    <tableColumn id="6195" xr3:uid="{A5DE33EC-A531-4B6B-A7F6-AF0A35D798C9}" name="Column6193"/>
    <tableColumn id="6196" xr3:uid="{1C06BB65-5723-4427-B151-37ABBB6A900E}" name="Column6194"/>
    <tableColumn id="6197" xr3:uid="{B82E34FE-5E1A-482E-894B-D2B8153E0CDF}" name="Column6195"/>
    <tableColumn id="6198" xr3:uid="{536EE0FC-DF7C-402C-81A6-2BD23F59D47B}" name="Column6196"/>
    <tableColumn id="6199" xr3:uid="{E6C75F92-35A1-4032-A76A-E982D7424500}" name="Column6197"/>
    <tableColumn id="6200" xr3:uid="{7A87735A-EB6C-4533-B54B-9E9A741DCCA4}" name="Column6198"/>
    <tableColumn id="6201" xr3:uid="{B18E086E-700E-41D2-9BFA-8425A7A9AC75}" name="Column6199"/>
    <tableColumn id="6202" xr3:uid="{58A27B62-7960-4104-99F5-0312788B8B7D}" name="Column6200"/>
    <tableColumn id="6203" xr3:uid="{077F72D8-4F35-4609-B7F5-8028DB992D26}" name="Column6201"/>
    <tableColumn id="6204" xr3:uid="{0CF78E2D-CCE4-4378-B70F-7BC9971BEB59}" name="Column6202"/>
    <tableColumn id="6205" xr3:uid="{9009024D-20B9-4CEB-B04E-626510AF21F8}" name="Column6203"/>
    <tableColumn id="6206" xr3:uid="{9ABC659B-4280-4AE9-860E-11D2E119F43D}" name="Column6204"/>
    <tableColumn id="6207" xr3:uid="{46E7067C-EE95-4F86-853E-AC73280B3E0B}" name="Column6205"/>
    <tableColumn id="6208" xr3:uid="{BCE12F83-2CA2-49A0-B770-FA5EA3FEB64C}" name="Column6206"/>
    <tableColumn id="6209" xr3:uid="{08B9AD05-48E2-478A-A369-8A42F15D4F75}" name="Column6207"/>
    <tableColumn id="6210" xr3:uid="{D143FB22-55E6-4FA3-997D-FD6EED29C965}" name="Column6208"/>
    <tableColumn id="6211" xr3:uid="{6D5EFB6E-321A-4056-B6F1-C426CAB9B485}" name="Column6209"/>
    <tableColumn id="6212" xr3:uid="{53FB755C-C689-4E63-AC46-86447E4777E3}" name="Column6210"/>
    <tableColumn id="6213" xr3:uid="{8767D80F-FF44-46A0-9B1B-5E91ECDBC89A}" name="Column6211"/>
    <tableColumn id="6214" xr3:uid="{CB84BB84-3C41-4687-9796-D69D5EA6BFD0}" name="Column6212"/>
    <tableColumn id="6215" xr3:uid="{37EA5BCE-ADE6-41D0-8EB6-6EB950A2AD17}" name="Column6213"/>
    <tableColumn id="6216" xr3:uid="{20DEF27A-D077-4BE2-8DE3-691D6DAA5DCC}" name="Column6214"/>
    <tableColumn id="6217" xr3:uid="{57C07365-F0E3-467C-9220-3CC4AF8F2329}" name="Column6215"/>
    <tableColumn id="6218" xr3:uid="{50F1BC60-29EB-49F6-BDAE-75D532B60EA9}" name="Column6216"/>
    <tableColumn id="6219" xr3:uid="{2A4FD5EF-8818-44CC-AB16-1FEE98192F26}" name="Column6217"/>
    <tableColumn id="6220" xr3:uid="{FC319370-3DAD-4C2C-B9EC-CA474C0052A5}" name="Column6218"/>
    <tableColumn id="6221" xr3:uid="{22FF13DD-E4BB-44FC-9CC5-956F2EE008B3}" name="Column6219"/>
    <tableColumn id="6222" xr3:uid="{A8243568-17DC-46B7-A230-0E78C7800DEA}" name="Column6220"/>
    <tableColumn id="6223" xr3:uid="{2230D132-FF41-47DD-AB58-E2B3D2C81212}" name="Column6221"/>
    <tableColumn id="6224" xr3:uid="{BA7A35B4-B0E0-4A4F-B03C-D4AFA2863AF5}" name="Column6222"/>
    <tableColumn id="6225" xr3:uid="{B5B5F94A-BE85-46B9-B772-68D4B4E925E5}" name="Column6223"/>
    <tableColumn id="6226" xr3:uid="{41BC61F9-697C-41ED-86CA-19405E1BCA5D}" name="Column6224"/>
    <tableColumn id="6227" xr3:uid="{D486A6BE-AF78-4ADA-AB20-0675745F5B19}" name="Column6225"/>
    <tableColumn id="6228" xr3:uid="{689DF0E3-1DCA-482A-AC4A-3D26B93B7D7F}" name="Column6226"/>
    <tableColumn id="6229" xr3:uid="{06E68C97-D6A1-47CE-8F26-D88DCD79F70F}" name="Column6227"/>
    <tableColumn id="6230" xr3:uid="{6A40E2E5-2E1B-4828-A372-6C5DFFEA0639}" name="Column6228"/>
    <tableColumn id="6231" xr3:uid="{02D1775C-CAF3-4596-B51C-9AB0EF708328}" name="Column6229"/>
    <tableColumn id="6232" xr3:uid="{7B3B7432-3614-4B7B-9141-3751E3E8B009}" name="Column6230"/>
    <tableColumn id="6233" xr3:uid="{5635D15D-DF43-4771-B19E-2D311B5C7A89}" name="Column6231"/>
    <tableColumn id="6234" xr3:uid="{E00AC1EB-A18C-4D32-BFA3-40E06364A572}" name="Column6232"/>
    <tableColumn id="6235" xr3:uid="{78B64757-204E-465B-AA7B-59A213577E69}" name="Column6233"/>
    <tableColumn id="6236" xr3:uid="{907D3511-04D3-45C9-86CC-AA734FB63A8B}" name="Column6234"/>
    <tableColumn id="6237" xr3:uid="{68F59A19-AED2-45DA-9A10-29FCBAEE3989}" name="Column6235"/>
    <tableColumn id="6238" xr3:uid="{DB3510A9-CCC1-46B0-A454-B2B97F03E26C}" name="Column6236"/>
    <tableColumn id="6239" xr3:uid="{BFC9A816-B807-4737-9B9D-47F32A655C5E}" name="Column6237"/>
    <tableColumn id="6240" xr3:uid="{1A4CBC6E-B940-4A1A-A5C7-D4B4D45D5E02}" name="Column6238"/>
    <tableColumn id="6241" xr3:uid="{3371923A-8F49-4B73-8B74-C8D528F8C318}" name="Column6239"/>
    <tableColumn id="6242" xr3:uid="{C32201F1-F501-45F0-870E-457B810608EA}" name="Column6240"/>
    <tableColumn id="6243" xr3:uid="{AFB2080D-AB1E-407C-84A5-E8A2F34E2C8F}" name="Column6241"/>
    <tableColumn id="6244" xr3:uid="{499239FE-89E5-4560-A041-E2DE7E651B54}" name="Column6242"/>
    <tableColumn id="6245" xr3:uid="{7CA99445-6404-4337-99EA-9221C972C0FD}" name="Column6243"/>
    <tableColumn id="6246" xr3:uid="{A9C56762-948E-436C-BEB6-41BC76860576}" name="Column6244"/>
    <tableColumn id="6247" xr3:uid="{C5B86B4F-3E73-4537-86A6-E170F68B4F29}" name="Column6245"/>
    <tableColumn id="6248" xr3:uid="{AC894A3A-3948-410A-AFD6-5A2FB673FCEB}" name="Column6246"/>
    <tableColumn id="6249" xr3:uid="{EEA95B3B-1176-4658-A93C-271A5A19B93B}" name="Column6247"/>
    <tableColumn id="6250" xr3:uid="{0585F66D-D8BD-49B9-B449-58AF83FE53A5}" name="Column6248"/>
    <tableColumn id="6251" xr3:uid="{1A66E475-8EE9-4661-8F6E-AC81DB27588B}" name="Column6249"/>
    <tableColumn id="6252" xr3:uid="{039982E3-29F9-45EA-A1CC-89F046996ACC}" name="Column6250"/>
    <tableColumn id="6253" xr3:uid="{36F28A34-6EBB-4DCF-AC06-59F8C3C1171C}" name="Column6251"/>
    <tableColumn id="6254" xr3:uid="{B03EC983-C592-470E-B093-96B9423BCDE0}" name="Column6252"/>
    <tableColumn id="6255" xr3:uid="{18612BA2-E795-41C3-B027-20188BDB3013}" name="Column6253"/>
    <tableColumn id="6256" xr3:uid="{BB6FE659-9342-4B7D-9C12-868F82035E16}" name="Column6254"/>
    <tableColumn id="6257" xr3:uid="{C7D9B28C-8E8C-4E0F-B66C-D79F9C315479}" name="Column6255"/>
    <tableColumn id="6258" xr3:uid="{ABA02CB9-EE90-4E26-8AC8-BAC59B179E87}" name="Column6256"/>
    <tableColumn id="6259" xr3:uid="{E5AAF71E-3B76-4FD3-99BC-729BBF7E6CBE}" name="Column6257"/>
    <tableColumn id="6260" xr3:uid="{D7BD230E-C69D-4AFB-B3D9-08638FCF68EF}" name="Column6258"/>
    <tableColumn id="6261" xr3:uid="{B27A0A2A-040F-48DB-9E2D-DD23B7D2EB85}" name="Column6259"/>
    <tableColumn id="6262" xr3:uid="{7ABC01CC-DC52-4543-B14D-FB14FA8B4DF1}" name="Column6260"/>
    <tableColumn id="6263" xr3:uid="{ADF397A5-C7D3-4191-B681-234255836ACD}" name="Column6261"/>
    <tableColumn id="6264" xr3:uid="{D03D524E-627D-405F-B1E8-FC74802D34C8}" name="Column6262"/>
    <tableColumn id="6265" xr3:uid="{4EB63FFE-A528-46F3-9D4A-4B5E800BC7D9}" name="Column6263"/>
    <tableColumn id="6266" xr3:uid="{A17F6F82-1E5F-4EC5-B5C3-7877CB2B09D8}" name="Column6264"/>
    <tableColumn id="6267" xr3:uid="{64426A48-069A-41F8-9E57-220862FBF55A}" name="Column6265"/>
    <tableColumn id="6268" xr3:uid="{35C489D3-555F-4580-88E2-6B2A1F00EAF5}" name="Column6266"/>
    <tableColumn id="6269" xr3:uid="{70082C60-D875-4909-AB7A-1678723E2BA6}" name="Column6267"/>
    <tableColumn id="6270" xr3:uid="{C7CB579B-C467-4CC4-8E74-089847EE6E8B}" name="Column6268"/>
    <tableColumn id="6271" xr3:uid="{30137E97-7300-46A4-B38D-F65B06E7EF65}" name="Column6269"/>
    <tableColumn id="6272" xr3:uid="{D9BA68F0-4986-45B9-B497-5BC02968F9A6}" name="Column6270"/>
    <tableColumn id="6273" xr3:uid="{33CB1193-6A38-4EA1-B2F5-2B4411A4EEA4}" name="Column6271"/>
    <tableColumn id="6274" xr3:uid="{080C22C7-86B0-4646-A030-AFD678D6CD6D}" name="Column6272"/>
    <tableColumn id="6275" xr3:uid="{ED6CB42E-323D-4505-AF52-811ED788CA6A}" name="Column6273"/>
    <tableColumn id="6276" xr3:uid="{4C217E9E-6C77-40DE-94FC-8C1CB9C628CA}" name="Column6274"/>
    <tableColumn id="6277" xr3:uid="{523F78FE-CCC2-434B-8FDC-60B5AE711DE9}" name="Column6275"/>
    <tableColumn id="6278" xr3:uid="{DCC82EF1-BBB2-481F-808C-097B7B4F5115}" name="Column6276"/>
    <tableColumn id="6279" xr3:uid="{CE5F1CB1-CFF0-4215-AFDC-5799E4CF4A1A}" name="Column6277"/>
    <tableColumn id="6280" xr3:uid="{92ACA10B-E265-4A6B-AFEF-BAED9B1F6C2F}" name="Column6278"/>
    <tableColumn id="6281" xr3:uid="{D5E887AA-A920-42B1-B64D-FC684EB8148F}" name="Column6279"/>
    <tableColumn id="6282" xr3:uid="{1CA699BD-5B8E-4A51-AEE0-1A201CFE467F}" name="Column6280"/>
    <tableColumn id="6283" xr3:uid="{CBF2F733-AF0C-40A0-8EFC-3A08751554A2}" name="Column6281"/>
    <tableColumn id="6284" xr3:uid="{61B6228B-F06A-4718-897F-5B62859FFCD1}" name="Column6282"/>
    <tableColumn id="6285" xr3:uid="{5FF0DAFF-29C4-4CE5-93FD-368871EBF9F4}" name="Column6283"/>
    <tableColumn id="6286" xr3:uid="{AD6BCBCC-F3A9-448C-931C-0E1FD661C270}" name="Column6284"/>
    <tableColumn id="6287" xr3:uid="{7D33217A-5868-4537-BC1F-B482F40CF1FA}" name="Column6285"/>
    <tableColumn id="6288" xr3:uid="{FDDBB91A-63AE-4ACE-AEA0-60715E2DF808}" name="Column6286"/>
    <tableColumn id="6289" xr3:uid="{05237B15-15CD-45FC-81DD-FF0011A513D4}" name="Column6287"/>
    <tableColumn id="6290" xr3:uid="{3C8B2A8A-602F-4EF6-8CA9-815A826698BA}" name="Column6288"/>
    <tableColumn id="6291" xr3:uid="{47C26725-C2E4-4484-B10B-D72C92545C62}" name="Column6289"/>
    <tableColumn id="6292" xr3:uid="{A397B888-5556-42F7-B4A7-C5E66366772C}" name="Column6290"/>
    <tableColumn id="6293" xr3:uid="{17657FB3-4E61-4DE5-B702-03FC00A4F090}" name="Column6291"/>
    <tableColumn id="6294" xr3:uid="{2E28F73F-82C9-4526-9AA8-1770000D440C}" name="Column6292"/>
    <tableColumn id="6295" xr3:uid="{F3768612-A140-4551-ABD2-2DB79C462A2C}" name="Column6293"/>
    <tableColumn id="6296" xr3:uid="{8A36D2F4-BEC5-4AF3-8420-C03E4A6F7A7E}" name="Column6294"/>
    <tableColumn id="6297" xr3:uid="{634291F9-F91B-4991-A9CD-B83D72FDAE51}" name="Column6295"/>
    <tableColumn id="6298" xr3:uid="{357E8367-95C0-46E3-8611-C38DC5FDF448}" name="Column6296"/>
    <tableColumn id="6299" xr3:uid="{E96B86A3-5AEF-41E4-82D0-196C05944E94}" name="Column6297"/>
    <tableColumn id="6300" xr3:uid="{C296EAC5-CDE3-4779-B227-42C8DFF40997}" name="Column6298"/>
    <tableColumn id="6301" xr3:uid="{8A608D07-0891-4AA9-BB21-2F6D36F1ADE6}" name="Column6299"/>
    <tableColumn id="6302" xr3:uid="{4E4B38F5-61A8-4468-B8AA-A84A7D054A2A}" name="Column6300"/>
    <tableColumn id="6303" xr3:uid="{DC6A4371-99C7-46FE-B2B5-F6A6BEAD9EE8}" name="Column6301"/>
    <tableColumn id="6304" xr3:uid="{1FE9493F-DB46-46B6-8D69-700C7A275137}" name="Column6302"/>
    <tableColumn id="6305" xr3:uid="{8B59250A-5E8C-4AA6-B731-E589040DF68E}" name="Column6303"/>
    <tableColumn id="6306" xr3:uid="{62EDBBDA-E93A-4F87-9781-9BEF4624ED21}" name="Column6304"/>
    <tableColumn id="6307" xr3:uid="{DA2B80BA-7853-4BEA-9102-E479DA2E5096}" name="Column6305"/>
    <tableColumn id="6308" xr3:uid="{F9979AD1-FEF8-460C-9EB9-DF7E7671EBB0}" name="Column6306"/>
    <tableColumn id="6309" xr3:uid="{736BDCCD-6B29-485D-8DB3-D6294B8BD3B7}" name="Column6307"/>
    <tableColumn id="6310" xr3:uid="{FDA9B2D7-2E95-45C4-808A-298BE9725952}" name="Column6308"/>
    <tableColumn id="6311" xr3:uid="{28F85701-F4EC-46B9-B2BD-6CBF91CE4A07}" name="Column6309"/>
    <tableColumn id="6312" xr3:uid="{A02F321A-8DAC-43DE-9E5F-0ACB7C682B31}" name="Column6310"/>
    <tableColumn id="6313" xr3:uid="{79B9C47F-9F68-4982-B4D3-5F0C43A6E6EB}" name="Column6311"/>
    <tableColumn id="6314" xr3:uid="{EAAF59AC-7EEA-465C-8BE3-87CDF8726CF6}" name="Column6312"/>
    <tableColumn id="6315" xr3:uid="{254C499C-A566-4A61-A540-97501278763B}" name="Column6313"/>
    <tableColumn id="6316" xr3:uid="{EFCB8477-A707-4B3C-9656-3857AA3C1FCF}" name="Column6314"/>
    <tableColumn id="6317" xr3:uid="{BE28998C-D853-45C1-92F2-5698A5800219}" name="Column6315"/>
    <tableColumn id="6318" xr3:uid="{D4DD9FC8-C0E5-4BE2-8CE1-D05FD8BF4493}" name="Column6316"/>
    <tableColumn id="6319" xr3:uid="{B0CB9331-DC36-4371-BD9B-B167935D2A21}" name="Column6317"/>
    <tableColumn id="6320" xr3:uid="{94400332-F68F-4A4C-BD31-46BA88D8A092}" name="Column6318"/>
    <tableColumn id="6321" xr3:uid="{DD4718A0-A2CC-4CC3-9A25-7801558059B3}" name="Column6319"/>
    <tableColumn id="6322" xr3:uid="{1FA3F1EE-4009-43F5-8873-88E10C2921C7}" name="Column6320"/>
    <tableColumn id="6323" xr3:uid="{B81CBD8E-E8B1-4261-934D-F40B56D1E8E5}" name="Column6321"/>
    <tableColumn id="6324" xr3:uid="{8D92F77D-F799-4D6B-A7DF-D0BC8790AB1F}" name="Column6322"/>
    <tableColumn id="6325" xr3:uid="{5BDC00CD-A0AA-4300-8ABD-DD53B913D6C4}" name="Column6323"/>
    <tableColumn id="6326" xr3:uid="{052765A5-7C3E-4BDB-9376-8874CF1AAEE5}" name="Column6324"/>
    <tableColumn id="6327" xr3:uid="{76A3416E-63DC-4EF1-B1E6-D5648E87A21C}" name="Column6325"/>
    <tableColumn id="6328" xr3:uid="{A3F011AF-3A90-4EE2-B551-4B52F6A2DFBD}" name="Column6326"/>
    <tableColumn id="6329" xr3:uid="{538F5D3D-FAD1-4217-9CC8-9FDE2AF97CB6}" name="Column6327"/>
    <tableColumn id="6330" xr3:uid="{75FA4697-B1E9-4D36-86AD-B72D829EEB52}" name="Column6328"/>
    <tableColumn id="6331" xr3:uid="{F983D16A-2226-474F-B711-51042BAD1A21}" name="Column6329"/>
    <tableColumn id="6332" xr3:uid="{87D595AE-0B25-431B-A0BD-E26985EB0E83}" name="Column6330"/>
    <tableColumn id="6333" xr3:uid="{6B64EA49-3E52-43DA-AFFC-A9257EE32415}" name="Column6331"/>
    <tableColumn id="6334" xr3:uid="{D8D8587F-10CA-4E70-BC1E-2E9160577BA5}" name="Column6332"/>
    <tableColumn id="6335" xr3:uid="{33901FAA-E24E-4813-AD67-ED47119C11BD}" name="Column6333"/>
    <tableColumn id="6336" xr3:uid="{D7C2AA80-84FB-441E-9C6F-5367881634C7}" name="Column6334"/>
    <tableColumn id="6337" xr3:uid="{6390C7CA-AE24-48F1-8C53-C782F881E7CA}" name="Column6335"/>
    <tableColumn id="6338" xr3:uid="{ABD156D2-7F57-4770-A5BA-6C80383A49E5}" name="Column6336"/>
    <tableColumn id="6339" xr3:uid="{B03B1D95-E158-42D8-826B-C60FFCE2756F}" name="Column6337"/>
    <tableColumn id="6340" xr3:uid="{DD2AC5C5-11D7-47D4-A6EC-02419EE824C1}" name="Column6338"/>
    <tableColumn id="6341" xr3:uid="{3425D3C2-FE43-48CC-AFCE-9D4E5BBA0155}" name="Column6339"/>
    <tableColumn id="6342" xr3:uid="{F433A4EA-12F4-405D-ABA5-C925EB59B5BB}" name="Column6340"/>
    <tableColumn id="6343" xr3:uid="{5BCD7E17-B8E9-4D81-9879-DA4D77C9A532}" name="Column6341"/>
    <tableColumn id="6344" xr3:uid="{9310E8F0-2E9B-4C18-9725-4AA42A9C283C}" name="Column6342"/>
    <tableColumn id="6345" xr3:uid="{D449C6E5-DA1E-4344-BC7D-2226BA3BCE45}" name="Column6343"/>
    <tableColumn id="6346" xr3:uid="{A5D83352-B8A6-4776-9268-27BD359C647D}" name="Column6344"/>
    <tableColumn id="6347" xr3:uid="{FD8EDD23-A735-44CD-BEE9-59B57B29E2B3}" name="Column6345"/>
    <tableColumn id="6348" xr3:uid="{DFD218C0-86C7-42CC-98A1-4BCF77BF0040}" name="Column6346"/>
    <tableColumn id="6349" xr3:uid="{967550DF-2170-4DB6-A5BD-3D18AF2DB98F}" name="Column6347"/>
    <tableColumn id="6350" xr3:uid="{5F12AE82-AC1D-4816-BDA2-AB94E8EF2B4A}" name="Column6348"/>
    <tableColumn id="6351" xr3:uid="{797D3B53-ECED-4F28-8455-0E2F945F7381}" name="Column6349"/>
    <tableColumn id="6352" xr3:uid="{47596752-6E37-43B6-9BDE-9836B7238E6C}" name="Column6350"/>
    <tableColumn id="6353" xr3:uid="{67DEAF9E-BE3A-47E9-A2FA-67E726A235BD}" name="Column6351"/>
    <tableColumn id="6354" xr3:uid="{6EDC4C44-AE50-4B3B-9572-1B958AACFC46}" name="Column6352"/>
    <tableColumn id="6355" xr3:uid="{9B255CCD-FD9E-4DA0-806A-4E9FFBFBF4F1}" name="Column6353"/>
    <tableColumn id="6356" xr3:uid="{7FE8A04A-91D6-4D7C-A769-43A3AA3AF959}" name="Column6354"/>
    <tableColumn id="6357" xr3:uid="{7576F4D8-4C04-4291-832C-2B2162BFCA64}" name="Column6355"/>
    <tableColumn id="6358" xr3:uid="{4A55467F-5DEC-4F46-AFFF-AB537A38F76E}" name="Column6356"/>
    <tableColumn id="6359" xr3:uid="{A9807117-C557-405D-A12F-CB0CBE818277}" name="Column6357"/>
    <tableColumn id="6360" xr3:uid="{84720AC6-99AA-475F-BAAA-68826DFC4957}" name="Column6358"/>
    <tableColumn id="6361" xr3:uid="{DD4F90D5-BBD0-4C04-AC76-6B78312394A7}" name="Column6359"/>
    <tableColumn id="6362" xr3:uid="{0FB4D101-8190-4747-95F4-0CA38AD4F446}" name="Column6360"/>
    <tableColumn id="6363" xr3:uid="{85F7C73C-23AE-4378-AF04-5BED9AF424A9}" name="Column6361"/>
    <tableColumn id="6364" xr3:uid="{90556DED-1A52-4DEE-89CC-CD0C1854E05C}" name="Column6362"/>
    <tableColumn id="6365" xr3:uid="{7365FD07-1F0B-4794-9489-F3D860C999B9}" name="Column6363"/>
    <tableColumn id="6366" xr3:uid="{E654898B-9293-44B4-ACC8-38165978D3A9}" name="Column6364"/>
    <tableColumn id="6367" xr3:uid="{F7FDAAF2-1F9F-41B4-BED8-9F98C132D970}" name="Column6365"/>
    <tableColumn id="6368" xr3:uid="{540949CD-B511-40A9-8F15-5C3DB44FCDD0}" name="Column6366"/>
    <tableColumn id="6369" xr3:uid="{74299992-3013-430F-A090-5EA961067BBB}" name="Column6367"/>
    <tableColumn id="6370" xr3:uid="{632600C4-32AA-48EF-B4A9-AB1FC68FB1F4}" name="Column6368"/>
    <tableColumn id="6371" xr3:uid="{0BD9DBB0-2890-4702-A9F1-6ABDE622ED8B}" name="Column6369"/>
    <tableColumn id="6372" xr3:uid="{C5F2B73E-CC37-4E79-B3F1-A9B39B35C25F}" name="Column6370"/>
    <tableColumn id="6373" xr3:uid="{DBB492D8-1BD4-47D6-82DC-D3962AE0FB1B}" name="Column6371"/>
    <tableColumn id="6374" xr3:uid="{281D11E0-594B-4CCA-99E8-338C42BC4802}" name="Column6372"/>
    <tableColumn id="6375" xr3:uid="{C01DD35E-3370-488A-870D-DB030B24E726}" name="Column6373"/>
    <tableColumn id="6376" xr3:uid="{A8C0C697-8123-41B6-BDC3-8A8564FB98FE}" name="Column6374"/>
    <tableColumn id="6377" xr3:uid="{D130AA61-319E-42FD-9A90-E5A81C653D47}" name="Column6375"/>
    <tableColumn id="6378" xr3:uid="{137F9A1E-6A97-4BCE-BD9F-32CF1E6503B4}" name="Column6376"/>
    <tableColumn id="6379" xr3:uid="{DFD1C09A-05ED-4BB1-B343-3B203A0E9E00}" name="Column6377"/>
    <tableColumn id="6380" xr3:uid="{4C06DE9A-7664-4322-A64A-3475FA795E10}" name="Column6378"/>
    <tableColumn id="6381" xr3:uid="{F2500E62-987A-445A-97C0-FAD18312A970}" name="Column6379"/>
    <tableColumn id="6382" xr3:uid="{9DD289B0-5451-4E51-9EF1-1A90D083F9B0}" name="Column6380"/>
    <tableColumn id="6383" xr3:uid="{C289A088-9A20-4268-A022-3CAFE0A87F65}" name="Column6381"/>
    <tableColumn id="6384" xr3:uid="{58F57BC8-265C-4F68-8FAB-F86D02E1582D}" name="Column6382"/>
    <tableColumn id="6385" xr3:uid="{EE512D87-4516-4A26-B7E2-38D0B1E0BD8A}" name="Column6383"/>
    <tableColumn id="6386" xr3:uid="{D16DE04A-CE69-4725-AE35-E97CE030414E}" name="Column6384"/>
    <tableColumn id="6387" xr3:uid="{AEEBD8E8-9707-48A6-B0CA-E0FC754B8A1C}" name="Column6385"/>
    <tableColumn id="6388" xr3:uid="{81224F99-FE93-4BAC-B529-467CE2D2274A}" name="Column6386"/>
    <tableColumn id="6389" xr3:uid="{4EAB0968-DD7B-48BE-9C56-EA1941A6A532}" name="Column6387"/>
    <tableColumn id="6390" xr3:uid="{5901F7EB-1BBA-4B27-A2DE-0E5F68DDCC19}" name="Column6388"/>
    <tableColumn id="6391" xr3:uid="{020391BD-591C-4FCE-B289-C181A65B5F7E}" name="Column6389"/>
    <tableColumn id="6392" xr3:uid="{8EB5DA6A-AB46-44C2-8CBE-7DC9CDA296B0}" name="Column6390"/>
    <tableColumn id="6393" xr3:uid="{5F8C8E6B-F5E3-44D4-A1BF-EB9CFC359297}" name="Column6391"/>
    <tableColumn id="6394" xr3:uid="{C6F3C46A-9051-4801-8FBC-DA2830BE6E5A}" name="Column6392"/>
    <tableColumn id="6395" xr3:uid="{1CFD66F3-8A04-42A8-BBF6-3BDB563435A3}" name="Column6393"/>
    <tableColumn id="6396" xr3:uid="{4F993B8E-5AD3-4CD1-A117-5A219BDE27AC}" name="Column6394"/>
    <tableColumn id="6397" xr3:uid="{C496F29D-1F51-4E89-987F-F204C8BC0001}" name="Column6395"/>
    <tableColumn id="6398" xr3:uid="{270366C3-589D-49E7-96B3-DDF090DF70B0}" name="Column6396"/>
    <tableColumn id="6399" xr3:uid="{46B53919-7CC4-47F2-894E-C02ABEC93F6A}" name="Column6397"/>
    <tableColumn id="6400" xr3:uid="{90462838-6D31-4E36-ACC2-3DF9090BB0FC}" name="Column6398"/>
    <tableColumn id="6401" xr3:uid="{BD1A8B1D-9BA2-4F34-839A-2654594718C2}" name="Column6399"/>
    <tableColumn id="6402" xr3:uid="{5A008142-04D2-4623-B435-BD310A30208E}" name="Column6400"/>
    <tableColumn id="6403" xr3:uid="{8C39AAFF-B58A-4D75-A74B-D59C581CD2E1}" name="Column6401"/>
    <tableColumn id="6404" xr3:uid="{211E1EF9-A56E-4455-9165-DB934CC6C450}" name="Column6402"/>
    <tableColumn id="6405" xr3:uid="{EE39FA5D-B8F1-4488-8E85-25D407936F6E}" name="Column6403"/>
    <tableColumn id="6406" xr3:uid="{4D63C591-4C20-4058-9AB0-90731B4FC876}" name="Column6404"/>
    <tableColumn id="6407" xr3:uid="{2EC32797-1DBD-45E5-9D10-37170881DCAE}" name="Column6405"/>
    <tableColumn id="6408" xr3:uid="{AB118ADA-6D94-41A4-87B0-08EDF964BB1A}" name="Column6406"/>
    <tableColumn id="6409" xr3:uid="{5FA885B5-CA53-457B-9F17-9BB26E52DBB9}" name="Column6407"/>
    <tableColumn id="6410" xr3:uid="{66568835-083D-454D-A724-349D7B181CF0}" name="Column6408"/>
    <tableColumn id="6411" xr3:uid="{F702B136-A6B9-4AD1-B0E5-2F2606CF6B87}" name="Column6409"/>
    <tableColumn id="6412" xr3:uid="{DA10225A-1BAE-4F2F-9797-9A303927E93E}" name="Column6410"/>
    <tableColumn id="6413" xr3:uid="{A18C750E-6DCF-42EB-B836-60ACB01ABE77}" name="Column6411"/>
    <tableColumn id="6414" xr3:uid="{4B82D5DE-537C-417C-B211-629CF5BE582B}" name="Column6412"/>
    <tableColumn id="6415" xr3:uid="{855BD290-502B-422C-A990-CCB80ADC97A7}" name="Column6413"/>
    <tableColumn id="6416" xr3:uid="{DD692F2E-8782-437E-A8EB-F29F7E600061}" name="Column6414"/>
    <tableColumn id="6417" xr3:uid="{34BEF53D-5AC5-4202-91D0-3A037B1D7A96}" name="Column6415"/>
    <tableColumn id="6418" xr3:uid="{B8375359-0013-4F78-9426-108BABC9DF91}" name="Column6416"/>
    <tableColumn id="6419" xr3:uid="{20E7114E-D1B8-432E-9C47-48063DABE66E}" name="Column6417"/>
    <tableColumn id="6420" xr3:uid="{6225792C-0192-4E6A-ACDF-BB7CBC44C0A0}" name="Column6418"/>
    <tableColumn id="6421" xr3:uid="{782A5C81-03EA-49C2-9847-6375C1910864}" name="Column6419"/>
    <tableColumn id="6422" xr3:uid="{E42448E3-FF9B-4E96-8D2C-241DD0BA5A06}" name="Column6420"/>
    <tableColumn id="6423" xr3:uid="{1CE96112-EFB0-4D29-B9F7-D56F12B59DB5}" name="Column6421"/>
    <tableColumn id="6424" xr3:uid="{AFF27407-16C6-498C-B2C5-E12F80C46AED}" name="Column6422"/>
    <tableColumn id="6425" xr3:uid="{A3220E24-ED65-4B38-8FBB-F5369688AB70}" name="Column6423"/>
    <tableColumn id="6426" xr3:uid="{58FCC1A8-B83D-40A4-A896-19C239540A03}" name="Column6424"/>
    <tableColumn id="6427" xr3:uid="{217612A4-969A-4093-B20F-CDBBA91F2E1F}" name="Column6425"/>
    <tableColumn id="6428" xr3:uid="{A9828D56-F97A-447D-846E-85D0836824E8}" name="Column6426"/>
    <tableColumn id="6429" xr3:uid="{3236A039-3289-47B2-A9EF-08C5BCB99CAD}" name="Column6427"/>
    <tableColumn id="6430" xr3:uid="{51B2904A-820B-4432-BF28-BDA4D96511FE}" name="Column6428"/>
    <tableColumn id="6431" xr3:uid="{24C4F749-DE57-441F-8191-71A2559DB760}" name="Column6429"/>
    <tableColumn id="6432" xr3:uid="{819EDDD1-E30B-4F99-B505-8E2E6528E04E}" name="Column6430"/>
    <tableColumn id="6433" xr3:uid="{C621B42C-62D7-4F6A-93F8-31F3338ACD7B}" name="Column6431"/>
    <tableColumn id="6434" xr3:uid="{1A5711C2-9ECA-4CFC-A029-1510408FB712}" name="Column6432"/>
    <tableColumn id="6435" xr3:uid="{0FF3195E-A844-4A60-8205-6914E9DD3B31}" name="Column6433"/>
    <tableColumn id="6436" xr3:uid="{1B0BC62F-4E30-4EFB-A63E-9C483ABA25E4}" name="Column6434"/>
    <tableColumn id="6437" xr3:uid="{B5B4D0F3-A401-4947-AEEB-7537FF74B882}" name="Column6435"/>
    <tableColumn id="6438" xr3:uid="{9E61EA61-8790-4925-A1E7-DF3BC4F82EF5}" name="Column6436"/>
    <tableColumn id="6439" xr3:uid="{74A074DE-261A-4135-8097-3B8AB7161351}" name="Column6437"/>
    <tableColumn id="6440" xr3:uid="{2D71CDD7-0922-4E67-8518-87C5F21EC9E4}" name="Column6438"/>
    <tableColumn id="6441" xr3:uid="{444DEF65-BDE1-402D-B7B8-0C09F075B8B8}" name="Column6439"/>
    <tableColumn id="6442" xr3:uid="{E5C7E487-5BF3-4ABD-B4EE-62972516DA38}" name="Column6440"/>
    <tableColumn id="6443" xr3:uid="{8430AD4C-18C8-48EB-B1F1-1C7765CE7AB8}" name="Column6441"/>
    <tableColumn id="6444" xr3:uid="{3E10F7DF-66DA-45E4-98EA-24F3417FB153}" name="Column6442"/>
    <tableColumn id="6445" xr3:uid="{15597DA3-C173-480F-8041-2457459AAE71}" name="Column6443"/>
    <tableColumn id="6446" xr3:uid="{C315B7F7-55A4-472C-BCC4-CEF8866DE358}" name="Column6444"/>
    <tableColumn id="6447" xr3:uid="{F670B481-0570-4063-A7F2-6EA72DAD031D}" name="Column6445"/>
    <tableColumn id="6448" xr3:uid="{BF9BC488-2F76-487D-A22D-4586F978A8A1}" name="Column6446"/>
    <tableColumn id="6449" xr3:uid="{044AA4B4-EF7D-49B7-B5A9-A68427E914DB}" name="Column6447"/>
    <tableColumn id="6450" xr3:uid="{CC58929F-01BF-4885-A683-D3E482AF9BB9}" name="Column6448"/>
    <tableColumn id="6451" xr3:uid="{719DF70A-840A-40F8-91BD-EBBC04F33CFE}" name="Column6449"/>
    <tableColumn id="6452" xr3:uid="{A9D429A6-7688-43D7-A907-83613C5DD2C9}" name="Column6450"/>
    <tableColumn id="6453" xr3:uid="{95279893-872C-4AC9-B1B9-46B62A9E5BBC}" name="Column6451"/>
    <tableColumn id="6454" xr3:uid="{E0ECF4E8-A337-44E0-933C-ADCDAB83391A}" name="Column6452"/>
    <tableColumn id="6455" xr3:uid="{228A9A94-2770-4387-A299-DCED59E0EB95}" name="Column6453"/>
    <tableColumn id="6456" xr3:uid="{F0EF5043-8479-4F68-B737-AFB3D4EBC897}" name="Column6454"/>
    <tableColumn id="6457" xr3:uid="{54E65E32-DB2A-4856-AA4D-B2FAD8FAE0E3}" name="Column6455"/>
    <tableColumn id="6458" xr3:uid="{AA303CF2-60D0-4881-879D-0EFD4179C092}" name="Column6456"/>
    <tableColumn id="6459" xr3:uid="{33B5E1DB-CF52-43DA-9BB8-C028C7AC95DE}" name="Column6457"/>
    <tableColumn id="6460" xr3:uid="{8388C5D5-F4E7-4860-9D5C-4213A64E4937}" name="Column6458"/>
    <tableColumn id="6461" xr3:uid="{8776C721-9479-4444-BF35-AEDE6D436C8C}" name="Column6459"/>
    <tableColumn id="6462" xr3:uid="{8BD2767E-5EB7-4D83-BCE6-0A3717A0B292}" name="Column6460"/>
    <tableColumn id="6463" xr3:uid="{E7D27DB0-D50A-4A71-A120-06C1872F93FA}" name="Column6461"/>
    <tableColumn id="6464" xr3:uid="{4CE25821-7E36-4496-B3FD-81B801266A01}" name="Column6462"/>
    <tableColumn id="6465" xr3:uid="{101074A3-68C9-4590-B43A-C647881D0622}" name="Column6463"/>
    <tableColumn id="6466" xr3:uid="{B32602F8-1999-4C6D-AB6E-50BFFC171334}" name="Column6464"/>
    <tableColumn id="6467" xr3:uid="{7AA363B9-7B6C-46E9-8AD2-96BBD7EBD886}" name="Column6465"/>
    <tableColumn id="6468" xr3:uid="{9696A5B6-EABA-4F9C-AA6B-AD8693FAA0EA}" name="Column6466"/>
    <tableColumn id="6469" xr3:uid="{EC61A417-D4A3-44F8-A630-64FF9394E228}" name="Column6467"/>
    <tableColumn id="6470" xr3:uid="{233AF3F2-782A-4250-96C2-AD2050786F8E}" name="Column6468"/>
    <tableColumn id="6471" xr3:uid="{DF275257-3C8D-4CEC-B54F-5D97628ACEE9}" name="Column6469"/>
    <tableColumn id="6472" xr3:uid="{66CD218D-DD97-42F1-86CF-0C4CB23F23EA}" name="Column6470"/>
    <tableColumn id="6473" xr3:uid="{5060249A-25BD-4242-915C-A2A0FF781DEA}" name="Column6471"/>
    <tableColumn id="6474" xr3:uid="{0A7FF157-EC96-425C-B706-FDBB0BD0E16A}" name="Column6472"/>
    <tableColumn id="6475" xr3:uid="{2183A4EC-4010-48A2-8F04-E81B863E9C04}" name="Column6473"/>
    <tableColumn id="6476" xr3:uid="{8EB38527-7B84-409F-8183-BEE4B3DE3E01}" name="Column6474"/>
    <tableColumn id="6477" xr3:uid="{58A070BF-BE14-498B-AA17-9A95543D35C1}" name="Column6475"/>
    <tableColumn id="6478" xr3:uid="{CB4B6ED2-716F-4AC2-B284-B4BD7A6FD2DD}" name="Column6476"/>
    <tableColumn id="6479" xr3:uid="{CA983D03-4E90-4C3D-AAAE-10756FD5BF9D}" name="Column6477"/>
    <tableColumn id="6480" xr3:uid="{D2E3958D-9074-4A35-8EDD-FFE608BA579E}" name="Column6478"/>
    <tableColumn id="6481" xr3:uid="{CBCF98B8-7248-408C-8121-A749988ED1F8}" name="Column6479"/>
    <tableColumn id="6482" xr3:uid="{C45BBA5E-799B-473A-9809-53279C06F4CF}" name="Column6480"/>
    <tableColumn id="6483" xr3:uid="{37D6D0EF-F569-4661-9010-EC6787EBC870}" name="Column6481"/>
    <tableColumn id="6484" xr3:uid="{F43672D2-8DF5-4271-8FE4-BBAA31E262DD}" name="Column6482"/>
    <tableColumn id="6485" xr3:uid="{94CE8FED-B7BF-4802-ACE2-DA7D069F6F91}" name="Column6483"/>
    <tableColumn id="6486" xr3:uid="{0CD141EC-0D74-4217-9765-65A301DDFC8F}" name="Column6484"/>
    <tableColumn id="6487" xr3:uid="{8818FF97-2DE2-4FF5-A427-A1C1C4A2777A}" name="Column6485"/>
    <tableColumn id="6488" xr3:uid="{C62E6302-086E-4F61-AA3B-DA42CD39F472}" name="Column6486"/>
    <tableColumn id="6489" xr3:uid="{FABD58C9-9EC3-4541-A443-0F90B671CEB3}" name="Column6487"/>
    <tableColumn id="6490" xr3:uid="{608FD56B-EC62-4602-815C-73F0CE704A5A}" name="Column6488"/>
    <tableColumn id="6491" xr3:uid="{A5B62085-7264-4A8D-8A06-248BBD646F5B}" name="Column6489"/>
    <tableColumn id="6492" xr3:uid="{97D7009E-2F92-4413-9956-4E6A1F5BCC9C}" name="Column6490"/>
    <tableColumn id="6493" xr3:uid="{0F687789-D5D7-4A3E-9F8A-AF9F23845714}" name="Column6491"/>
    <tableColumn id="6494" xr3:uid="{91E09B28-0B58-4B11-A0B4-9D72DFD0E99F}" name="Column6492"/>
    <tableColumn id="6495" xr3:uid="{D98567D4-E4BD-43BD-B1B2-E9F279731F3E}" name="Column6493"/>
    <tableColumn id="6496" xr3:uid="{A3715318-C19F-442D-8686-ECCC0F3C9CA4}" name="Column6494"/>
    <tableColumn id="6497" xr3:uid="{6158AEE5-A820-484D-BC2D-9374FAFEA4D3}" name="Column6495"/>
    <tableColumn id="6498" xr3:uid="{B0F9AD4A-0F85-4936-9D69-525FB0856EE9}" name="Column6496"/>
    <tableColumn id="6499" xr3:uid="{210383DE-11E9-4FAE-8D41-75E886404353}" name="Column6497"/>
    <tableColumn id="6500" xr3:uid="{8ADABF7D-8641-455E-9D63-F379E31A6265}" name="Column6498"/>
    <tableColumn id="6501" xr3:uid="{BFC2C559-0FA5-4FA0-BE41-2D37C53EB94F}" name="Column6499"/>
    <tableColumn id="6502" xr3:uid="{A09E0E2E-FEF3-488A-BC87-D62832BFFD3E}" name="Column6500"/>
    <tableColumn id="6503" xr3:uid="{A6E582E8-9DAC-4C4A-9FC7-328D983EA2FF}" name="Column6501"/>
    <tableColumn id="6504" xr3:uid="{4C58616B-FB87-4F66-B73C-C6C862158444}" name="Column6502"/>
    <tableColumn id="6505" xr3:uid="{897702EF-82B5-449D-9153-927C3C3CFBDC}" name="Column6503"/>
    <tableColumn id="6506" xr3:uid="{8FADF376-A341-48B3-B10F-1770CAA3AFC4}" name="Column6504"/>
    <tableColumn id="6507" xr3:uid="{9D910A76-9D4A-4DE3-9314-D47D11400446}" name="Column6505"/>
    <tableColumn id="6508" xr3:uid="{7833FFC8-BA41-47A1-A4A6-06638869FD38}" name="Column6506"/>
    <tableColumn id="6509" xr3:uid="{8606C70A-704A-4104-9967-CB23A0F8EDB5}" name="Column6507"/>
    <tableColumn id="6510" xr3:uid="{6E3D088B-FB7A-44F3-9781-350D60ADC03B}" name="Column6508"/>
    <tableColumn id="6511" xr3:uid="{3E91EFC3-B416-4063-A934-73B43E0A9CFC}" name="Column6509"/>
    <tableColumn id="6512" xr3:uid="{3540301F-2AAE-426F-87A5-B93A7E319E67}" name="Column6510"/>
    <tableColumn id="6513" xr3:uid="{524CBEFD-F279-4DC3-B013-6948B14DDE31}" name="Column6511"/>
    <tableColumn id="6514" xr3:uid="{5DB0316C-7DFC-4DCD-B05C-265FAA190C8F}" name="Column6512"/>
    <tableColumn id="6515" xr3:uid="{5DE127C0-1BE4-458B-9258-B29B8B713F43}" name="Column6513"/>
    <tableColumn id="6516" xr3:uid="{820038BD-2210-4277-A802-CC65B2190B79}" name="Column6514"/>
    <tableColumn id="6517" xr3:uid="{40619A86-D2A5-49E5-8068-65A782C06ED0}" name="Column6515"/>
    <tableColumn id="6518" xr3:uid="{AD1728C1-545C-469F-B610-055995171274}" name="Column6516"/>
    <tableColumn id="6519" xr3:uid="{D4539216-37B6-4B2C-9265-E4301ADB8C2F}" name="Column6517"/>
    <tableColumn id="6520" xr3:uid="{1A456CC5-067A-4CA2-A7D3-C67D84C1C3B8}" name="Column6518"/>
    <tableColumn id="6521" xr3:uid="{DD86C841-06AB-49D5-AC6D-6637C9DFD071}" name="Column6519"/>
    <tableColumn id="6522" xr3:uid="{9A159C60-32F6-460C-A878-CB698A5C2950}" name="Column6520"/>
    <tableColumn id="6523" xr3:uid="{40824E46-2C29-4508-A504-4D686F50EFFE}" name="Column6521"/>
    <tableColumn id="6524" xr3:uid="{EA203666-BC9B-4257-AF35-15B9BE8A7957}" name="Column6522"/>
    <tableColumn id="6525" xr3:uid="{E1520B27-FD98-4A17-B11E-3E9E41208F60}" name="Column6523"/>
    <tableColumn id="6526" xr3:uid="{71B724E6-1E4A-4AB9-9155-C6B1ECD88F7C}" name="Column6524"/>
    <tableColumn id="6527" xr3:uid="{585222DB-BF1C-4CA6-9A4D-849D2F43939D}" name="Column6525"/>
    <tableColumn id="6528" xr3:uid="{96484E3B-DC6C-4A61-99D8-5B24D039C017}" name="Column6526"/>
    <tableColumn id="6529" xr3:uid="{D0B8C5EF-BC68-4AD1-9C72-EAE89761D615}" name="Column6527"/>
    <tableColumn id="6530" xr3:uid="{03C45E04-86F3-4FB2-9571-986A56ED3F99}" name="Column6528"/>
    <tableColumn id="6531" xr3:uid="{F4FC46F5-A0F8-409B-AD82-5F54BF507C46}" name="Column6529"/>
    <tableColumn id="6532" xr3:uid="{5C152AC0-D692-46B4-972D-E95AF819F998}" name="Column6530"/>
    <tableColumn id="6533" xr3:uid="{6482ECDD-6300-41A9-BA2A-29146560F57C}" name="Column6531"/>
    <tableColumn id="6534" xr3:uid="{D054D8B4-B6B6-47A4-81C5-C52169092F29}" name="Column6532"/>
    <tableColumn id="6535" xr3:uid="{F67EDC43-7AE1-49B7-A4EB-A8098EF98AAC}" name="Column6533"/>
    <tableColumn id="6536" xr3:uid="{D1B2CA10-6737-46E4-8565-8B9224CF9F98}" name="Column6534"/>
    <tableColumn id="6537" xr3:uid="{8677636F-4707-4187-A5B0-4375D56CC1CA}" name="Column6535"/>
    <tableColumn id="6538" xr3:uid="{F9019497-D7CB-413F-9B0B-28F0D66C47EE}" name="Column6536"/>
    <tableColumn id="6539" xr3:uid="{179A04CB-3BCD-416F-883A-451A8C7CC55C}" name="Column6537"/>
    <tableColumn id="6540" xr3:uid="{0BE42C60-C3E8-4FC8-B500-592E7AD76791}" name="Column6538"/>
    <tableColumn id="6541" xr3:uid="{78414A46-0A0C-408C-96B5-5CA0CD126F2B}" name="Column6539"/>
    <tableColumn id="6542" xr3:uid="{2F137C35-7D03-48B1-B250-227B554FC0ED}" name="Column6540"/>
    <tableColumn id="6543" xr3:uid="{1917E7D7-4803-4269-A1F1-F323239BCACB}" name="Column6541"/>
    <tableColumn id="6544" xr3:uid="{BBF47ED3-E71F-42CD-AF38-041C8176CA3D}" name="Column6542"/>
    <tableColumn id="6545" xr3:uid="{FE986321-6D01-49E5-AB86-774D5DF59645}" name="Column6543"/>
    <tableColumn id="6546" xr3:uid="{C5C5FAD7-9F73-437C-89CD-3A2B2D252D2B}" name="Column6544"/>
    <tableColumn id="6547" xr3:uid="{051B189D-0590-438F-9244-2C99A7C890DB}" name="Column6545"/>
    <tableColumn id="6548" xr3:uid="{45AA8512-4360-42B4-8304-0891BC2FFADB}" name="Column6546"/>
    <tableColumn id="6549" xr3:uid="{3BC3A082-0059-4FDF-9259-0CC3EF1BD25D}" name="Column6547"/>
    <tableColumn id="6550" xr3:uid="{DCBEF941-FB04-4868-B248-373BC75056EC}" name="Column6548"/>
    <tableColumn id="6551" xr3:uid="{58CED2B7-BDA1-43E2-9B93-7895ABC43CEF}" name="Column6549"/>
    <tableColumn id="6552" xr3:uid="{9F00ECE7-BB0C-43D9-B8BC-CE29725FEDAF}" name="Column6550"/>
    <tableColumn id="6553" xr3:uid="{A02D2F30-B3A2-469C-A7C2-964A91D50D48}" name="Column6551"/>
    <tableColumn id="6554" xr3:uid="{236BC767-1AD7-4AF9-8084-C9677BB59A6C}" name="Column6552"/>
    <tableColumn id="6555" xr3:uid="{62F84747-4B30-4BCA-94C5-D751D62D229C}" name="Column6553"/>
    <tableColumn id="6556" xr3:uid="{8A3286D1-C967-4E79-BFB0-189868573F7B}" name="Column6554"/>
    <tableColumn id="6557" xr3:uid="{BD079186-ED3E-4ADF-A70F-A00AC7E7600A}" name="Column6555"/>
    <tableColumn id="6558" xr3:uid="{2C5BF3A2-6627-4B05-BF1C-DF0C1071335B}" name="Column6556"/>
    <tableColumn id="6559" xr3:uid="{C69D22EF-6118-4DB4-899F-C71560759AE5}" name="Column6557"/>
    <tableColumn id="6560" xr3:uid="{5C176785-86DB-44F2-8B02-1A9496D76D82}" name="Column6558"/>
    <tableColumn id="6561" xr3:uid="{D7974828-C53C-4BBD-9AE8-7F68AC44B59F}" name="Column6559"/>
    <tableColumn id="6562" xr3:uid="{510D4974-CF0D-47CE-8E41-ED81CC82B4A3}" name="Column6560"/>
    <tableColumn id="6563" xr3:uid="{5988F1A5-5C7A-443B-831C-901FD9C066A7}" name="Column6561"/>
    <tableColumn id="6564" xr3:uid="{EA8046A8-8C28-4A0B-A05A-0A60A936F378}" name="Column6562"/>
    <tableColumn id="6565" xr3:uid="{7B48E462-3F53-440D-BA9D-828C19E0D797}" name="Column6563"/>
    <tableColumn id="6566" xr3:uid="{82DCB2ED-28A6-451E-9223-55874F729593}" name="Column6564"/>
    <tableColumn id="6567" xr3:uid="{E57C84F3-4818-46F5-86D1-E390F06377AC}" name="Column6565"/>
    <tableColumn id="6568" xr3:uid="{B4126244-C6C1-456C-8BF5-164E65845E3C}" name="Column6566"/>
    <tableColumn id="6569" xr3:uid="{C2A24EF0-77E5-4419-8E13-9ACFA18E6823}" name="Column6567"/>
    <tableColumn id="6570" xr3:uid="{D2F229A4-6206-4C03-9B7B-471D0606690D}" name="Column6568"/>
    <tableColumn id="6571" xr3:uid="{40FDBA8A-CE5D-4E7D-9748-B373FAD3ED12}" name="Column6569"/>
    <tableColumn id="6572" xr3:uid="{06F00AE4-1EA6-4C38-A064-47CF8621852D}" name="Column6570"/>
    <tableColumn id="6573" xr3:uid="{8D7D6CBB-7ED3-45CE-BFAD-157900024988}" name="Column6571"/>
    <tableColumn id="6574" xr3:uid="{44F3D690-CB42-497E-9C9C-631F33F86011}" name="Column6572"/>
    <tableColumn id="6575" xr3:uid="{307726D1-3269-45BD-82B3-7244DD6AECBE}" name="Column6573"/>
    <tableColumn id="6576" xr3:uid="{48D4B74C-C473-45F2-9BF5-F74190BC79D8}" name="Column6574"/>
    <tableColumn id="6577" xr3:uid="{ABD4CA75-0525-4B21-9A78-7C198BEB2C59}" name="Column6575"/>
    <tableColumn id="6578" xr3:uid="{AB7E85DE-ECA8-44DB-B041-E97D433DBB7A}" name="Column6576"/>
    <tableColumn id="6579" xr3:uid="{984BE3BE-E6F9-4C2A-8FF4-1FC245C53AB8}" name="Column6577"/>
    <tableColumn id="6580" xr3:uid="{8F206A99-76B2-4C16-9DA6-FA554CEA9A7A}" name="Column6578"/>
    <tableColumn id="6581" xr3:uid="{29367E2D-5302-4C2C-8CF6-419757D28B52}" name="Column6579"/>
    <tableColumn id="6582" xr3:uid="{5CDFD56D-F2AA-4AA9-9FB4-7FFF12C355A1}" name="Column6580"/>
    <tableColumn id="6583" xr3:uid="{68D26414-FCC2-4426-9915-88BBF9B5D87C}" name="Column6581"/>
    <tableColumn id="6584" xr3:uid="{837D7DA3-D6B0-484F-9240-B4FBC0C9F603}" name="Column6582"/>
    <tableColumn id="6585" xr3:uid="{EE8E89A2-7E31-49E3-B4CC-8676D8A43880}" name="Column6583"/>
    <tableColumn id="6586" xr3:uid="{5B1C3F5C-F500-4661-83F7-99E0395CF6F5}" name="Column6584"/>
    <tableColumn id="6587" xr3:uid="{2C0D5C56-212C-4EE7-9184-EC32EAEDE23F}" name="Column6585"/>
    <tableColumn id="6588" xr3:uid="{4E33F867-8B63-4FB9-B5B3-BA44FBD00E18}" name="Column6586"/>
    <tableColumn id="6589" xr3:uid="{362C3B6D-6480-41E6-91A7-1540E91DFB43}" name="Column6587"/>
    <tableColumn id="6590" xr3:uid="{63BFEAFB-8517-4AE2-942F-B226CFEC957D}" name="Column6588"/>
    <tableColumn id="6591" xr3:uid="{97A99EC8-079B-48A1-8AD6-1F5AD1571FBA}" name="Column6589"/>
    <tableColumn id="6592" xr3:uid="{2E87E230-D962-4520-BBBA-7597F7C70ED7}" name="Column6590"/>
    <tableColumn id="6593" xr3:uid="{B8AB04AC-E3CF-4A50-9C82-1B631A9B2664}" name="Column6591"/>
    <tableColumn id="6594" xr3:uid="{8CFFEAF3-B048-4BDE-A765-598722951546}" name="Column6592"/>
    <tableColumn id="6595" xr3:uid="{09DAB9B7-E48E-4FDD-B475-A6FF5F2CDBB2}" name="Column6593"/>
    <tableColumn id="6596" xr3:uid="{4534E48B-7E48-4791-A7DA-921775D47BAF}" name="Column6594"/>
    <tableColumn id="6597" xr3:uid="{042C278B-0BB9-4A41-84AD-1DABB6C94909}" name="Column6595"/>
    <tableColumn id="6598" xr3:uid="{5F4D298C-B55D-4F96-8744-EAC723A94840}" name="Column6596"/>
    <tableColumn id="6599" xr3:uid="{AF7C4516-A745-4347-A385-591A1DC824B5}" name="Column6597"/>
    <tableColumn id="6600" xr3:uid="{9258513F-4D9F-43DB-802B-C046B5A3AC4B}" name="Column6598"/>
    <tableColumn id="6601" xr3:uid="{223E34CD-91F0-4140-8692-E9C3079AE849}" name="Column6599"/>
    <tableColumn id="6602" xr3:uid="{3C2C6B3E-C9C9-44F8-8DFB-B2E7EF63762A}" name="Column6600"/>
    <tableColumn id="6603" xr3:uid="{D482DD3A-48A8-4747-934F-8CD17CF2CEDD}" name="Column6601"/>
    <tableColumn id="6604" xr3:uid="{6F6E6DF6-84DB-44CB-9804-6904D8078101}" name="Column6602"/>
    <tableColumn id="6605" xr3:uid="{6FBDB90E-CE60-4CED-B5B7-5EDCB6EA5997}" name="Column6603"/>
    <tableColumn id="6606" xr3:uid="{AA43F7E3-6E39-4375-82EB-49D9584D7458}" name="Column6604"/>
    <tableColumn id="6607" xr3:uid="{112345CF-8E36-48C8-9ABF-A2596E6104D8}" name="Column6605"/>
    <tableColumn id="6608" xr3:uid="{41D66BD7-8578-4D8E-9CAB-F937B3E84E27}" name="Column6606"/>
    <tableColumn id="6609" xr3:uid="{589BEA7F-B9D5-44CB-860A-D4C75F72F01B}" name="Column6607"/>
    <tableColumn id="6610" xr3:uid="{5CCBE0FF-952D-4AC9-B2AD-3532D34CEDA6}" name="Column6608"/>
    <tableColumn id="6611" xr3:uid="{A7D79CB5-CC3F-4455-B019-35F4E57E8058}" name="Column6609"/>
    <tableColumn id="6612" xr3:uid="{450C4CBA-3D00-40C5-A0F5-9BA4AC313F27}" name="Column6610"/>
    <tableColumn id="6613" xr3:uid="{08543384-987C-4E97-ADF9-C6FCFBA285B8}" name="Column6611"/>
    <tableColumn id="6614" xr3:uid="{DC1E5FEB-EEA1-4F3C-9B14-2CACF488879B}" name="Column6612"/>
    <tableColumn id="6615" xr3:uid="{18C340C0-A060-4E44-9983-13A36785F9FC}" name="Column6613"/>
    <tableColumn id="6616" xr3:uid="{89A0FCA2-358F-4322-A19F-DD384B07737C}" name="Column6614"/>
    <tableColumn id="6617" xr3:uid="{4CBB89B5-DD97-4F10-8E26-FEDC67A7B9F4}" name="Column6615"/>
    <tableColumn id="6618" xr3:uid="{7C045B04-ECE9-47AA-A831-B6F44038E7B8}" name="Column6616"/>
    <tableColumn id="6619" xr3:uid="{D12E914A-81D7-4EDA-BA5D-4E483B17FCBC}" name="Column6617"/>
    <tableColumn id="6620" xr3:uid="{8543A3E3-EA03-4A31-9BEF-CB4E1A9387FB}" name="Column6618"/>
    <tableColumn id="6621" xr3:uid="{58C57C99-C0BB-4915-BE56-B43366E169FF}" name="Column6619"/>
    <tableColumn id="6622" xr3:uid="{5E4AA1D3-CF6F-429B-ACEE-3B1A5D8E9575}" name="Column6620"/>
    <tableColumn id="6623" xr3:uid="{106F8E92-8B2E-40A6-B434-77590BD70D99}" name="Column6621"/>
    <tableColumn id="6624" xr3:uid="{D56DAA69-A7FD-4C3C-9948-8FFB5C1956A8}" name="Column6622"/>
    <tableColumn id="6625" xr3:uid="{C3A81006-5179-4159-9BF4-E0488EAFB9C2}" name="Column6623"/>
    <tableColumn id="6626" xr3:uid="{641F5684-FA94-44EC-8490-72C6B0E8AFC9}" name="Column6624"/>
    <tableColumn id="6627" xr3:uid="{5CD1DD9E-23FA-4C9D-BFF8-08731DD4D4AC}" name="Column6625"/>
    <tableColumn id="6628" xr3:uid="{5157C006-F07A-4618-8F42-3FCF601EA3ED}" name="Column6626"/>
    <tableColumn id="6629" xr3:uid="{9F38ECFA-FAA6-4349-9C7A-EDB82B18693D}" name="Column6627"/>
    <tableColumn id="6630" xr3:uid="{10369A89-6C4E-4484-A717-12C49A963FB6}" name="Column6628"/>
    <tableColumn id="6631" xr3:uid="{1C588F3B-96A9-44F9-9621-7312AD3BD72D}" name="Column6629"/>
    <tableColumn id="6632" xr3:uid="{D5CC96CD-3A9D-450C-B52F-28D30B176B8D}" name="Column6630"/>
    <tableColumn id="6633" xr3:uid="{9BB77BCE-B96F-480D-BEA6-1F3707AF4583}" name="Column6631"/>
    <tableColumn id="6634" xr3:uid="{E49914C3-B6D3-477C-8FE7-10D7ADB8A9CA}" name="Column6632"/>
    <tableColumn id="6635" xr3:uid="{3FBE1C3F-93AE-48D8-8C32-D06B03979E8F}" name="Column6633"/>
    <tableColumn id="6636" xr3:uid="{4A849FFA-6C7A-418D-B26B-72AA050CE428}" name="Column6634"/>
    <tableColumn id="6637" xr3:uid="{6AB83ACD-1FD5-40D9-8B6D-880E5DBF4C2F}" name="Column6635"/>
    <tableColumn id="6638" xr3:uid="{AAB4D279-8B31-4A8D-A3F0-EBEC638D216C}" name="Column6636"/>
    <tableColumn id="6639" xr3:uid="{362A9127-CA2D-48AB-B9E5-7A2EC5E20B8A}" name="Column6637"/>
    <tableColumn id="6640" xr3:uid="{6B918588-F164-4F98-8BA8-AE02E1580A9A}" name="Column6638"/>
    <tableColumn id="6641" xr3:uid="{2B7AE734-942E-4C0D-845D-10B2A768341F}" name="Column6639"/>
    <tableColumn id="6642" xr3:uid="{3FEE9278-4EAF-40C9-8CBC-BE22D496B76C}" name="Column6640"/>
    <tableColumn id="6643" xr3:uid="{FF347A6F-DB9C-4622-AAC1-B2986E43D333}" name="Column6641"/>
    <tableColumn id="6644" xr3:uid="{2C29E64A-C58C-4817-92AE-1D3C34E9A436}" name="Column6642"/>
    <tableColumn id="6645" xr3:uid="{55776857-E67E-458E-8974-26131091CA75}" name="Column6643"/>
    <tableColumn id="6646" xr3:uid="{952271C0-936C-4FD0-9E4D-111F2D45E01B}" name="Column6644"/>
    <tableColumn id="6647" xr3:uid="{B7E9DDB0-B79E-4F8E-93B9-E6C76C83E046}" name="Column6645"/>
    <tableColumn id="6648" xr3:uid="{DEE7BF1A-7973-4D5B-9FB8-4622C95D1DFE}" name="Column6646"/>
    <tableColumn id="6649" xr3:uid="{6E9A75D3-E527-4098-8DB5-7A1BB7C99B22}" name="Column6647"/>
    <tableColumn id="6650" xr3:uid="{8002943D-CA56-4529-BD41-DEE0B4C3029E}" name="Column6648"/>
    <tableColumn id="6651" xr3:uid="{D3D99575-BFF9-4511-A27D-D8C0AC440748}" name="Column6649"/>
    <tableColumn id="6652" xr3:uid="{FBE60D71-05FE-4613-90DD-07A82913F9ED}" name="Column6650"/>
    <tableColumn id="6653" xr3:uid="{8B443D41-A34F-4902-B488-3CC78A614259}" name="Column6651"/>
    <tableColumn id="6654" xr3:uid="{DFC11CE9-D63B-403B-A06B-0B33AE1095BF}" name="Column6652"/>
    <tableColumn id="6655" xr3:uid="{D2BC1174-62E2-40BC-A875-A8914F9A955C}" name="Column6653"/>
    <tableColumn id="6656" xr3:uid="{22914361-4D18-4E8D-A0CD-96AC15B28184}" name="Column6654"/>
    <tableColumn id="6657" xr3:uid="{87FE7EB9-F325-43E9-8F91-26097B0C8F06}" name="Column6655"/>
    <tableColumn id="6658" xr3:uid="{917CEB59-AB83-4A2B-9E4A-2F7B5991E0E9}" name="Column6656"/>
    <tableColumn id="6659" xr3:uid="{5F003FD6-F070-4C4A-A966-6AEEACC314A8}" name="Column6657"/>
    <tableColumn id="6660" xr3:uid="{0593C6BA-B553-4A86-8C7F-5C917DB2AF72}" name="Column6658"/>
    <tableColumn id="6661" xr3:uid="{242256F8-2DD0-4F89-8D89-FF80702DC872}" name="Column6659"/>
    <tableColumn id="6662" xr3:uid="{93E9A59F-8CD9-49D1-8579-A33CA35D48E1}" name="Column6660"/>
    <tableColumn id="6663" xr3:uid="{318B9659-B359-4F3F-8330-EC3BF8692AA3}" name="Column6661"/>
    <tableColumn id="6664" xr3:uid="{7296D349-653F-462F-AC06-F26788A95289}" name="Column6662"/>
    <tableColumn id="6665" xr3:uid="{D9E01587-8673-4F9A-BA7F-85962738E4A6}" name="Column6663"/>
    <tableColumn id="6666" xr3:uid="{5E469971-92F7-4B00-9AD5-1397595C6647}" name="Column6664"/>
    <tableColumn id="6667" xr3:uid="{5055AED2-9D6D-4EF9-AE0E-35ABE9390CDA}" name="Column6665"/>
    <tableColumn id="6668" xr3:uid="{6F3117EA-83D7-41F3-98C5-BF397730D5E8}" name="Column6666"/>
    <tableColumn id="6669" xr3:uid="{F9679C21-FB00-4AD2-A95E-042E79BC75E6}" name="Column6667"/>
    <tableColumn id="6670" xr3:uid="{2BAAEC98-D694-4C57-A90D-67C5EEFB759B}" name="Column6668"/>
    <tableColumn id="6671" xr3:uid="{8CE85EF9-9EEB-4813-82A4-74A6866ADFEB}" name="Column6669"/>
    <tableColumn id="6672" xr3:uid="{312CFC67-0617-4ECD-9F97-A3B0FC43A451}" name="Column6670"/>
    <tableColumn id="6673" xr3:uid="{B53369CA-A4CA-44A3-8D8D-73C20EF524FA}" name="Column6671"/>
    <tableColumn id="6674" xr3:uid="{3311065B-8245-4FBD-AD7E-36DD6851EF8D}" name="Column6672"/>
    <tableColumn id="6675" xr3:uid="{95361B32-2C06-4605-BB7A-505C2CD053E1}" name="Column6673"/>
    <tableColumn id="6676" xr3:uid="{864246F1-A49F-4036-9DB4-AC99EA8A5BB0}" name="Column6674"/>
    <tableColumn id="6677" xr3:uid="{1920DA6B-5243-4DB6-848C-BC87649EE664}" name="Column6675"/>
    <tableColumn id="6678" xr3:uid="{73E4A25A-193B-44FD-9ED9-A2A8CA794C4E}" name="Column6676"/>
    <tableColumn id="6679" xr3:uid="{444A4184-1C0E-41CC-B3C3-BE30E0199B97}" name="Column6677"/>
    <tableColumn id="6680" xr3:uid="{D38B4AC8-0A16-4C38-B622-52C0E69972A7}" name="Column6678"/>
    <tableColumn id="6681" xr3:uid="{CBAFCFD3-1453-49DA-9AC1-8F13C0033ADC}" name="Column6679"/>
    <tableColumn id="6682" xr3:uid="{84EF0ABA-B2ED-486E-AED8-A6CF40602C64}" name="Column6680"/>
    <tableColumn id="6683" xr3:uid="{7E60A1F3-898C-4742-BDA2-8807FE7C12DB}" name="Column6681"/>
    <tableColumn id="6684" xr3:uid="{0284A4F1-83BD-47B3-9AA0-E00A83D08ADC}" name="Column6682"/>
    <tableColumn id="6685" xr3:uid="{A5E3058C-2FA8-4DEB-8D14-B5461D4DC561}" name="Column6683"/>
    <tableColumn id="6686" xr3:uid="{5F45A12C-43CC-4A34-ADC1-6F495B20C003}" name="Column6684"/>
    <tableColumn id="6687" xr3:uid="{E3E3F402-5271-41C7-964F-8998F091B898}" name="Column6685"/>
    <tableColumn id="6688" xr3:uid="{C7691CE3-C654-42A6-9A74-F0E47D6CD8A4}" name="Column6686"/>
    <tableColumn id="6689" xr3:uid="{CA398661-F535-4653-BC9D-A8B63C2E959B}" name="Column6687"/>
    <tableColumn id="6690" xr3:uid="{859F499C-658A-432E-B7E7-E4F842049904}" name="Column6688"/>
    <tableColumn id="6691" xr3:uid="{22630C84-9285-4A03-8A11-8FFD1233EF7F}" name="Column6689"/>
    <tableColumn id="6692" xr3:uid="{64C220B0-5D40-4FA3-B1AA-5801AC9766F9}" name="Column6690"/>
    <tableColumn id="6693" xr3:uid="{923A4D40-D35F-43DF-B384-2BB1E6E2F242}" name="Column6691"/>
    <tableColumn id="6694" xr3:uid="{4C3B6090-6692-433F-A91A-B1566EC38AEA}" name="Column6692"/>
    <tableColumn id="6695" xr3:uid="{75F828B7-C97A-4215-A068-FD8C53649853}" name="Column6693"/>
    <tableColumn id="6696" xr3:uid="{F309622F-54AB-492E-9E02-D6FE480A42DF}" name="Column6694"/>
    <tableColumn id="6697" xr3:uid="{D213C6B6-5A20-472C-AD97-3CF59F0619D8}" name="Column6695"/>
    <tableColumn id="6698" xr3:uid="{D451DDCF-FBE7-4D7A-9448-FB84BE2F8EB9}" name="Column6696"/>
    <tableColumn id="6699" xr3:uid="{339F7E58-47B6-455E-9D8D-339CDA411739}" name="Column6697"/>
    <tableColumn id="6700" xr3:uid="{55380C09-8CD9-4F83-9139-8FB929C0B191}" name="Column6698"/>
    <tableColumn id="6701" xr3:uid="{76C76DFC-C56F-495D-A813-471DAC379D4B}" name="Column6699"/>
    <tableColumn id="6702" xr3:uid="{13EE3824-9BE0-4CEC-A578-8F63DD050310}" name="Column6700"/>
    <tableColumn id="6703" xr3:uid="{D62F22C2-A43E-41BA-B1E0-EA4B1B1FF0F3}" name="Column6701"/>
    <tableColumn id="6704" xr3:uid="{9570144F-ABEF-4E94-8977-9C1A9BD9C0DB}" name="Column6702"/>
    <tableColumn id="6705" xr3:uid="{771390A6-A5C2-4B40-B65B-8014E864C97E}" name="Column6703"/>
    <tableColumn id="6706" xr3:uid="{95647800-33D0-499E-8EB4-E0A9D091D7DE}" name="Column6704"/>
    <tableColumn id="6707" xr3:uid="{F409DAF6-D854-4AC7-8EBB-547B94065F38}" name="Column6705"/>
    <tableColumn id="6708" xr3:uid="{CADA0EC3-7E04-4CA4-8915-2072C3C1198F}" name="Column6706"/>
    <tableColumn id="6709" xr3:uid="{B42176C6-7E73-4597-A9E8-7993FF0640DE}" name="Column6707"/>
    <tableColumn id="6710" xr3:uid="{451ADF2A-9D30-4445-9991-8D092EDB7153}" name="Column6708"/>
    <tableColumn id="6711" xr3:uid="{F1E00A75-3513-473E-A69D-78C53F072E29}" name="Column6709"/>
    <tableColumn id="6712" xr3:uid="{DABD2A55-32AF-4168-9C35-FA8F746E017D}" name="Column6710"/>
    <tableColumn id="6713" xr3:uid="{B5CAE74D-866E-4D62-AA33-1F92FA5A05AF}" name="Column6711"/>
    <tableColumn id="6714" xr3:uid="{C08158FB-4DDC-44E1-BEE8-0FC1607DE4E5}" name="Column6712"/>
    <tableColumn id="6715" xr3:uid="{CD3D0209-5C91-4204-BF38-F679127771C1}" name="Column6713"/>
    <tableColumn id="6716" xr3:uid="{F3B3D65B-1FDE-412A-B20A-8B93BD406930}" name="Column6714"/>
    <tableColumn id="6717" xr3:uid="{E97ECBF0-9145-4F25-AFFD-70F0D7017D1A}" name="Column6715"/>
    <tableColumn id="6718" xr3:uid="{8966A55B-F495-4CF8-8AAF-E5E02E38E96D}" name="Column6716"/>
    <tableColumn id="6719" xr3:uid="{4F382643-187E-4853-836E-CA7CAB69DD7C}" name="Column6717"/>
    <tableColumn id="6720" xr3:uid="{B6F74E6C-76B9-4E2A-9394-29CD8BB02A8A}" name="Column6718"/>
    <tableColumn id="6721" xr3:uid="{C010D39F-6286-4663-AB75-58388ADFE6D9}" name="Column6719"/>
    <tableColumn id="6722" xr3:uid="{E4A7B2A9-AC57-439F-85E2-DA043F2E5EE1}" name="Column6720"/>
    <tableColumn id="6723" xr3:uid="{DF290E38-5A24-4791-83CC-82926EED9FE1}" name="Column6721"/>
    <tableColumn id="6724" xr3:uid="{BA4C9EA0-321D-4EEB-BA67-E5D2170F8C92}" name="Column6722"/>
    <tableColumn id="6725" xr3:uid="{8024FE04-A446-48BB-9BC8-43C96C5370E9}" name="Column6723"/>
    <tableColumn id="6726" xr3:uid="{9836D3ED-37EE-4236-BE94-6D009397854A}" name="Column6724"/>
    <tableColumn id="6727" xr3:uid="{77E59999-2127-44C9-B637-8AE4F0879068}" name="Column6725"/>
    <tableColumn id="6728" xr3:uid="{AFA2E329-8CB4-4891-9721-BCBF3FA3A047}" name="Column6726"/>
    <tableColumn id="6729" xr3:uid="{FF09AF1A-38E6-47E4-9C3F-B24B70BC7B42}" name="Column6727"/>
    <tableColumn id="6730" xr3:uid="{6C1C39AB-005D-4BA1-B100-CA625A21E958}" name="Column6728"/>
    <tableColumn id="6731" xr3:uid="{B4ADC8EE-145F-44E6-8D57-02F33AF068E2}" name="Column6729"/>
    <tableColumn id="6732" xr3:uid="{2D3782D4-FDFE-43E6-B6DF-10EC798FB692}" name="Column6730"/>
    <tableColumn id="6733" xr3:uid="{79E7E4D5-C19D-4143-BF84-A4DF11C018FC}" name="Column6731"/>
    <tableColumn id="6734" xr3:uid="{1FC75C00-F5F0-4177-B216-805BD94E5DDE}" name="Column6732"/>
    <tableColumn id="6735" xr3:uid="{6AF52466-15CE-43D0-BCC7-9D5A11F88EC1}" name="Column6733"/>
    <tableColumn id="6736" xr3:uid="{61EF011A-1DC1-4C96-91C3-2DDB1ED38EF3}" name="Column6734"/>
    <tableColumn id="6737" xr3:uid="{A96C91FF-A963-4DA4-85E4-A4237E9B9D4B}" name="Column6735"/>
    <tableColumn id="6738" xr3:uid="{C93E3334-87FC-47BE-B0C2-861BCFACD4BE}" name="Column6736"/>
    <tableColumn id="6739" xr3:uid="{77F8A7C7-DEB3-45F0-AA77-73936891F11A}" name="Column6737"/>
    <tableColumn id="6740" xr3:uid="{4599C081-D7EE-41D0-B405-B92480A7286C}" name="Column6738"/>
    <tableColumn id="6741" xr3:uid="{85EDCDB9-259D-4A35-A241-383A1F746763}" name="Column6739"/>
    <tableColumn id="6742" xr3:uid="{9F29CDED-51AA-4156-BEE7-6208A298C108}" name="Column6740"/>
    <tableColumn id="6743" xr3:uid="{FCB68E67-E6E9-44CC-B0A0-31805DB591B9}" name="Column6741"/>
    <tableColumn id="6744" xr3:uid="{85ECB52C-A355-4EB6-9E19-62DBF35C1421}" name="Column6742"/>
    <tableColumn id="6745" xr3:uid="{B7EB6DC2-7C82-4A97-B9A4-90C3A35715EC}" name="Column6743"/>
    <tableColumn id="6746" xr3:uid="{25ABE24A-E56B-47B7-BC0A-BC215CCF3D3E}" name="Column6744"/>
    <tableColumn id="6747" xr3:uid="{22DB6798-0454-48CB-89A7-B536C5F5E034}" name="Column6745"/>
    <tableColumn id="6748" xr3:uid="{90DBE4D0-7DC7-41B8-B7FD-981C31196C23}" name="Column6746"/>
    <tableColumn id="6749" xr3:uid="{DCBF9C93-DE69-48BF-B1DB-028039464897}" name="Column6747"/>
    <tableColumn id="6750" xr3:uid="{037BEFF8-89BC-4115-AC7D-D4DA1B816D24}" name="Column6748"/>
    <tableColumn id="6751" xr3:uid="{A56916DD-7E3A-4229-A496-9DBD1461CFC9}" name="Column6749"/>
    <tableColumn id="6752" xr3:uid="{64A7A628-F76E-404F-8E69-24A14259A41F}" name="Column6750"/>
    <tableColumn id="6753" xr3:uid="{63F4FD9A-912D-4E16-BDE7-9624AC60704E}" name="Column6751"/>
    <tableColumn id="6754" xr3:uid="{E2D83253-11F7-44C3-87BF-D33B4E8DEA4A}" name="Column6752"/>
    <tableColumn id="6755" xr3:uid="{93D1A36A-393F-49A7-82BA-58F9020A1EB8}" name="Column6753"/>
    <tableColumn id="6756" xr3:uid="{FC53B332-CACE-4D7C-AA06-139482F4E29C}" name="Column6754"/>
    <tableColumn id="6757" xr3:uid="{3D8DF70B-C011-45B6-8271-8FAE83DEA546}" name="Column6755"/>
    <tableColumn id="6758" xr3:uid="{15F72DF9-D038-4B2B-9552-4FB8719D6105}" name="Column6756"/>
    <tableColumn id="6759" xr3:uid="{7345EAA8-BADE-446B-9CC6-684C89578ACE}" name="Column6757"/>
    <tableColumn id="6760" xr3:uid="{19148CF7-FE2F-41F8-A3CF-AD00DB83E6F6}" name="Column6758"/>
    <tableColumn id="6761" xr3:uid="{F4B04A98-79CE-49E0-A989-30ED55F49699}" name="Column6759"/>
    <tableColumn id="6762" xr3:uid="{BE6282C4-CB28-4493-BEAD-7366922F6699}" name="Column6760"/>
    <tableColumn id="6763" xr3:uid="{BF49B22B-22A8-4649-B102-2617CA5402CF}" name="Column6761"/>
    <tableColumn id="6764" xr3:uid="{E91335C1-EBCE-460F-B4AF-029C1BDB01A9}" name="Column6762"/>
    <tableColumn id="6765" xr3:uid="{B65FED16-F33D-48AE-8605-92D1E0AA2036}" name="Column6763"/>
    <tableColumn id="6766" xr3:uid="{A75D0A9D-9203-4337-81A2-A8B338C3B5F5}" name="Column6764"/>
    <tableColumn id="6767" xr3:uid="{FC0508D4-9C34-4B3B-87BF-6BADE7CC441F}" name="Column6765"/>
    <tableColumn id="6768" xr3:uid="{6F35F551-1CF3-4DFA-AEF2-78C35687D3E9}" name="Column6766"/>
    <tableColumn id="6769" xr3:uid="{229325DE-CCB0-4A4A-9D3E-D3E2512267C4}" name="Column6767"/>
    <tableColumn id="6770" xr3:uid="{A6BC5042-98C1-4199-9AB7-3124B1392843}" name="Column6768"/>
    <tableColumn id="6771" xr3:uid="{D43A07C8-57C9-4E4F-88DB-960732A14681}" name="Column6769"/>
    <tableColumn id="6772" xr3:uid="{2E9A9043-0EBC-42F6-A0B0-F80E9B07D1CC}" name="Column6770"/>
    <tableColumn id="6773" xr3:uid="{5FA2E323-9536-4BB5-9545-DE3F2CCE6A47}" name="Column6771"/>
    <tableColumn id="6774" xr3:uid="{9CB2ED20-4E69-4BC2-A13E-E5DA11E8A1B2}" name="Column6772"/>
    <tableColumn id="6775" xr3:uid="{5DA387CD-6AAA-4C14-A809-99AE38B34C0B}" name="Column6773"/>
    <tableColumn id="6776" xr3:uid="{772EBE82-DE8E-4B10-B53C-4D2390BE4696}" name="Column6774"/>
    <tableColumn id="6777" xr3:uid="{04D53157-6992-4BF1-9B20-B2D9C5CF5058}" name="Column6775"/>
    <tableColumn id="6778" xr3:uid="{1907BDF7-DE71-477F-9BF4-0D77DCE73BD3}" name="Column6776"/>
    <tableColumn id="6779" xr3:uid="{850AF9F0-1BE6-4914-A5BD-4EFD4097623D}" name="Column6777"/>
    <tableColumn id="6780" xr3:uid="{3AA8EBA4-8C28-4E7E-85EA-1A250F1AC5BF}" name="Column6778"/>
    <tableColumn id="6781" xr3:uid="{76A6801B-6C69-4348-B2B4-C33872D5FB02}" name="Column6779"/>
    <tableColumn id="6782" xr3:uid="{8948E380-7FD8-41DC-8C44-7061725287C9}" name="Column6780"/>
    <tableColumn id="6783" xr3:uid="{12BD0BDB-2370-45B1-8438-731A9814422D}" name="Column6781"/>
    <tableColumn id="6784" xr3:uid="{99B15A8F-EACC-4269-A105-8B6C455B3F8A}" name="Column6782"/>
    <tableColumn id="6785" xr3:uid="{1AD9446B-9B41-43E9-9560-960271B94A6B}" name="Column6783"/>
    <tableColumn id="6786" xr3:uid="{C090DA38-44BE-4A82-925A-786508D2ACEE}" name="Column6784"/>
    <tableColumn id="6787" xr3:uid="{AC337288-DC4D-4F60-A46C-087AD344730D}" name="Column6785"/>
    <tableColumn id="6788" xr3:uid="{77EA505C-DDD9-4B99-ABD8-5D223FA0F1FC}" name="Column6786"/>
    <tableColumn id="6789" xr3:uid="{D0C53B78-F828-4DDB-AF76-3F4AF912CCCE}" name="Column6787"/>
    <tableColumn id="6790" xr3:uid="{C3A7E506-9CB8-4CCF-9243-1D1E4E61B409}" name="Column6788"/>
    <tableColumn id="6791" xr3:uid="{81914698-8113-4633-B7EA-72A9CE139B04}" name="Column6789"/>
    <tableColumn id="6792" xr3:uid="{A1F69B29-3AD6-441B-9ACF-EF2DFE7DB70D}" name="Column6790"/>
    <tableColumn id="6793" xr3:uid="{D0C8264C-3514-4519-9F78-3E2DA6C600F6}" name="Column6791"/>
    <tableColumn id="6794" xr3:uid="{50C85C74-958A-44E4-9168-2EE893948FEB}" name="Column6792"/>
    <tableColumn id="6795" xr3:uid="{CC700295-C337-4604-B3E4-936DD23FA971}" name="Column6793"/>
    <tableColumn id="6796" xr3:uid="{1917814C-1E4C-4D83-BD03-56E9F182F86C}" name="Column6794"/>
    <tableColumn id="6797" xr3:uid="{69B3EDE5-2414-4860-8431-B36D028C9782}" name="Column6795"/>
    <tableColumn id="6798" xr3:uid="{FF286EE3-DFDC-44D4-8FCC-D5E51DA75714}" name="Column6796"/>
    <tableColumn id="6799" xr3:uid="{D40D6930-1D74-471E-9B84-FC76873E6432}" name="Column6797"/>
    <tableColumn id="6800" xr3:uid="{77B49B38-6860-4556-A143-8618C84EFE8F}" name="Column6798"/>
    <tableColumn id="6801" xr3:uid="{31A8F290-1672-453C-8589-049AEBB094D4}" name="Column6799"/>
    <tableColumn id="6802" xr3:uid="{25A2E704-0429-4A7B-A760-F45ABC03E2A9}" name="Column6800"/>
    <tableColumn id="6803" xr3:uid="{41737758-F90C-4F4D-8BED-177926BB7BC2}" name="Column6801"/>
    <tableColumn id="6804" xr3:uid="{E0194AC2-BDCB-411C-B33A-8D70D6EBAE7C}" name="Column6802"/>
    <tableColumn id="6805" xr3:uid="{643F6C6B-BE5E-4445-9034-19DD3B15D5AC}" name="Column6803"/>
    <tableColumn id="6806" xr3:uid="{08EB793C-241E-43DA-ADF1-3EC34369B7B3}" name="Column6804"/>
    <tableColumn id="6807" xr3:uid="{62BD6CB3-30A1-4A8B-B0C9-FF28F010F76C}" name="Column6805"/>
    <tableColumn id="6808" xr3:uid="{7B8A8D79-23A9-41D4-9897-92742A21BD0B}" name="Column6806"/>
    <tableColumn id="6809" xr3:uid="{E6F866EB-44AE-4583-A2D3-742239500CEC}" name="Column6807"/>
    <tableColumn id="6810" xr3:uid="{90DF864A-9945-4B74-BFE6-1C78B913733A}" name="Column6808"/>
    <tableColumn id="6811" xr3:uid="{92AE35D3-2334-4360-9013-2C331F4EE47E}" name="Column6809"/>
    <tableColumn id="6812" xr3:uid="{41C044D0-ED3B-494D-8BBA-813A9FBC5A89}" name="Column6810"/>
    <tableColumn id="6813" xr3:uid="{30DA5C90-C46F-448D-A4AB-30F2464A0AA3}" name="Column6811"/>
    <tableColumn id="6814" xr3:uid="{F78DA989-9B08-40ED-868C-584BAF5C563F}" name="Column6812"/>
    <tableColumn id="6815" xr3:uid="{B477F5EC-25A9-494B-8078-116792A773BE}" name="Column6813"/>
    <tableColumn id="6816" xr3:uid="{BE17C109-E473-4F8E-8BB8-F8376BB1D162}" name="Column6814"/>
    <tableColumn id="6817" xr3:uid="{ECAEF774-F298-4D1E-8C67-4F4426B110A4}" name="Column6815"/>
    <tableColumn id="6818" xr3:uid="{8BD61BDC-0D5C-4DD0-A1E1-798A5427BF9F}" name="Column6816"/>
    <tableColumn id="6819" xr3:uid="{01A19D7E-AB41-40D4-9EB0-D416BB38711D}" name="Column6817"/>
    <tableColumn id="6820" xr3:uid="{47D3856B-FCAA-4A8C-9484-2D02D13EB761}" name="Column6818"/>
    <tableColumn id="6821" xr3:uid="{279183A6-F0AD-462B-B63E-EB234090822D}" name="Column6819"/>
    <tableColumn id="6822" xr3:uid="{8292CA27-0130-4E3A-91BE-40C65A921FF0}" name="Column6820"/>
    <tableColumn id="6823" xr3:uid="{F6FA7F22-4338-4FBC-831C-0FFA21308997}" name="Column6821"/>
    <tableColumn id="6824" xr3:uid="{B91603B4-4AED-415F-BF58-1AE7F98519E3}" name="Column6822"/>
    <tableColumn id="6825" xr3:uid="{12C9AE99-3241-4658-A922-2292B4C7CEE5}" name="Column6823"/>
    <tableColumn id="6826" xr3:uid="{DA6313DC-709D-479D-930F-2719C3330159}" name="Column6824"/>
    <tableColumn id="6827" xr3:uid="{3B424170-5091-4156-8318-1CF16DC89580}" name="Column6825"/>
    <tableColumn id="6828" xr3:uid="{B9CE62B7-A4BD-4AFD-AE18-ED5EE9D5B06B}" name="Column6826"/>
    <tableColumn id="6829" xr3:uid="{22C89CE2-3771-42F4-B65B-440C1D1ACB4E}" name="Column6827"/>
    <tableColumn id="6830" xr3:uid="{C96E1483-9C80-4A74-B96C-BA851F80343A}" name="Column6828"/>
    <tableColumn id="6831" xr3:uid="{6B1EF5C4-AE4F-4DC0-8B81-CFF8E6F7D195}" name="Column6829"/>
    <tableColumn id="6832" xr3:uid="{241E241E-8A19-4E68-91E1-9023CCF00124}" name="Column6830"/>
    <tableColumn id="6833" xr3:uid="{ABB7A817-0CC9-4AA4-9222-8B46C3DF437A}" name="Column6831"/>
    <tableColumn id="6834" xr3:uid="{7897423C-FD6B-4143-A883-7FEB1814C063}" name="Column6832"/>
    <tableColumn id="6835" xr3:uid="{B3951007-5804-4898-A2EA-F8BFD4F1C825}" name="Column6833"/>
    <tableColumn id="6836" xr3:uid="{9DE772C1-33EE-4D4A-A144-0287093FC884}" name="Column6834"/>
    <tableColumn id="6837" xr3:uid="{BB66C923-5278-49E4-B94D-516A30B1C998}" name="Column6835"/>
    <tableColumn id="6838" xr3:uid="{8AB5195D-20D8-42D0-B2EF-C20BD0B57D20}" name="Column6836"/>
    <tableColumn id="6839" xr3:uid="{C2ED7074-5220-4431-A3E0-ED657F19E894}" name="Column6837"/>
    <tableColumn id="6840" xr3:uid="{90D845ED-878D-4103-9108-C332FC8DBF54}" name="Column6838"/>
    <tableColumn id="6841" xr3:uid="{40A6BC09-073A-40DB-9E61-60FF09F0BF8C}" name="Column6839"/>
    <tableColumn id="6842" xr3:uid="{BF26C78D-5B1A-4FEA-983F-BE549F216CC6}" name="Column6840"/>
    <tableColumn id="6843" xr3:uid="{3400FC9F-B061-43DA-8B41-7BF21AFFFFD6}" name="Column6841"/>
    <tableColumn id="6844" xr3:uid="{403F59E2-BD52-4729-A845-A7E264B4618D}" name="Column6842"/>
    <tableColumn id="6845" xr3:uid="{9A4FEAAB-4DC7-482B-B28C-1EF458CEACE5}" name="Column6843"/>
    <tableColumn id="6846" xr3:uid="{02EB1A0D-14E8-4F56-802C-D1C1F1C7ECE3}" name="Column6844"/>
    <tableColumn id="6847" xr3:uid="{602B9BF5-17CF-421A-8DC9-A2923A427F34}" name="Column6845"/>
    <tableColumn id="6848" xr3:uid="{C997EC81-2E4E-42E1-98E5-672B0874DBB7}" name="Column6846"/>
    <tableColumn id="6849" xr3:uid="{FA559F95-107A-4AD1-BFE5-0DC23934BD77}" name="Column6847"/>
    <tableColumn id="6850" xr3:uid="{FDBE3107-BAB7-4F2B-AE0E-5F33E8262B93}" name="Column6848"/>
    <tableColumn id="6851" xr3:uid="{0D1572FA-5802-4D38-86F8-25D5E56FDAC4}" name="Column6849"/>
    <tableColumn id="6852" xr3:uid="{6FFBC894-DE92-4D3F-977B-2F3E0AD949B0}" name="Column6850"/>
    <tableColumn id="6853" xr3:uid="{E3C2730C-2E5B-4E47-A03C-28EA5D421560}" name="Column6851"/>
    <tableColumn id="6854" xr3:uid="{B5F740AE-2D76-42FF-A82D-4142E4CF94BF}" name="Column6852"/>
    <tableColumn id="6855" xr3:uid="{8E51269B-496E-47FF-8E03-E7A1D2DF5E3A}" name="Column6853"/>
    <tableColumn id="6856" xr3:uid="{93C92C50-E6CA-45A5-A7A2-B8981EA359C8}" name="Column6854"/>
    <tableColumn id="6857" xr3:uid="{07EE6A0C-136A-4785-9748-09530228FB10}" name="Column6855"/>
    <tableColumn id="6858" xr3:uid="{B6998815-53A9-4859-8E24-54A280D3CDA8}" name="Column6856"/>
    <tableColumn id="6859" xr3:uid="{7431C948-D39A-4BFA-9B62-83580EA4EB3C}" name="Column6857"/>
    <tableColumn id="6860" xr3:uid="{02A2A48E-28AD-40A7-B910-1B99E1383A63}" name="Column6858"/>
    <tableColumn id="6861" xr3:uid="{D671B95E-F735-4FB2-AEEC-05514C7342BF}" name="Column6859"/>
    <tableColumn id="6862" xr3:uid="{082A1E99-7CDF-4405-B3D6-44AD715CE40B}" name="Column6860"/>
    <tableColumn id="6863" xr3:uid="{B07C735E-2C12-4B4A-819A-A5206C5092EE}" name="Column6861"/>
    <tableColumn id="6864" xr3:uid="{57F6ADA8-3799-4711-96C8-E616D614F4A6}" name="Column6862"/>
    <tableColumn id="6865" xr3:uid="{B760B267-6884-4DA3-94D4-24BA62CF95FB}" name="Column6863"/>
    <tableColumn id="6866" xr3:uid="{1F3ACFF6-27E6-4D06-8CAA-DDFCA2359B2E}" name="Column6864"/>
    <tableColumn id="6867" xr3:uid="{0B12A1CB-93B3-4CDF-A87E-CFA2ACA553B9}" name="Column6865"/>
    <tableColumn id="6868" xr3:uid="{4A070C99-4DC6-418C-B856-1F9720AE8D5A}" name="Column6866"/>
    <tableColumn id="6869" xr3:uid="{25F00D3D-E101-41EF-98DA-DF90C7F91A66}" name="Column6867"/>
    <tableColumn id="6870" xr3:uid="{2DDB11A2-573F-48F0-94D6-358011E48F0F}" name="Column6868"/>
    <tableColumn id="6871" xr3:uid="{D4EE378B-7CCA-4A19-8903-3FA6593627BC}" name="Column6869"/>
    <tableColumn id="6872" xr3:uid="{1B218D03-1F44-4B41-9EBC-568AD45428A4}" name="Column6870"/>
    <tableColumn id="6873" xr3:uid="{619AAE07-BD05-4BF6-9DC0-1505812519AD}" name="Column6871"/>
    <tableColumn id="6874" xr3:uid="{56E9837C-DF30-46C5-B455-22391D01D35F}" name="Column6872"/>
    <tableColumn id="6875" xr3:uid="{604F4A3D-CC56-43DE-B3C6-889936CA606C}" name="Column6873"/>
    <tableColumn id="6876" xr3:uid="{3CF28864-AF81-4DD4-B6E5-234D25D5C8F1}" name="Column6874"/>
    <tableColumn id="6877" xr3:uid="{A3625957-DBE0-492E-9D70-1739D8A8C3A4}" name="Column6875"/>
    <tableColumn id="6878" xr3:uid="{35CCA004-6EEB-40AE-BD5D-C549C41E044B}" name="Column6876"/>
    <tableColumn id="6879" xr3:uid="{77458432-D8B7-4B44-AA23-A6009302F68F}" name="Column6877"/>
    <tableColumn id="6880" xr3:uid="{5A859234-BD8C-4378-BBBA-2624F8217988}" name="Column6878"/>
    <tableColumn id="6881" xr3:uid="{A2E4EED9-00E6-4F43-A136-053FD32EAF96}" name="Column6879"/>
    <tableColumn id="6882" xr3:uid="{B76F222C-D8A8-4D69-9531-682C671FB1F2}" name="Column6880"/>
    <tableColumn id="6883" xr3:uid="{6A431475-1D85-45B3-8A3C-CDFEE58C2196}" name="Column6881"/>
    <tableColumn id="6884" xr3:uid="{F605CAD7-D0DF-41B7-AB61-847F70987D91}" name="Column6882"/>
    <tableColumn id="6885" xr3:uid="{C0E0BB3D-8CB1-48CA-BB56-AB565A849E34}" name="Column6883"/>
    <tableColumn id="6886" xr3:uid="{FA537247-68B3-4682-B366-7E770CB40966}" name="Column6884"/>
    <tableColumn id="6887" xr3:uid="{535F1F45-92A4-4D10-A338-7DF6AE7F8853}" name="Column6885"/>
    <tableColumn id="6888" xr3:uid="{2A7FC41A-DA92-4B39-84AD-9057AC8CAEF6}" name="Column6886"/>
    <tableColumn id="6889" xr3:uid="{CF12BF27-6465-4625-8874-A52CD6F12B51}" name="Column6887"/>
    <tableColumn id="6890" xr3:uid="{92929B29-57DB-4E1D-83B1-89F2845E84A6}" name="Column6888"/>
    <tableColumn id="6891" xr3:uid="{CAD71D05-BF7A-49F5-B277-67DE7A14679F}" name="Column6889"/>
    <tableColumn id="6892" xr3:uid="{06C49B45-75A6-49EF-A160-619F9313BA21}" name="Column6890"/>
    <tableColumn id="6893" xr3:uid="{C3BF1586-0D2C-4D26-BFA6-DF7B7206B47B}" name="Column6891"/>
    <tableColumn id="6894" xr3:uid="{E008795B-C021-44B0-9AE3-11DBCF34B74F}" name="Column6892"/>
    <tableColumn id="6895" xr3:uid="{4B8F0F6F-D59F-45B6-86BD-22A23833BAF9}" name="Column6893"/>
    <tableColumn id="6896" xr3:uid="{F708337B-62B3-44F2-B3F3-E8A3D52F5985}" name="Column6894"/>
    <tableColumn id="6897" xr3:uid="{64BA9962-521C-4AA0-A80B-6552CA121C36}" name="Column6895"/>
    <tableColumn id="6898" xr3:uid="{7E01AE9B-33E8-42D0-A8FB-14D1A38FA715}" name="Column6896"/>
    <tableColumn id="6899" xr3:uid="{C76EEC6C-A7E7-4199-81F2-74630D867DB7}" name="Column6897"/>
    <tableColumn id="6900" xr3:uid="{276F4414-1833-4789-8F09-217E7B34CFAA}" name="Column6898"/>
    <tableColumn id="6901" xr3:uid="{26347681-1564-4F28-8BE1-11C9883B7525}" name="Column6899"/>
    <tableColumn id="6902" xr3:uid="{BA64C564-4A5E-491F-83AE-CD0B63E35B17}" name="Column6900"/>
    <tableColumn id="6903" xr3:uid="{7FA8A724-8F12-49CA-A2AB-8327AF1AEFE8}" name="Column6901"/>
    <tableColumn id="6904" xr3:uid="{8ACB57C6-D390-453C-B9DB-AA51C80B733F}" name="Column6902"/>
    <tableColumn id="6905" xr3:uid="{D959AB50-511C-4C82-B2CE-677ECCA7C7CB}" name="Column6903"/>
    <tableColumn id="6906" xr3:uid="{FA754B1E-3635-4C88-9A72-45F601D56DCD}" name="Column6904"/>
    <tableColumn id="6907" xr3:uid="{B2737FCC-76B3-46E4-B696-3BF194EEDB6A}" name="Column6905"/>
    <tableColumn id="6908" xr3:uid="{64C53099-0063-44ED-B6CE-8BF6DBEF8DBF}" name="Column6906"/>
    <tableColumn id="6909" xr3:uid="{C680FF31-F7F5-4729-8ABC-812FFF2BD222}" name="Column6907"/>
    <tableColumn id="6910" xr3:uid="{6027946A-B2F5-4E5C-846F-474FFFE549E4}" name="Column6908"/>
    <tableColumn id="6911" xr3:uid="{C55902A0-92C0-432F-8659-74DF94D5F006}" name="Column6909"/>
    <tableColumn id="6912" xr3:uid="{0DE32B47-1BAC-4749-AAE0-56E6B88D616B}" name="Column6910"/>
    <tableColumn id="6913" xr3:uid="{A83A8E37-E0A7-4C7A-9F8A-2E293E108E61}" name="Column6911"/>
    <tableColumn id="6914" xr3:uid="{BA0106E5-C1BC-4D19-B21B-DDD6B208496C}" name="Column6912"/>
    <tableColumn id="6915" xr3:uid="{37333AAA-F729-4809-B6A7-C6D732C04F99}" name="Column6913"/>
    <tableColumn id="6916" xr3:uid="{DF4587C7-42FD-4922-8D6D-1526AD630BB3}" name="Column6914"/>
    <tableColumn id="6917" xr3:uid="{65E17270-738A-4855-8C73-C3AF0FE3F145}" name="Column6915"/>
    <tableColumn id="6918" xr3:uid="{80E3A7E0-726D-482B-BFCE-49492EB530F1}" name="Column6916"/>
    <tableColumn id="6919" xr3:uid="{990BF069-7E4C-4ADC-8E2A-A8192066D1BD}" name="Column6917"/>
    <tableColumn id="6920" xr3:uid="{346D4D16-BAC6-40CB-AD6D-BA938887CD31}" name="Column6918"/>
    <tableColumn id="6921" xr3:uid="{1BDFAEB9-B4B7-43F9-AB70-24AE1AA8412C}" name="Column6919"/>
    <tableColumn id="6922" xr3:uid="{3810EAF1-EB9C-4AA8-B772-08BD5175AF9A}" name="Column6920"/>
    <tableColumn id="6923" xr3:uid="{E3C76085-8CC1-4485-B407-3FCCEC0DAB9C}" name="Column6921"/>
    <tableColumn id="6924" xr3:uid="{8F6B5A37-07DD-4227-BACE-86BE58ED01BE}" name="Column6922"/>
    <tableColumn id="6925" xr3:uid="{44FDC1BA-9A79-4F6B-A029-B6D38F8B985E}" name="Column6923"/>
    <tableColumn id="6926" xr3:uid="{6EF1407D-2D1B-4B94-B409-F3F1053FAA55}" name="Column6924"/>
    <tableColumn id="6927" xr3:uid="{AF727F27-726B-4437-8DA0-DA7B72034F03}" name="Column6925"/>
    <tableColumn id="6928" xr3:uid="{579B502A-5436-4F73-9943-2BC1E6AFB2BD}" name="Column6926"/>
    <tableColumn id="6929" xr3:uid="{138C53B0-1345-4A7D-9F25-DA93546EF610}" name="Column6927"/>
    <tableColumn id="6930" xr3:uid="{7545F2C4-C8F3-4335-8E53-D3261BBE88B2}" name="Column6928"/>
    <tableColumn id="6931" xr3:uid="{02A3CE8A-81FA-4D3B-8415-46B44BB8DB88}" name="Column6929"/>
    <tableColumn id="6932" xr3:uid="{098DD126-4B5F-498A-9E2D-3984B9E5330D}" name="Column6930"/>
    <tableColumn id="6933" xr3:uid="{76129F4B-7442-48B6-BEA9-56C33B074B8F}" name="Column6931"/>
    <tableColumn id="6934" xr3:uid="{61A527D4-7720-4CCA-B848-94F7E53E7491}" name="Column6932"/>
    <tableColumn id="6935" xr3:uid="{CC43F341-F2EA-42BF-A23D-A4A7CC06AA61}" name="Column6933"/>
    <tableColumn id="6936" xr3:uid="{21BF5506-286B-4E97-98D2-53CF6B368240}" name="Column6934"/>
    <tableColumn id="6937" xr3:uid="{C9E798A4-8EA5-42E8-A82E-82271CFB4543}" name="Column6935"/>
    <tableColumn id="6938" xr3:uid="{33958B7F-3033-43B3-8334-DF1CDBA3033B}" name="Column6936"/>
    <tableColumn id="6939" xr3:uid="{A2C92855-0DD2-4276-87E7-923C9AB1374F}" name="Column6937"/>
    <tableColumn id="6940" xr3:uid="{8C8C7F3B-1464-44D2-AAEF-8512ADD9AE2D}" name="Column6938"/>
    <tableColumn id="6941" xr3:uid="{F9869061-4808-4B57-9DB8-61F47DCF979F}" name="Column6939"/>
    <tableColumn id="6942" xr3:uid="{8F1BC557-4768-43A6-89BC-BD057B64933E}" name="Column6940"/>
    <tableColumn id="6943" xr3:uid="{0E1F739B-D2B3-4CC7-A788-6153FB44C3FD}" name="Column6941"/>
    <tableColumn id="6944" xr3:uid="{11905DED-95F8-4F53-8F52-0B513F7171F7}" name="Column6942"/>
    <tableColumn id="6945" xr3:uid="{79885D8B-E0E3-4C77-87E4-151EC0DA24FB}" name="Column6943"/>
    <tableColumn id="6946" xr3:uid="{DF1A206A-D59C-4B12-9730-E8B29E7E70B8}" name="Column6944"/>
    <tableColumn id="6947" xr3:uid="{90B9B65F-1727-4E8D-9470-EC64C3490449}" name="Column6945"/>
    <tableColumn id="6948" xr3:uid="{136C3825-2BC7-4F42-AACF-73A5803FAFD1}" name="Column6946"/>
    <tableColumn id="6949" xr3:uid="{6E8D2707-F5A6-4F7F-AADD-EB074A59AB23}" name="Column6947"/>
    <tableColumn id="6950" xr3:uid="{AA49241F-1967-43C9-B275-C9E70FEC11D1}" name="Column6948"/>
    <tableColumn id="6951" xr3:uid="{12494955-5B9B-4FE0-9DF3-E4F3911E0DFC}" name="Column6949"/>
    <tableColumn id="6952" xr3:uid="{2F6FF803-1A97-4C75-BB16-8205BD7BE2E0}" name="Column6950"/>
    <tableColumn id="6953" xr3:uid="{8EB7E8D9-719C-45EE-86EA-E186A01DBA49}" name="Column6951"/>
    <tableColumn id="6954" xr3:uid="{F636A01A-EFFC-4D40-9A1C-B7DBD4EFF008}" name="Column6952"/>
    <tableColumn id="6955" xr3:uid="{A8B2467C-7BAF-47E5-9DD7-9864283E70C9}" name="Column6953"/>
    <tableColumn id="6956" xr3:uid="{1FDCAEE8-5111-46B0-B42A-10F016BF7813}" name="Column6954"/>
    <tableColumn id="6957" xr3:uid="{5ECF62A5-0430-465C-B9C3-1621483A1841}" name="Column6955"/>
    <tableColumn id="6958" xr3:uid="{C7998292-5584-4C7A-8439-A09D20CEA9A2}" name="Column6956"/>
    <tableColumn id="6959" xr3:uid="{FF997F5D-6CC6-4CE2-9470-0804069F13CC}" name="Column6957"/>
    <tableColumn id="6960" xr3:uid="{E5BE8568-0FF0-417F-92AD-A899C65914E3}" name="Column6958"/>
    <tableColumn id="6961" xr3:uid="{DD33A403-5FBC-4B40-9923-A8EF5D86B8AD}" name="Column6959"/>
    <tableColumn id="6962" xr3:uid="{7F3412CF-CA9F-48C4-8944-99CC9CAD5564}" name="Column6960"/>
    <tableColumn id="6963" xr3:uid="{065B8BD7-62FA-48DA-9D47-7422F0B9AB02}" name="Column6961"/>
    <tableColumn id="6964" xr3:uid="{527212E9-4689-4040-9345-17FFC22BA26D}" name="Column6962"/>
    <tableColumn id="6965" xr3:uid="{398563DA-A7FB-413D-91EC-EB42AF0CEEA9}" name="Column6963"/>
    <tableColumn id="6966" xr3:uid="{2ECEBEB4-D0E6-4618-A2F1-363D0B21A8E6}" name="Column6964"/>
    <tableColumn id="6967" xr3:uid="{47E6459E-4551-4243-8217-D086858EF9CB}" name="Column6965"/>
    <tableColumn id="6968" xr3:uid="{071D1880-B650-4314-846D-0566954DADBB}" name="Column6966"/>
    <tableColumn id="6969" xr3:uid="{2C037BCD-1172-4221-8C7F-82F8074B7F15}" name="Column6967"/>
    <tableColumn id="6970" xr3:uid="{6DEBF904-4C1E-4981-A6C9-0DDED3A7D5B2}" name="Column6968"/>
    <tableColumn id="6971" xr3:uid="{5E7A0784-F088-4634-89AC-CD50CC8784F4}" name="Column6969"/>
    <tableColumn id="6972" xr3:uid="{D0D2FCBB-6BE3-474C-B181-F2DBCFBE2512}" name="Column6970"/>
    <tableColumn id="6973" xr3:uid="{0149552F-0648-4389-9A34-DD40F6EDF90F}" name="Column6971"/>
    <tableColumn id="6974" xr3:uid="{5C38CB50-3DDA-4C02-AE28-8D1DB1111EEB}" name="Column6972"/>
    <tableColumn id="6975" xr3:uid="{DC4B4101-820A-476B-B2DD-5A2801F4A0FB}" name="Column6973"/>
    <tableColumn id="6976" xr3:uid="{5501759C-FD17-4F87-9A87-6EA2064AC868}" name="Column6974"/>
    <tableColumn id="6977" xr3:uid="{0F312E3D-D4EE-499B-942C-FAC82B718197}" name="Column6975"/>
    <tableColumn id="6978" xr3:uid="{7608A6D7-7E7B-463C-8A95-AF870A5F5963}" name="Column6976"/>
    <tableColumn id="6979" xr3:uid="{80C7C91B-9629-4643-9B6D-E1BD5732302A}" name="Column6977"/>
    <tableColumn id="6980" xr3:uid="{0E5CBA76-B8FA-4D4B-81AE-206FB1B8A11D}" name="Column6978"/>
    <tableColumn id="6981" xr3:uid="{9D608EC6-2E54-447A-A756-37AC73F34231}" name="Column6979"/>
    <tableColumn id="6982" xr3:uid="{E7A7A4BE-1E2F-4088-AE72-49576F9E30B6}" name="Column6980"/>
    <tableColumn id="6983" xr3:uid="{E9256D4C-60EC-4DDB-8F4E-A687AF4DD10F}" name="Column6981"/>
    <tableColumn id="6984" xr3:uid="{9308AFD7-66F6-47EB-8848-D38A5BFACE9A}" name="Column6982"/>
    <tableColumn id="6985" xr3:uid="{5CD34438-0F33-4190-A551-9DC34381E4DC}" name="Column6983"/>
    <tableColumn id="6986" xr3:uid="{AA718448-15D2-4964-83A6-98751672A264}" name="Column6984"/>
    <tableColumn id="6987" xr3:uid="{A9771073-12C5-4885-BE34-CA1D133BD5C3}" name="Column6985"/>
    <tableColumn id="6988" xr3:uid="{DA018D0C-245D-4C0D-AFC1-DB7A710462A2}" name="Column6986"/>
    <tableColumn id="6989" xr3:uid="{71080741-7F22-4DD1-A941-BC8B293107E8}" name="Column6987"/>
    <tableColumn id="6990" xr3:uid="{C1A3ABDE-8485-46BE-8E60-03794842C2E6}" name="Column6988"/>
    <tableColumn id="6991" xr3:uid="{CC3FCAFE-13E8-47F6-AA63-4B9BEE197A1A}" name="Column6989"/>
    <tableColumn id="6992" xr3:uid="{20B41013-BE2A-44D5-9F88-E3AB9FA85594}" name="Column6990"/>
    <tableColumn id="6993" xr3:uid="{3BE5A554-20FD-43DA-B5C2-73ABECE0024B}" name="Column6991"/>
    <tableColumn id="6994" xr3:uid="{DEC33958-9404-47A9-993C-EDF8F6430208}" name="Column6992"/>
    <tableColumn id="6995" xr3:uid="{C0FEAEC5-63A9-47FD-96D8-D83A6DE10016}" name="Column6993"/>
    <tableColumn id="6996" xr3:uid="{FC547B9E-76C3-4368-A7EA-4CA7E2BD77EC}" name="Column6994"/>
    <tableColumn id="6997" xr3:uid="{1B03AF88-66B3-4978-9795-041E2572B3DA}" name="Column6995"/>
    <tableColumn id="6998" xr3:uid="{CE0DD82E-343F-486E-A72E-574725FA66D9}" name="Column6996"/>
    <tableColumn id="6999" xr3:uid="{A49B35C5-B3BC-493A-8207-69B8FF1EB3A8}" name="Column6997"/>
    <tableColumn id="7000" xr3:uid="{C43FEA0E-E674-408F-8B57-D8757528A84D}" name="Column6998"/>
    <tableColumn id="7001" xr3:uid="{4142D903-7134-470D-AAF3-20D085EF0CFF}" name="Column6999"/>
    <tableColumn id="7002" xr3:uid="{347DCA73-1E4E-4CA1-ABBC-ED81CAF5F71D}" name="Column7000"/>
    <tableColumn id="7003" xr3:uid="{BEA199C8-D7D7-462B-9E91-C3453DCFEDF0}" name="Column7001"/>
    <tableColumn id="7004" xr3:uid="{B48972C3-3A76-4B91-A7FE-1EA9F296F749}" name="Column7002"/>
    <tableColumn id="7005" xr3:uid="{CA0EBD1E-CB99-485C-AA49-4A8C3111AC84}" name="Column7003"/>
    <tableColumn id="7006" xr3:uid="{65CB7245-6AB5-4401-B9DC-57F9ADA8146A}" name="Column7004"/>
    <tableColumn id="7007" xr3:uid="{1AC32DF5-CFE7-49D5-BF1C-7F1A5F7831D5}" name="Column7005"/>
    <tableColumn id="7008" xr3:uid="{FA9BD0B5-CAC0-4A65-BE64-80637832284E}" name="Column7006"/>
    <tableColumn id="7009" xr3:uid="{418E47E3-3FCB-421E-9CFD-AC580DE488BE}" name="Column7007"/>
    <tableColumn id="7010" xr3:uid="{4A5C5D35-370D-4789-A0E3-D79E2B7073DA}" name="Column7008"/>
    <tableColumn id="7011" xr3:uid="{B72EDDD5-D6AA-4757-8F7D-5FEC387FA3F6}" name="Column7009"/>
    <tableColumn id="7012" xr3:uid="{A3E90F0B-02AA-40CA-81A4-9763421204FB}" name="Column7010"/>
    <tableColumn id="7013" xr3:uid="{CE4F8BB6-7AF7-4636-9B59-1C43361526A2}" name="Column7011"/>
    <tableColumn id="7014" xr3:uid="{CE59BA7E-A8EF-4953-A7AA-EB2E1C1A446A}" name="Column7012"/>
    <tableColumn id="7015" xr3:uid="{65D07BD4-4971-4BB1-B78A-A945257E3AE7}" name="Column7013"/>
    <tableColumn id="7016" xr3:uid="{793A3380-AA4C-4FC8-B116-33067A08D5D1}" name="Column7014"/>
    <tableColumn id="7017" xr3:uid="{55FD64A8-0D32-4603-9A3F-27051AE5B266}" name="Column7015"/>
    <tableColumn id="7018" xr3:uid="{4C59E11B-FA2C-483A-933E-F7DAEB351CF3}" name="Column7016"/>
    <tableColumn id="7019" xr3:uid="{560517DC-DDC5-4778-8947-4C56422AB378}" name="Column7017"/>
    <tableColumn id="7020" xr3:uid="{95A3BB71-886B-4CFB-961E-8E7EEC1DAB49}" name="Column7018"/>
    <tableColumn id="7021" xr3:uid="{7705B0A5-8DA3-4E6F-9189-6B631CB67DDF}" name="Column7019"/>
    <tableColumn id="7022" xr3:uid="{F686F22D-FF3A-4178-A486-ECDF6DF8F469}" name="Column7020"/>
    <tableColumn id="7023" xr3:uid="{EF564AD6-5CB8-41CF-AB90-F82638C8E9C8}" name="Column7021"/>
    <tableColumn id="7024" xr3:uid="{F1E79A31-A84C-4FEA-B8C5-D7B25E400E9C}" name="Column7022"/>
    <tableColumn id="7025" xr3:uid="{9B33AD4D-233C-4C74-A3CC-91920D45FC2F}" name="Column7023"/>
    <tableColumn id="7026" xr3:uid="{EA891A78-640C-42F6-A842-159B7C5C3AD1}" name="Column7024"/>
    <tableColumn id="7027" xr3:uid="{39F03356-687F-45F0-8D10-0DC23EB5655C}" name="Column7025"/>
    <tableColumn id="7028" xr3:uid="{88255F72-FDBD-412E-B0AC-648B4A423AA4}" name="Column7026"/>
    <tableColumn id="7029" xr3:uid="{1061BA6C-6505-4F7C-A7F7-C4C8A7BB5238}" name="Column7027"/>
    <tableColumn id="7030" xr3:uid="{FA0D8C1F-C7D1-4348-8F7B-6F16A4066749}" name="Column7028"/>
    <tableColumn id="7031" xr3:uid="{65CBB0FB-995B-458A-95F8-DBBE59AEC5AA}" name="Column7029"/>
    <tableColumn id="7032" xr3:uid="{4DEC6A0E-06AC-49A7-80F4-193113FCBBF2}" name="Column7030"/>
    <tableColumn id="7033" xr3:uid="{510B51A2-1897-4D31-A4CF-1B1924502224}" name="Column7031"/>
    <tableColumn id="7034" xr3:uid="{F8BD2816-9DEA-4F54-8ABB-01F18C9324AA}" name="Column7032"/>
    <tableColumn id="7035" xr3:uid="{ACE10243-E6D4-4742-98C3-43516A4FFC91}" name="Column7033"/>
    <tableColumn id="7036" xr3:uid="{2EBAF799-BA23-44B0-A665-0432507FE59D}" name="Column7034"/>
    <tableColumn id="7037" xr3:uid="{98E3E8D0-15B1-4E04-A7D5-36C9CE668B32}" name="Column7035"/>
    <tableColumn id="7038" xr3:uid="{2D9A9856-FC6D-422C-A8A1-8FA91558202C}" name="Column7036"/>
    <tableColumn id="7039" xr3:uid="{D1EC89F3-DAB1-489F-A40E-72EC09DC8E81}" name="Column7037"/>
    <tableColumn id="7040" xr3:uid="{1CB610AA-9ADD-4FB4-8229-B68755A16FF6}" name="Column7038"/>
    <tableColumn id="7041" xr3:uid="{576F0963-DE6F-44FC-9C7C-481842B4DF06}" name="Column7039"/>
    <tableColumn id="7042" xr3:uid="{32214481-CAC2-4539-BC9D-6523F404F9F2}" name="Column7040"/>
    <tableColumn id="7043" xr3:uid="{0E06DD5B-702A-4DA1-9018-E8A237F8EADB}" name="Column7041"/>
    <tableColumn id="7044" xr3:uid="{3D6E0A2F-31C2-4CB5-90EC-0E0B0F2F96DD}" name="Column7042"/>
    <tableColumn id="7045" xr3:uid="{CF9052F3-DE32-4414-AB64-22C1A46510A1}" name="Column7043"/>
    <tableColumn id="7046" xr3:uid="{3134E714-2B57-4047-820A-A5E6D3CFD34B}" name="Column7044"/>
    <tableColumn id="7047" xr3:uid="{FC220460-9C49-4844-8A89-B040D5A2C556}" name="Column7045"/>
    <tableColumn id="7048" xr3:uid="{1B068938-F0B8-4EE1-B37F-CE2CAA6F3CF6}" name="Column7046"/>
    <tableColumn id="7049" xr3:uid="{BFD07D67-5FA7-44AF-B7A5-63F40890A16C}" name="Column7047"/>
    <tableColumn id="7050" xr3:uid="{CAA30470-5476-4A73-B98F-D054A47A1719}" name="Column7048"/>
    <tableColumn id="7051" xr3:uid="{A60E6C54-EAAB-43C0-BD93-1238EE12AF22}" name="Column7049"/>
    <tableColumn id="7052" xr3:uid="{D9F47B91-2A63-4D71-85F0-AEB7196864E6}" name="Column7050"/>
    <tableColumn id="7053" xr3:uid="{24B63B79-3334-4D82-ACC9-1E30AD643832}" name="Column7051"/>
    <tableColumn id="7054" xr3:uid="{A590E707-292E-49B4-852E-36D3DB434DD2}" name="Column7052"/>
    <tableColumn id="7055" xr3:uid="{F2D29A4D-0EF5-4208-A361-67C684E63EC5}" name="Column7053"/>
    <tableColumn id="7056" xr3:uid="{FC54B393-94E0-4157-8C78-A944566129F6}" name="Column7054"/>
    <tableColumn id="7057" xr3:uid="{C7333415-A2FF-4BDA-93CD-4CE0D3F863D4}" name="Column7055"/>
    <tableColumn id="7058" xr3:uid="{8FD7CBEF-ACAB-40B6-9736-7919E95238EE}" name="Column7056"/>
    <tableColumn id="7059" xr3:uid="{D13495D5-4E17-4475-A878-CDB056AA2654}" name="Column7057"/>
    <tableColumn id="7060" xr3:uid="{98AD69B0-AA32-4E87-BA43-B3BD22C046F8}" name="Column7058"/>
    <tableColumn id="7061" xr3:uid="{7F02CD74-AB06-4465-AF80-196334B42524}" name="Column7059"/>
    <tableColumn id="7062" xr3:uid="{FF921064-D0FB-4979-8202-5759E9DBE3D2}" name="Column7060"/>
    <tableColumn id="7063" xr3:uid="{A065822D-6ED7-4CF2-A41E-BCE42F3D5910}" name="Column7061"/>
    <tableColumn id="7064" xr3:uid="{4FAC2360-CADB-4A88-B531-E3D3CED55F13}" name="Column7062"/>
    <tableColumn id="7065" xr3:uid="{6F1C1CE6-E2E3-4F33-AB97-8AE0174BEDAD}" name="Column7063"/>
    <tableColumn id="7066" xr3:uid="{E33869F7-2E43-42E0-8593-71DA1AB65588}" name="Column7064"/>
    <tableColumn id="7067" xr3:uid="{08EFA3CF-78A2-4155-803A-501FB0FB9D6C}" name="Column7065"/>
    <tableColumn id="7068" xr3:uid="{97CFD1CE-338F-44CD-B06E-37C2D3E5BF1A}" name="Column7066"/>
    <tableColumn id="7069" xr3:uid="{9CC54EAB-F534-4759-8912-335438B3CD4A}" name="Column7067"/>
    <tableColumn id="7070" xr3:uid="{B188C3D4-5D31-4374-A48F-C612826A6244}" name="Column7068"/>
    <tableColumn id="7071" xr3:uid="{F0A58FF1-3985-4F5D-AB4C-1E27617AE067}" name="Column7069"/>
    <tableColumn id="7072" xr3:uid="{77D726F1-AC17-4EDC-902E-5E82713E50EA}" name="Column7070"/>
    <tableColumn id="7073" xr3:uid="{5F41BB5E-35B2-44D7-AFD7-E2AE79A29883}" name="Column7071"/>
    <tableColumn id="7074" xr3:uid="{7A3E01A2-5339-4B15-AFD8-EB1C612A9BDE}" name="Column7072"/>
    <tableColumn id="7075" xr3:uid="{565D3B33-1E96-440F-8889-E234CE284FE7}" name="Column7073"/>
    <tableColumn id="7076" xr3:uid="{BCEFA7F9-AC38-4150-B9E2-F5386E69B04F}" name="Column7074"/>
    <tableColumn id="7077" xr3:uid="{B6D0BAD2-93B9-4ADD-8D0F-C1CE0D643C12}" name="Column7075"/>
    <tableColumn id="7078" xr3:uid="{E9AE4888-8386-409C-854A-445E61514C96}" name="Column7076"/>
    <tableColumn id="7079" xr3:uid="{23C5109C-C857-4B25-999A-2AC674921A42}" name="Column7077"/>
    <tableColumn id="7080" xr3:uid="{B0D7D3FB-975A-4BDC-A1E1-CCF55EBBBCD6}" name="Column7078"/>
    <tableColumn id="7081" xr3:uid="{7994A8D0-BB38-4EF7-8D63-FED5E0785DFA}" name="Column7079"/>
    <tableColumn id="7082" xr3:uid="{7C7647A3-2572-4EE9-B615-53A031A7A928}" name="Column7080"/>
    <tableColumn id="7083" xr3:uid="{22A1F696-AF65-434B-A8E2-E5A43D409295}" name="Column7081"/>
    <tableColumn id="7084" xr3:uid="{286B6C26-AD29-4D07-9328-1B43E523B5DF}" name="Column7082"/>
    <tableColumn id="7085" xr3:uid="{64F8F4CC-1C76-4A2C-9C43-18800D013F49}" name="Column7083"/>
    <tableColumn id="7086" xr3:uid="{22977CD5-46FA-48C2-BC37-E30BB6F96700}" name="Column7084"/>
    <tableColumn id="7087" xr3:uid="{2A908816-3C7A-46F9-920C-85A91ADDD1C4}" name="Column7085"/>
    <tableColumn id="7088" xr3:uid="{D25680AD-8DD0-44BE-B2DF-2D9FCA2232FF}" name="Column7086"/>
    <tableColumn id="7089" xr3:uid="{28EB7303-5DB2-4A55-BC11-A74C43BB0A00}" name="Column7087"/>
    <tableColumn id="7090" xr3:uid="{6FCC6FBC-B131-4C93-A953-D608C2FB0609}" name="Column7088"/>
    <tableColumn id="7091" xr3:uid="{3C5B59E7-549C-41AF-BCE6-79B44F0A48E1}" name="Column7089"/>
    <tableColumn id="7092" xr3:uid="{7678B548-7054-4F9B-94D5-C0BF995A27C9}" name="Column7090"/>
    <tableColumn id="7093" xr3:uid="{C6BCE9E6-E9DA-4422-8D4A-2CD91B422080}" name="Column7091"/>
    <tableColumn id="7094" xr3:uid="{0FFF5297-456F-4860-BCBC-CF8D6984F608}" name="Column7092"/>
    <tableColumn id="7095" xr3:uid="{6FEB07CC-3F07-476B-B1B5-35DE181185B9}" name="Column7093"/>
    <tableColumn id="7096" xr3:uid="{5706A766-D000-4EB2-B52D-B500E3D70DBA}" name="Column7094"/>
    <tableColumn id="7097" xr3:uid="{51C39ABB-6C06-4B11-84FE-56D0437103C2}" name="Column7095"/>
    <tableColumn id="7098" xr3:uid="{BE77B7E6-6B77-4A8D-8215-4837E80CC9FB}" name="Column7096"/>
    <tableColumn id="7099" xr3:uid="{17CCA918-9D8B-4D35-8B3E-AECA0A6FB059}" name="Column7097"/>
    <tableColumn id="7100" xr3:uid="{E6C172AF-A03E-4B02-B74D-9927682D2F9B}" name="Column7098"/>
    <tableColumn id="7101" xr3:uid="{D45AB76D-7ED6-46EE-8F2C-539872457712}" name="Column7099"/>
    <tableColumn id="7102" xr3:uid="{2D6F87E8-3F81-4DE9-B5BF-8E5AD5B3F70B}" name="Column7100"/>
    <tableColumn id="7103" xr3:uid="{0E943D7E-B824-4444-B3AB-36DD053D013F}" name="Column7101"/>
    <tableColumn id="7104" xr3:uid="{9FAEEC5D-DD77-4091-ADB8-E1CB83BA1AEF}" name="Column7102"/>
    <tableColumn id="7105" xr3:uid="{DDEF16A9-BC87-4084-83AB-6FE4FBC3F0ED}" name="Column7103"/>
    <tableColumn id="7106" xr3:uid="{08075002-5BE1-4C00-8516-0FB915A076BB}" name="Column7104"/>
    <tableColumn id="7107" xr3:uid="{64D078CD-47A8-4EF7-B8CF-5BAE2BF10DF9}" name="Column7105"/>
    <tableColumn id="7108" xr3:uid="{7698EC4E-B09F-4ED7-A653-2140B1E257CC}" name="Column7106"/>
    <tableColumn id="7109" xr3:uid="{9A353444-A488-4527-84E7-971E33234EFA}" name="Column7107"/>
    <tableColumn id="7110" xr3:uid="{E87C05A9-4C6F-4EC4-BB95-8A53923CAFB9}" name="Column7108"/>
    <tableColumn id="7111" xr3:uid="{3AE7BD40-721E-4893-9C5F-C504B23A3C4E}" name="Column7109"/>
    <tableColumn id="7112" xr3:uid="{E8F9B040-266F-420A-9176-072EBFA7531C}" name="Column7110"/>
    <tableColumn id="7113" xr3:uid="{564A8FBA-B95A-484B-8751-16F1F7BEA83A}" name="Column7111"/>
    <tableColumn id="7114" xr3:uid="{3FD7C078-FC9A-4764-9C5E-5BB76F0F7714}" name="Column7112"/>
    <tableColumn id="7115" xr3:uid="{8D4FD991-B77B-4CF1-92D5-974EFB4380D4}" name="Column7113"/>
    <tableColumn id="7116" xr3:uid="{97AA5759-6FC8-4513-947C-1E291B0825EA}" name="Column7114"/>
    <tableColumn id="7117" xr3:uid="{C9255BF5-76AB-4E6F-B236-0A032D200806}" name="Column7115"/>
    <tableColumn id="7118" xr3:uid="{202E215B-6699-4605-929E-D5027A2F0549}" name="Column7116"/>
    <tableColumn id="7119" xr3:uid="{776CB583-6558-426F-A9F0-DAA32A8D1DCC}" name="Column7117"/>
    <tableColumn id="7120" xr3:uid="{D84DAD20-5915-4152-BF58-ACBE3B98B112}" name="Column7118"/>
    <tableColumn id="7121" xr3:uid="{31F80522-1344-4C6A-918D-040071B35C01}" name="Column7119"/>
    <tableColumn id="7122" xr3:uid="{FD4BD976-3041-4229-92E6-0F75B7FC264D}" name="Column7120"/>
    <tableColumn id="7123" xr3:uid="{BD5A57C3-FC0B-4443-9132-F4F1179060CC}" name="Column7121"/>
    <tableColumn id="7124" xr3:uid="{CF1FA342-5B56-479F-A2D9-59EB6C1806F1}" name="Column7122"/>
    <tableColumn id="7125" xr3:uid="{ABA8E745-3F45-414E-8C11-0C90826BC0CF}" name="Column7123"/>
    <tableColumn id="7126" xr3:uid="{BA72BD90-7763-497E-98A4-8600F2C73A7A}" name="Column7124"/>
    <tableColumn id="7127" xr3:uid="{53C53585-A4AC-41E0-BC1D-30D9BA920A09}" name="Column7125"/>
    <tableColumn id="7128" xr3:uid="{EBE5D996-654D-4069-B757-C17684F2078E}" name="Column7126"/>
    <tableColumn id="7129" xr3:uid="{0386ED56-A8EE-4713-A87E-43B1047F83DF}" name="Column7127"/>
    <tableColumn id="7130" xr3:uid="{4A9E8F25-B41D-4105-9947-6E3CBE9D91C7}" name="Column7128"/>
    <tableColumn id="7131" xr3:uid="{08F84825-0155-43C7-80C5-4609260DD037}" name="Column7129"/>
    <tableColumn id="7132" xr3:uid="{4B7FD117-8F47-483A-A134-BD2B113B99E5}" name="Column7130"/>
    <tableColumn id="7133" xr3:uid="{9A994314-5854-4B6A-B283-8FFA5E827E36}" name="Column7131"/>
    <tableColumn id="7134" xr3:uid="{401802E1-0B0D-4A8E-9FDC-D5AA8943EB72}" name="Column7132"/>
    <tableColumn id="7135" xr3:uid="{F5EE014F-CA9D-4574-87FE-1B1D39B868DC}" name="Column7133"/>
    <tableColumn id="7136" xr3:uid="{28BD2B34-4F8B-4D57-BBAB-5177D67DF1E7}" name="Column7134"/>
    <tableColumn id="7137" xr3:uid="{E1E9DB18-AF3E-4441-8FC1-B92A4CE98B55}" name="Column7135"/>
    <tableColumn id="7138" xr3:uid="{4624A81F-71A1-452F-99D0-24EC1AA1F1A6}" name="Column7136"/>
    <tableColumn id="7139" xr3:uid="{B86A7832-1E4D-462F-AF2C-7C92A872336A}" name="Column7137"/>
    <tableColumn id="7140" xr3:uid="{0AC4E364-89CD-4DD1-B4A8-82851845DECC}" name="Column7138"/>
    <tableColumn id="7141" xr3:uid="{004801A9-EC1E-4D2F-9432-21ECAD292249}" name="Column7139"/>
    <tableColumn id="7142" xr3:uid="{44198C26-28DD-4C89-96C2-BA16EF39A172}" name="Column7140"/>
    <tableColumn id="7143" xr3:uid="{7002B650-A226-48CD-82E0-AED425FE7F35}" name="Column7141"/>
    <tableColumn id="7144" xr3:uid="{8FA95E0A-E4D2-4E57-9629-0C3B7A3C5892}" name="Column7142"/>
    <tableColumn id="7145" xr3:uid="{FF12E68C-03B0-477F-AF14-E8B01D74B552}" name="Column7143"/>
    <tableColumn id="7146" xr3:uid="{5BAFEED5-25B0-465F-85E7-0F14652DB2A1}" name="Column7144"/>
    <tableColumn id="7147" xr3:uid="{60DE30D6-EA0F-46FF-B65E-0971BDBDD819}" name="Column7145"/>
    <tableColumn id="7148" xr3:uid="{D49CD383-B724-441F-8345-E7A3B74AB1FC}" name="Column7146"/>
    <tableColumn id="7149" xr3:uid="{8CCE6531-B9D1-4A55-85A9-A2639F7C71B0}" name="Column7147"/>
    <tableColumn id="7150" xr3:uid="{BAF3FF88-2DEF-484A-8C45-0B847B8E4359}" name="Column7148"/>
    <tableColumn id="7151" xr3:uid="{C0F01DD0-3DA7-487D-AAE5-B81727379C13}" name="Column7149"/>
    <tableColumn id="7152" xr3:uid="{A0D80BF1-A539-4BC2-8A28-14F70C4C55AD}" name="Column7150"/>
    <tableColumn id="7153" xr3:uid="{63298AE1-0F96-4755-90A5-33697830D850}" name="Column7151"/>
    <tableColumn id="7154" xr3:uid="{4750D28E-D7BA-4054-B556-3622A010281A}" name="Column7152"/>
    <tableColumn id="7155" xr3:uid="{8B764B9A-8161-4C03-AEEF-003767FA0A59}" name="Column7153"/>
    <tableColumn id="7156" xr3:uid="{2CC061AF-10DC-4574-9044-683BF8E2C2C0}" name="Column7154"/>
    <tableColumn id="7157" xr3:uid="{D923C69F-96BE-4066-81F9-5910132A9A7C}" name="Column7155"/>
    <tableColumn id="7158" xr3:uid="{409C8977-B65E-4DF2-883A-57BBF9F3E237}" name="Column7156"/>
    <tableColumn id="7159" xr3:uid="{7538F48F-EEE0-4C13-BC65-BD237B860429}" name="Column7157"/>
    <tableColumn id="7160" xr3:uid="{2007A136-C2F5-4EEF-A899-F4026A2DF574}" name="Column7158"/>
    <tableColumn id="7161" xr3:uid="{674F0F5A-2ED6-4A3B-BF70-F048B10A7AD5}" name="Column7159"/>
    <tableColumn id="7162" xr3:uid="{94463282-40D1-4488-81FD-40A3BDD8A035}" name="Column7160"/>
    <tableColumn id="7163" xr3:uid="{52225E02-0AFE-4BF2-8427-67C40A8CDCD4}" name="Column7161"/>
    <tableColumn id="7164" xr3:uid="{F1D3647F-BA28-49CF-B790-AA03A93795F9}" name="Column7162"/>
    <tableColumn id="7165" xr3:uid="{98EAB943-5293-4807-91A3-1137522C0B9D}" name="Column7163"/>
    <tableColumn id="7166" xr3:uid="{85BDA99F-B7B8-4666-8499-9F6F40AA224D}" name="Column7164"/>
    <tableColumn id="7167" xr3:uid="{99C90955-736E-4490-A6E2-3316D5E581F3}" name="Column7165"/>
    <tableColumn id="7168" xr3:uid="{65C55A44-14E2-4097-8634-871796CB9026}" name="Column7166"/>
    <tableColumn id="7169" xr3:uid="{C1206431-661E-47F5-926B-0CD29FE2DB1C}" name="Column7167"/>
    <tableColumn id="7170" xr3:uid="{38C5A697-D429-46FD-A716-B89CE9BE0494}" name="Column7168"/>
    <tableColumn id="7171" xr3:uid="{10345C0E-B132-482F-9B98-366CD60BE076}" name="Column7169"/>
    <tableColumn id="7172" xr3:uid="{81CDF634-D810-4075-8504-913231183152}" name="Column7170"/>
    <tableColumn id="7173" xr3:uid="{6C412929-CCA2-4DC7-A5E8-DEA96B2BFD1F}" name="Column7171"/>
    <tableColumn id="7174" xr3:uid="{23746DBC-1C4C-4F8D-8E5A-BD3FF8C629E2}" name="Column7172"/>
    <tableColumn id="7175" xr3:uid="{948B8C94-4AC0-4D8B-85A2-C5EB9F188FAE}" name="Column7173"/>
    <tableColumn id="7176" xr3:uid="{89F1E572-0499-4A72-B8D4-0DC960ADB215}" name="Column7174"/>
    <tableColumn id="7177" xr3:uid="{85A9F5EE-98CE-4CD4-97FC-75F654810150}" name="Column7175"/>
    <tableColumn id="7178" xr3:uid="{6F07D7FB-B5AE-4205-B0DD-A7C268302ECC}" name="Column7176"/>
    <tableColumn id="7179" xr3:uid="{291F34A1-695C-4F4C-9304-7C0E9EFB842F}" name="Column7177"/>
    <tableColumn id="7180" xr3:uid="{4BAB13AF-2E5F-4BEF-A58C-EF4C976EB93E}" name="Column7178"/>
    <tableColumn id="7181" xr3:uid="{9375A1F2-3490-4F8A-A375-B81FB83D56CE}" name="Column7179"/>
    <tableColumn id="7182" xr3:uid="{D6DEC62E-1625-466D-981D-CDE1EA18BAA7}" name="Column7180"/>
    <tableColumn id="7183" xr3:uid="{98D4801F-CC41-4080-9069-F7030DACF07C}" name="Column7181"/>
    <tableColumn id="7184" xr3:uid="{D0BC664C-8E08-467A-AAB2-D2C1EEFE3F10}" name="Column7182"/>
    <tableColumn id="7185" xr3:uid="{DD6EBAB7-F047-4A18-833B-7CB68F3EC0CA}" name="Column7183"/>
    <tableColumn id="7186" xr3:uid="{CE581D6F-EE50-49FD-AD0C-E0EE1BEA47B8}" name="Column7184"/>
    <tableColumn id="7187" xr3:uid="{E1AB7E1F-89D8-4AF2-AE16-BDDE2651B85C}" name="Column7185"/>
    <tableColumn id="7188" xr3:uid="{57B6CC17-37D6-4BB7-8B21-5BD80827C3DA}" name="Column7186"/>
    <tableColumn id="7189" xr3:uid="{CBE8A5CA-B713-495C-BF81-0CA7C9E881F2}" name="Column7187"/>
    <tableColumn id="7190" xr3:uid="{C004CC66-7C13-42F8-AC49-23D2163C0010}" name="Column7188"/>
    <tableColumn id="7191" xr3:uid="{C3E8CFA0-B3A3-4939-8C9C-60C6CCAE4BF0}" name="Column7189"/>
    <tableColumn id="7192" xr3:uid="{E7D5A07B-DFDF-4C27-963C-69C9B013F038}" name="Column7190"/>
    <tableColumn id="7193" xr3:uid="{4140623D-32FF-41F3-9928-4B2E6358A1EB}" name="Column7191"/>
    <tableColumn id="7194" xr3:uid="{775938DF-1783-4D9F-B67F-EDFEEE9DBEDD}" name="Column7192"/>
    <tableColumn id="7195" xr3:uid="{D55E5176-9EF6-42F1-B64F-86D7ED7EB51E}" name="Column7193"/>
    <tableColumn id="7196" xr3:uid="{A2289E87-B10B-45D7-AAC1-214A6350DF61}" name="Column7194"/>
    <tableColumn id="7197" xr3:uid="{8409B7BA-0630-43D2-BB9C-7395DB871F8A}" name="Column7195"/>
    <tableColumn id="7198" xr3:uid="{6AEA2E3D-1B06-4C36-837E-C7CA148A18B0}" name="Column7196"/>
    <tableColumn id="7199" xr3:uid="{53248D4E-F2A0-4B63-9FB4-2CC47BA7C08D}" name="Column7197"/>
    <tableColumn id="7200" xr3:uid="{DEC3CE38-E6DC-4A73-9E19-A395DDAC706E}" name="Column7198"/>
    <tableColumn id="7201" xr3:uid="{ECB68229-6FBB-4CDE-8050-9317033A1D34}" name="Column7199"/>
    <tableColumn id="7202" xr3:uid="{EEC00B08-B87A-4BD1-9F42-99382A26F7A3}" name="Column7200"/>
    <tableColumn id="7203" xr3:uid="{E466405F-D8FB-4D61-91CE-51C34AF3B199}" name="Column7201"/>
    <tableColumn id="7204" xr3:uid="{B3269B5A-7A04-49CB-99F0-B3F43E82C5E0}" name="Column7202"/>
    <tableColumn id="7205" xr3:uid="{4CAE3EFF-B766-4125-A967-CDCF164864ED}" name="Column7203"/>
    <tableColumn id="7206" xr3:uid="{D7CC790A-7B2E-49E0-9331-3C8E919954A7}" name="Column7204"/>
    <tableColumn id="7207" xr3:uid="{21BEF5E9-5203-4D1B-831C-EDDF4C7CE3E4}" name="Column7205"/>
    <tableColumn id="7208" xr3:uid="{0D9A3FD8-4472-4490-9C0E-0A9FF528D7EE}" name="Column7206"/>
    <tableColumn id="7209" xr3:uid="{2D20C84F-18A1-4B4F-8703-AD1860D36FC8}" name="Column7207"/>
    <tableColumn id="7210" xr3:uid="{7432370D-5627-4759-BED4-56C46EBEEE8C}" name="Column7208"/>
    <tableColumn id="7211" xr3:uid="{B6DBF72E-6138-4746-AF06-F5359DC5D2DA}" name="Column7209"/>
    <tableColumn id="7212" xr3:uid="{21B095DC-995B-4760-BA56-A0A1BA851A9C}" name="Column7210"/>
    <tableColumn id="7213" xr3:uid="{7CEF7CA8-00ED-4CE1-9330-811F7154A2C5}" name="Column7211"/>
    <tableColumn id="7214" xr3:uid="{FAE4B686-913E-4248-A200-725889EE6D66}" name="Column7212"/>
    <tableColumn id="7215" xr3:uid="{21754429-25D1-4C81-A052-56AA70D0EBC4}" name="Column7213"/>
    <tableColumn id="7216" xr3:uid="{3B4C2F07-B30B-4790-9E82-9E5B12639348}" name="Column7214"/>
    <tableColumn id="7217" xr3:uid="{64F05288-0AE2-4916-940A-DC21B7116003}" name="Column7215"/>
    <tableColumn id="7218" xr3:uid="{C08DC52C-3BA5-4876-8361-B67D26B630B3}" name="Column7216"/>
    <tableColumn id="7219" xr3:uid="{E55EA471-05C4-4CFD-A603-E610429AB548}" name="Column7217"/>
    <tableColumn id="7220" xr3:uid="{46408684-B690-4789-B86D-EB3E81F2AB8F}" name="Column7218"/>
    <tableColumn id="7221" xr3:uid="{EB6A6834-97C8-4B4D-8D89-6801D1D9E1E8}" name="Column7219"/>
    <tableColumn id="7222" xr3:uid="{14861FE7-E013-44D0-A92B-C900278D0631}" name="Column7220"/>
    <tableColumn id="7223" xr3:uid="{D72427B8-766F-4673-87B3-C29D4E17C49D}" name="Column7221"/>
    <tableColumn id="7224" xr3:uid="{A6081B02-B52E-44B5-9C68-420EEE3A2832}" name="Column7222"/>
    <tableColumn id="7225" xr3:uid="{C234422F-D3E5-47CF-A7D9-AFA3FD67028E}" name="Column7223"/>
    <tableColumn id="7226" xr3:uid="{1966EDCD-8662-47E6-8AA8-64D32ADB2ADF}" name="Column7224"/>
    <tableColumn id="7227" xr3:uid="{F4A636B2-A972-4E0A-A007-2A4859FF2EB4}" name="Column7225"/>
    <tableColumn id="7228" xr3:uid="{F896537E-AA6B-4A46-AC66-7DC0D61455DF}" name="Column7226"/>
    <tableColumn id="7229" xr3:uid="{0D916169-5840-4267-98F1-3CE7ABBE52E8}" name="Column7227"/>
    <tableColumn id="7230" xr3:uid="{973CDAFC-C8B5-4766-B66E-6F1EE7B189A3}" name="Column7228"/>
    <tableColumn id="7231" xr3:uid="{B9FAD8F1-C479-4F3C-AA60-CDE3834A13AD}" name="Column7229"/>
    <tableColumn id="7232" xr3:uid="{97D5B972-E460-4497-BEDE-2A72438874AF}" name="Column7230"/>
    <tableColumn id="7233" xr3:uid="{5BD69A88-83C4-42B7-96A0-8B3BE2152C6C}" name="Column7231"/>
    <tableColumn id="7234" xr3:uid="{D69E5CF6-CAAF-4C03-B5FE-35DC62B7953B}" name="Column7232"/>
    <tableColumn id="7235" xr3:uid="{7D618B9E-7A37-4D92-AB94-EAF0546FDA35}" name="Column7233"/>
    <tableColumn id="7236" xr3:uid="{F6BD6AF1-FAF2-4AF5-8CAF-97324F7A7D3D}" name="Column7234"/>
    <tableColumn id="7237" xr3:uid="{885A4663-BB88-42BE-81BB-3A602093F683}" name="Column7235"/>
    <tableColumn id="7238" xr3:uid="{F44C3861-ED46-4168-B144-309FACD727F4}" name="Column7236"/>
    <tableColumn id="7239" xr3:uid="{54C2C7FD-94E9-46F2-9AF8-F6C566A11C3E}" name="Column7237"/>
    <tableColumn id="7240" xr3:uid="{2E5A3C8F-06E0-47DE-A9FF-26E77C3C3D03}" name="Column7238"/>
    <tableColumn id="7241" xr3:uid="{E3054FD7-3282-4D0F-84DA-C645F2BD0668}" name="Column7239"/>
    <tableColumn id="7242" xr3:uid="{30E059C3-13BE-497E-8FC6-0CBC09DADF5C}" name="Column7240"/>
    <tableColumn id="7243" xr3:uid="{0B6E9951-0AF7-4163-99CE-7B7BDD353844}" name="Column7241"/>
    <tableColumn id="7244" xr3:uid="{A38AFF9C-E53C-4062-87EC-00EF9C713E81}" name="Column7242"/>
    <tableColumn id="7245" xr3:uid="{FF139426-2D7F-4D1F-A8A8-BC9FDD752CAB}" name="Column7243"/>
    <tableColumn id="7246" xr3:uid="{47682775-B988-4B34-B528-31D2E9FF72C5}" name="Column7244"/>
    <tableColumn id="7247" xr3:uid="{DFF41288-753A-4B91-B904-613AB296EC4C}" name="Column7245"/>
    <tableColumn id="7248" xr3:uid="{842D036A-DBA6-41AB-85E5-5BC7FB8100C8}" name="Column7246"/>
    <tableColumn id="7249" xr3:uid="{B245700D-D948-42D2-B460-BD6B86D1C2E3}" name="Column7247"/>
    <tableColumn id="7250" xr3:uid="{361C229A-F276-4D9D-AA46-3D86CF758EEF}" name="Column7248"/>
    <tableColumn id="7251" xr3:uid="{A04FA660-D2CD-41D0-9B63-CFCA01AA5A65}" name="Column7249"/>
    <tableColumn id="7252" xr3:uid="{7268215C-CA6A-410C-BE1B-697FECD86A17}" name="Column7250"/>
    <tableColumn id="7253" xr3:uid="{E8265948-00FD-47A6-AB60-532D04B21EA9}" name="Column7251"/>
    <tableColumn id="7254" xr3:uid="{9724E24D-BAAC-4038-BC16-E54640FE7961}" name="Column7252"/>
    <tableColumn id="7255" xr3:uid="{EBC7C97A-C927-43FE-ACB1-BB83E649EED8}" name="Column7253"/>
    <tableColumn id="7256" xr3:uid="{EE3E8BD9-DE6C-4659-BD05-DBAB053E6D0E}" name="Column7254"/>
    <tableColumn id="7257" xr3:uid="{DD434D01-DA13-48C3-B9CF-FE64F2D0EDBE}" name="Column7255"/>
    <tableColumn id="7258" xr3:uid="{FE5BAB5B-54DC-4AAB-9C50-279E816BE0AE}" name="Column7256"/>
    <tableColumn id="7259" xr3:uid="{6F5E982C-E9AF-4C47-A491-53895E3D64D7}" name="Column7257"/>
    <tableColumn id="7260" xr3:uid="{CECD51C2-1ED9-4213-AAF8-B04459FC6A32}" name="Column7258"/>
    <tableColumn id="7261" xr3:uid="{56065730-C81F-46A4-83EC-CCC17B62904B}" name="Column7259"/>
    <tableColumn id="7262" xr3:uid="{9469B5A9-CE93-4CAC-B569-44E7CF30CD6F}" name="Column7260"/>
    <tableColumn id="7263" xr3:uid="{85B4E4E2-4E90-4AD6-A392-7509D160096A}" name="Column7261"/>
    <tableColumn id="7264" xr3:uid="{2852DA7F-A5ED-4EC7-B2DE-2FDD58CD4427}" name="Column7262"/>
    <tableColumn id="7265" xr3:uid="{F55095E1-475F-4B7B-ACDD-1351DFCE8167}" name="Column7263"/>
    <tableColumn id="7266" xr3:uid="{8668FF58-F094-40DD-A235-55AF43F04384}" name="Column7264"/>
    <tableColumn id="7267" xr3:uid="{D0F331EF-4666-42E0-A4C8-69F611E84FCB}" name="Column7265"/>
    <tableColumn id="7268" xr3:uid="{3AFCD4A4-8063-468E-9DEF-4BB3FAA7E671}" name="Column7266"/>
    <tableColumn id="7269" xr3:uid="{A69C3F9E-1C90-448C-92F4-BA74C707E6C4}" name="Column7267"/>
    <tableColumn id="7270" xr3:uid="{1F9D083C-6B0D-46D7-99D2-A3831096A935}" name="Column7268"/>
    <tableColumn id="7271" xr3:uid="{AFB0B801-2CA7-48C8-8414-5363BE5F32EA}" name="Column7269"/>
    <tableColumn id="7272" xr3:uid="{54FD3ED7-FD21-47B7-882B-97C1B26FB04C}" name="Column7270"/>
    <tableColumn id="7273" xr3:uid="{A9B02424-5B96-4D26-B10F-B897F0EF30AA}" name="Column7271"/>
    <tableColumn id="7274" xr3:uid="{94B691CB-A60B-489F-8600-C0E0D3A83E7F}" name="Column7272"/>
    <tableColumn id="7275" xr3:uid="{E1686493-54BC-4F89-AB78-D12A35FE6930}" name="Column7273"/>
    <tableColumn id="7276" xr3:uid="{B3341D84-027D-400A-8E21-4B056049212E}" name="Column7274"/>
    <tableColumn id="7277" xr3:uid="{990D38A0-2142-4989-A6B1-89090220A4FE}" name="Column7275"/>
    <tableColumn id="7278" xr3:uid="{9E4EE4BC-903A-4563-86FE-98C9335404DC}" name="Column7276"/>
    <tableColumn id="7279" xr3:uid="{26418B1B-5DAC-4340-BF42-2BF321CF96F4}" name="Column7277"/>
    <tableColumn id="7280" xr3:uid="{9865C05F-9711-43E5-93D9-9F145CB33885}" name="Column7278"/>
    <tableColumn id="7281" xr3:uid="{C4FBD269-0A17-46A4-AC08-AC93504877C3}" name="Column7279"/>
    <tableColumn id="7282" xr3:uid="{CFDFF5F0-1248-4460-8B1D-BB5AB1E2A520}" name="Column7280"/>
    <tableColumn id="7283" xr3:uid="{BC3ED6FA-4D3A-4CC3-A565-B26A9F31E5F2}" name="Column7281"/>
    <tableColumn id="7284" xr3:uid="{04F8940E-79FE-4E35-9045-A5A7D64930CF}" name="Column7282"/>
    <tableColumn id="7285" xr3:uid="{2E720E53-8861-4A00-B91F-0F8E26FB7135}" name="Column7283"/>
    <tableColumn id="7286" xr3:uid="{D411A94C-3CD6-48FF-8B60-17F701832A94}" name="Column7284"/>
    <tableColumn id="7287" xr3:uid="{404533E5-AE36-4B3B-B793-3A6903BD5411}" name="Column7285"/>
    <tableColumn id="7288" xr3:uid="{C41B7418-6879-4FB3-B343-B32FBC4967AA}" name="Column7286"/>
    <tableColumn id="7289" xr3:uid="{77AB58DC-FB0B-4B2E-AF71-53D90E89AB5A}" name="Column7287"/>
    <tableColumn id="7290" xr3:uid="{78532EDE-B996-4397-89A5-665CF8B1575C}" name="Column7288"/>
    <tableColumn id="7291" xr3:uid="{E210E5FD-9DBD-42B4-8970-E9F23889EAF1}" name="Column7289"/>
    <tableColumn id="7292" xr3:uid="{932ACCF6-3905-4496-ABE9-6B0B874654EF}" name="Column7290"/>
    <tableColumn id="7293" xr3:uid="{CE81BC48-F1D8-4BF4-A0FF-0535A62C5FAD}" name="Column7291"/>
    <tableColumn id="7294" xr3:uid="{BC68D3AB-F01D-4D1B-ABB6-1B444F4CF521}" name="Column7292"/>
    <tableColumn id="7295" xr3:uid="{B7540CE0-4B47-4D45-8FF5-71BCA0BCCF28}" name="Column7293"/>
    <tableColumn id="7296" xr3:uid="{C80BBAAF-E9DA-44FF-A9EE-21F8D0F68DDC}" name="Column7294"/>
    <tableColumn id="7297" xr3:uid="{6F6669F7-99BA-4CC1-9D88-8CCD3AAC1630}" name="Column7295"/>
    <tableColumn id="7298" xr3:uid="{B063F3FA-CA0B-4A25-A0B1-528DB8F396B6}" name="Column7296"/>
    <tableColumn id="7299" xr3:uid="{8304AC49-962F-43EC-85F9-E432E5105174}" name="Column7297"/>
    <tableColumn id="7300" xr3:uid="{77D21C86-53C2-4BD2-BF69-D40F56C139B9}" name="Column7298"/>
    <tableColumn id="7301" xr3:uid="{44196E8D-1141-4FBF-A412-841980B1A39B}" name="Column7299"/>
    <tableColumn id="7302" xr3:uid="{592DF286-89A3-4C1A-A3E6-F8B558570302}" name="Column7300"/>
    <tableColumn id="7303" xr3:uid="{E826327D-778E-4F51-92E3-C47E71814782}" name="Column7301"/>
    <tableColumn id="7304" xr3:uid="{56EF277F-F466-42C4-96F5-F56BCF52C2BA}" name="Column7302"/>
    <tableColumn id="7305" xr3:uid="{3A1129FA-02D2-45BC-A98C-8ACB0E1AEF78}" name="Column7303"/>
    <tableColumn id="7306" xr3:uid="{3927240D-4E02-4057-A5D0-B24E9359DC06}" name="Column7304"/>
    <tableColumn id="7307" xr3:uid="{9B761606-076D-4D90-9328-821CEE1B1403}" name="Column7305"/>
    <tableColumn id="7308" xr3:uid="{5EDE5D75-5A52-4F6B-9D86-F4E571F56435}" name="Column7306"/>
    <tableColumn id="7309" xr3:uid="{1E7B0732-224E-4F67-92D2-478C2AA0650C}" name="Column7307"/>
    <tableColumn id="7310" xr3:uid="{23D0D8C9-5C93-4341-B2F1-B9180A6E5AF0}" name="Column7308"/>
    <tableColumn id="7311" xr3:uid="{A8B56B36-6E88-415A-9C48-FDA2005FDBD3}" name="Column7309"/>
    <tableColumn id="7312" xr3:uid="{D7A14BE9-2BA5-4E55-BDEE-EF798F5DA996}" name="Column7310"/>
    <tableColumn id="7313" xr3:uid="{71FAF673-BA83-4DD2-8B18-EFF7A0F1B6DD}" name="Column7311"/>
    <tableColumn id="7314" xr3:uid="{73139A63-9163-45E5-9F9B-E7B854DCE616}" name="Column7312"/>
    <tableColumn id="7315" xr3:uid="{2FE752C1-3613-4E1A-9616-10CB152BEA69}" name="Column7313"/>
    <tableColumn id="7316" xr3:uid="{70B37D62-1623-4A50-ABC7-BF9AC765BE50}" name="Column7314"/>
    <tableColumn id="7317" xr3:uid="{33F33B79-84C7-406E-B827-EFC182DF01AA}" name="Column7315"/>
    <tableColumn id="7318" xr3:uid="{BBD3A38F-357F-4C7E-8FD3-11D27A552F51}" name="Column7316"/>
    <tableColumn id="7319" xr3:uid="{D9365F4E-A91A-4CF0-B75B-0AF65207FA0A}" name="Column7317"/>
    <tableColumn id="7320" xr3:uid="{12A6E4E0-8954-4323-8A27-3459F90F7EFC}" name="Column7318"/>
    <tableColumn id="7321" xr3:uid="{1E24138D-08D3-4E7B-85F8-BCB67339C031}" name="Column7319"/>
    <tableColumn id="7322" xr3:uid="{B18B24B1-7625-44B6-B281-F95E9397B421}" name="Column7320"/>
    <tableColumn id="7323" xr3:uid="{DEFB4B44-3304-4153-A16F-1BCDCCDD3EF7}" name="Column7321"/>
    <tableColumn id="7324" xr3:uid="{A8659C0C-C571-40D1-BFB0-670C69BC8F35}" name="Column7322"/>
    <tableColumn id="7325" xr3:uid="{69464174-3975-4D14-9F82-E773365193E0}" name="Column7323"/>
    <tableColumn id="7326" xr3:uid="{2D2CFCA2-6D9D-4B5A-AEA7-286C823BB6DC}" name="Column7324"/>
    <tableColumn id="7327" xr3:uid="{47116D6C-45A7-41EA-A188-DFE535A5D926}" name="Column7325"/>
    <tableColumn id="7328" xr3:uid="{666CC75E-41E6-4E6C-B783-D4CCAEBEC687}" name="Column7326"/>
    <tableColumn id="7329" xr3:uid="{7B98477E-37D8-4420-B4D3-41311AEF180D}" name="Column7327"/>
    <tableColumn id="7330" xr3:uid="{BFD7D69B-C67C-4673-8639-11A75586C5DF}" name="Column7328"/>
    <tableColumn id="7331" xr3:uid="{130CFD23-A4B8-4923-A492-6C0559DB16E3}" name="Column7329"/>
    <tableColumn id="7332" xr3:uid="{7C194EB3-A9CA-4563-B103-EC3F8B97E6C9}" name="Column7330"/>
    <tableColumn id="7333" xr3:uid="{0C6A6FC2-50A5-4AAA-B162-8B4DF43C7DAC}" name="Column7331"/>
    <tableColumn id="7334" xr3:uid="{214F1ECD-6A85-4360-9794-5976297AD9CC}" name="Column7332"/>
    <tableColumn id="7335" xr3:uid="{BB24937F-F7C1-4C98-8D2C-76C8AD32B79A}" name="Column7333"/>
    <tableColumn id="7336" xr3:uid="{A2AE9972-1B0C-40D0-AA4B-34F375808307}" name="Column7334"/>
    <tableColumn id="7337" xr3:uid="{C5771DF3-C1AD-4819-92F1-1F6CFC116025}" name="Column7335"/>
    <tableColumn id="7338" xr3:uid="{C120514F-C4C1-4789-8660-8788F972A55B}" name="Column7336"/>
    <tableColumn id="7339" xr3:uid="{175E76F7-460D-4485-B596-6EE4E031B385}" name="Column7337"/>
    <tableColumn id="7340" xr3:uid="{598731A5-DDE1-4D63-94B1-DF3F2EA7B0CC}" name="Column7338"/>
    <tableColumn id="7341" xr3:uid="{DECC974D-16A0-4E4E-97A4-D9C67FB52BF3}" name="Column7339"/>
    <tableColumn id="7342" xr3:uid="{146E618E-3025-4D8B-8EEE-636F3CBD3DA7}" name="Column7340"/>
    <tableColumn id="7343" xr3:uid="{D3BFE410-DF83-441E-9075-E10ED4D1461D}" name="Column7341"/>
    <tableColumn id="7344" xr3:uid="{54B439A9-D907-474B-906D-90C8264EBF0B}" name="Column7342"/>
    <tableColumn id="7345" xr3:uid="{1B3023A0-91CC-4C03-AE1B-E7FA289B75CE}" name="Column7343"/>
    <tableColumn id="7346" xr3:uid="{7B309A32-C180-4CB1-A176-BC94909F48F8}" name="Column7344"/>
    <tableColumn id="7347" xr3:uid="{E1121704-F0AB-4171-893E-3A5E16504FE7}" name="Column7345"/>
    <tableColumn id="7348" xr3:uid="{AB9AEE9D-4153-4A43-9ECC-966B1CFA02DB}" name="Column7346"/>
    <tableColumn id="7349" xr3:uid="{20E33F11-4D76-41A9-81B5-99DA3CC9E228}" name="Column7347"/>
    <tableColumn id="7350" xr3:uid="{B0FD0EA0-504F-449A-8FDD-7724C6F7C5CE}" name="Column7348"/>
    <tableColumn id="7351" xr3:uid="{CC6DE232-B0E0-4B38-AD70-12ADD46E9DA1}" name="Column7349"/>
    <tableColumn id="7352" xr3:uid="{64716DAC-EE71-44FA-A0AD-2810C682776E}" name="Column7350"/>
    <tableColumn id="7353" xr3:uid="{CBDAE0CF-5BF4-4F42-ABDF-DBACE8DC4E62}" name="Column7351"/>
    <tableColumn id="7354" xr3:uid="{6FE72F6F-0C7E-4CD9-B102-C0DF83015D58}" name="Column7352"/>
    <tableColumn id="7355" xr3:uid="{B4D44EF3-A269-4FEC-880E-F23B17D6CE55}" name="Column7353"/>
    <tableColumn id="7356" xr3:uid="{5707EE3F-69F4-4114-BEEC-8622D6B0E5FB}" name="Column7354"/>
    <tableColumn id="7357" xr3:uid="{03696579-70F8-42E7-BE40-6D4CB0D6CE6F}" name="Column7355"/>
    <tableColumn id="7358" xr3:uid="{F54C72B4-F398-4045-9665-1728EC536223}" name="Column7356"/>
    <tableColumn id="7359" xr3:uid="{58784720-4B58-41AD-A3CE-97482293BE9F}" name="Column7357"/>
    <tableColumn id="7360" xr3:uid="{E7A8E47B-61B4-4875-8A1C-515934E2B654}" name="Column7358"/>
    <tableColumn id="7361" xr3:uid="{8D1B55B4-4FC0-4DA3-A565-7AB6097A8431}" name="Column7359"/>
    <tableColumn id="7362" xr3:uid="{EBC31DC5-4BDE-4D72-92C5-EBF8AA06DC5B}" name="Column7360"/>
    <tableColumn id="7363" xr3:uid="{D2B56147-009B-43FA-A614-B5E39EB930FC}" name="Column7361"/>
    <tableColumn id="7364" xr3:uid="{2C621694-8877-4854-8320-8C85796B666F}" name="Column7362"/>
    <tableColumn id="7365" xr3:uid="{5F193B5D-B6AE-4FDA-9D75-6A2A9F62FA33}" name="Column7363"/>
    <tableColumn id="7366" xr3:uid="{067C5ECF-CB52-4D80-99E3-0F820EF4607B}" name="Column7364"/>
    <tableColumn id="7367" xr3:uid="{2A75E806-0819-4D68-83A2-0957D52151BB}" name="Column7365"/>
    <tableColumn id="7368" xr3:uid="{A0281239-2375-40B9-97B2-D6AFF8E2745F}" name="Column7366"/>
    <tableColumn id="7369" xr3:uid="{D388CAD4-759B-43CE-85D1-0DB49AD4A2D7}" name="Column7367"/>
    <tableColumn id="7370" xr3:uid="{C487F1D4-04E8-4200-A233-49ADBAF3FD69}" name="Column7368"/>
    <tableColumn id="7371" xr3:uid="{DF7CADC8-7601-4A41-A11F-3DE294E77D88}" name="Column7369"/>
    <tableColumn id="7372" xr3:uid="{C652EF8B-7F66-4734-8FF0-935E0CF3B5D8}" name="Column7370"/>
    <tableColumn id="7373" xr3:uid="{DE7F06D1-4E95-49BF-9FD4-12477B6991B5}" name="Column7371"/>
    <tableColumn id="7374" xr3:uid="{D8634068-6415-4B3D-93BD-471B46AB5CB0}" name="Column7372"/>
    <tableColumn id="7375" xr3:uid="{403883FA-42E7-4FEA-8B4C-780419D45C80}" name="Column7373"/>
    <tableColumn id="7376" xr3:uid="{0991A489-6541-4DA9-B8AE-4D576E41DD7E}" name="Column7374"/>
    <tableColumn id="7377" xr3:uid="{9A3313FB-7A8C-4EC8-966F-AC6F0A11D5E8}" name="Column7375"/>
    <tableColumn id="7378" xr3:uid="{76DDE88C-FC89-4BEA-B4DE-E9858FDF4B31}" name="Column7376"/>
    <tableColumn id="7379" xr3:uid="{2691D69D-4363-472F-9292-EE6356A919D5}" name="Column7377"/>
    <tableColumn id="7380" xr3:uid="{E16CB241-02F4-4CCF-B29E-322E9400F42A}" name="Column7378"/>
    <tableColumn id="7381" xr3:uid="{19EF8EFD-D899-4D50-979A-8A1802FBE96D}" name="Column7379"/>
    <tableColumn id="7382" xr3:uid="{7A58A59B-BE27-4746-A285-B073B980DA98}" name="Column7380"/>
    <tableColumn id="7383" xr3:uid="{1472F8B8-BA03-40D2-BC7F-3E03B44AB1CE}" name="Column7381"/>
    <tableColumn id="7384" xr3:uid="{EB3D4F73-F49C-45C1-9C67-BB746979149F}" name="Column7382"/>
    <tableColumn id="7385" xr3:uid="{FE405BF6-D939-4237-A650-06C1AF7A38AC}" name="Column7383"/>
    <tableColumn id="7386" xr3:uid="{D4E443C1-B18D-47F4-8FD8-1321DF60DDA1}" name="Column7384"/>
    <tableColumn id="7387" xr3:uid="{1EF8D0BD-0456-45CA-A711-2BBBB241DDF6}" name="Column7385"/>
    <tableColumn id="7388" xr3:uid="{2871CB3D-F33B-4BAF-9B65-9591216968D4}" name="Column7386"/>
    <tableColumn id="7389" xr3:uid="{2B730D5A-3489-4197-ABB9-452D3B38C3AB}" name="Column7387"/>
    <tableColumn id="7390" xr3:uid="{D3E78079-6004-4295-AEB5-63E1007A21FD}" name="Column7388"/>
    <tableColumn id="7391" xr3:uid="{F5ABD6A3-582E-436A-93F3-27C22EF64819}" name="Column7389"/>
    <tableColumn id="7392" xr3:uid="{C11D672C-0277-4DE5-8D90-847BCDEAED68}" name="Column7390"/>
    <tableColumn id="7393" xr3:uid="{62602608-4B04-43C4-8E6E-137A4D3E71FE}" name="Column7391"/>
    <tableColumn id="7394" xr3:uid="{D447B631-58BF-47E4-934C-5DD85F6100A5}" name="Column7392"/>
    <tableColumn id="7395" xr3:uid="{085F328C-2893-4C6C-8582-B2FA963317E7}" name="Column7393"/>
    <tableColumn id="7396" xr3:uid="{F4C4C2F4-6BD6-42E7-ABB1-8A944D9DB6B7}" name="Column7394"/>
    <tableColumn id="7397" xr3:uid="{465E3BB7-205D-4F1B-ABD0-4246ABAF0F52}" name="Column7395"/>
    <tableColumn id="7398" xr3:uid="{EB215D37-AC80-40E5-B239-5FA8EC180ECB}" name="Column7396"/>
    <tableColumn id="7399" xr3:uid="{62687086-BA3F-41A7-BADE-27E0236AFAE5}" name="Column7397"/>
    <tableColumn id="7400" xr3:uid="{5177F680-1F08-4BDA-A884-A1C763A22A06}" name="Column7398"/>
    <tableColumn id="7401" xr3:uid="{B47A9377-C05E-4E60-BD1E-FDE73E326004}" name="Column7399"/>
    <tableColumn id="7402" xr3:uid="{0C31726A-EA50-4089-A467-234EBD93EDB1}" name="Column7400"/>
    <tableColumn id="7403" xr3:uid="{F6EC35FE-F6C4-46E5-B1BC-5F516D798C1F}" name="Column7401"/>
    <tableColumn id="7404" xr3:uid="{9E4669AA-8F5D-49A1-8403-8512C9750B59}" name="Column7402"/>
    <tableColumn id="7405" xr3:uid="{74A52A0D-2819-4CFC-89D3-5965C0011524}" name="Column7403"/>
    <tableColumn id="7406" xr3:uid="{B68E243F-5F76-4C18-95A4-3698E064644E}" name="Column7404"/>
    <tableColumn id="7407" xr3:uid="{4CEBE165-A855-4D79-9FDA-A07C574E344D}" name="Column7405"/>
    <tableColumn id="7408" xr3:uid="{9EDA218D-315A-4EE0-8A07-8A8AC8EC504A}" name="Column7406"/>
    <tableColumn id="7409" xr3:uid="{2F7238EC-A609-4F62-BCCD-9F5A0612F566}" name="Column7407"/>
    <tableColumn id="7410" xr3:uid="{195FFF5D-0FF2-44BF-9C62-B4E956883E45}" name="Column7408"/>
    <tableColumn id="7411" xr3:uid="{5BCFCE0C-8605-4D6A-9FE1-FC1D88F14225}" name="Column7409"/>
    <tableColumn id="7412" xr3:uid="{56198B90-6055-4AF0-B327-0440527B1D31}" name="Column7410"/>
    <tableColumn id="7413" xr3:uid="{6049B30E-A036-4669-9FCA-352BB540079A}" name="Column7411"/>
    <tableColumn id="7414" xr3:uid="{32B9268B-BCC9-4EAC-B8A8-32F980528296}" name="Column7412"/>
    <tableColumn id="7415" xr3:uid="{66FCC6A3-82F0-41D1-8EDE-AB948F5E8BB3}" name="Column7413"/>
    <tableColumn id="7416" xr3:uid="{9543D5D8-F099-4E93-BCCB-2ED1D3D966B0}" name="Column7414"/>
    <tableColumn id="7417" xr3:uid="{4440249C-26CF-4A15-828E-016FD3AF2CDA}" name="Column7415"/>
    <tableColumn id="7418" xr3:uid="{0A5F1D46-632E-473A-B319-DCCA5AEE9F88}" name="Column7416"/>
    <tableColumn id="7419" xr3:uid="{F3EB869A-4CB8-44F9-B04F-040ADBCE8A19}" name="Column7417"/>
    <tableColumn id="7420" xr3:uid="{5471CF7B-E033-4FAA-8D3E-755F1A5C5E78}" name="Column7418"/>
    <tableColumn id="7421" xr3:uid="{16EE7C63-6A54-477E-864D-1C146FD41F1D}" name="Column7419"/>
    <tableColumn id="7422" xr3:uid="{761CEF8C-BE9F-4ABF-BDCB-08CE03082BCD}" name="Column7420"/>
    <tableColumn id="7423" xr3:uid="{125E9B65-2F53-441F-B19C-7A9E63664E39}" name="Column7421"/>
    <tableColumn id="7424" xr3:uid="{E40100DD-83B4-441B-B86B-82C6391E6456}" name="Column7422"/>
    <tableColumn id="7425" xr3:uid="{454406CF-3718-432C-86F5-BF12A2F14571}" name="Column7423"/>
    <tableColumn id="7426" xr3:uid="{2F2FD01D-4CA9-4B11-BE04-395FF3F5462B}" name="Column7424"/>
    <tableColumn id="7427" xr3:uid="{F9D3DD41-7268-4D45-97FA-D9E6DF5213E7}" name="Column7425"/>
    <tableColumn id="7428" xr3:uid="{2C6F1FDE-27C2-4E0F-B098-2C309219563F}" name="Column7426"/>
    <tableColumn id="7429" xr3:uid="{EE370FAD-7F3B-4274-ACC7-D84B25135D51}" name="Column7427"/>
    <tableColumn id="7430" xr3:uid="{7639F252-1D6A-43E5-91F1-9E9EEBDD59F7}" name="Column7428"/>
    <tableColumn id="7431" xr3:uid="{039A9612-2DF8-4B5D-9FB4-E56C0CB42F24}" name="Column7429"/>
    <tableColumn id="7432" xr3:uid="{F2BB3990-9C41-4AF0-9A70-B3CA9CF1213B}" name="Column7430"/>
    <tableColumn id="7433" xr3:uid="{A041B8A1-C281-417A-BDEB-4D8366A4D83E}" name="Column7431"/>
    <tableColumn id="7434" xr3:uid="{0B89C29B-C0CC-44C2-9773-C1B41A0BA1D1}" name="Column7432"/>
    <tableColumn id="7435" xr3:uid="{D3023645-FDCA-4714-ACEF-A700E69A4552}" name="Column7433"/>
    <tableColumn id="7436" xr3:uid="{642157D5-E0A9-436B-BF68-C586B337B04A}" name="Column7434"/>
    <tableColumn id="7437" xr3:uid="{87FAD780-C068-4C5A-9097-FAEC7ABC6299}" name="Column7435"/>
    <tableColumn id="7438" xr3:uid="{A5094E10-A93E-46B3-AF7A-A10EA8AC1EA2}" name="Column7436"/>
    <tableColumn id="7439" xr3:uid="{F2DF97A7-AD63-456C-A356-BA90D5BE3126}" name="Column7437"/>
    <tableColumn id="7440" xr3:uid="{B53536B0-58F0-4402-A99A-D07E8485BF5F}" name="Column7438"/>
    <tableColumn id="7441" xr3:uid="{26945AF4-2147-4493-BA64-86D17D93195D}" name="Column7439"/>
    <tableColumn id="7442" xr3:uid="{D07B11FF-B34F-429D-A261-4846CC40F5ED}" name="Column7440"/>
    <tableColumn id="7443" xr3:uid="{E74DB714-988D-4F1D-AAC1-8F3AFF8C4996}" name="Column7441"/>
    <tableColumn id="7444" xr3:uid="{51900189-BB4A-4618-8B63-713C4C62D49A}" name="Column7442"/>
    <tableColumn id="7445" xr3:uid="{99F59FB4-607D-4655-8633-FF8188F26576}" name="Column7443"/>
    <tableColumn id="7446" xr3:uid="{385CF99C-EAAB-4FAC-9B67-9DB8C9193479}" name="Column7444"/>
    <tableColumn id="7447" xr3:uid="{DECCDBA6-3C84-4007-8B1B-548CB6862F1C}" name="Column7445"/>
    <tableColumn id="7448" xr3:uid="{42934D7D-789F-468D-95E3-254EBCDC7040}" name="Column7446"/>
    <tableColumn id="7449" xr3:uid="{EA6DFB14-0739-4FB6-92C2-6D03DAC33727}" name="Column7447"/>
    <tableColumn id="7450" xr3:uid="{438A437F-D8E3-4187-B307-E56CD6D10245}" name="Column7448"/>
    <tableColumn id="7451" xr3:uid="{BACC42F0-2F77-4AEC-9375-C2BCF5EEC340}" name="Column7449"/>
    <tableColumn id="7452" xr3:uid="{EA3C64B5-26D2-46FA-81BD-AE30480EB188}" name="Column7450"/>
    <tableColumn id="7453" xr3:uid="{F692F477-EC7C-4A98-A0D2-A14BFA963DA4}" name="Column7451"/>
    <tableColumn id="7454" xr3:uid="{9668BB7D-2CF3-43F0-952F-76697FA57174}" name="Column7452"/>
    <tableColumn id="7455" xr3:uid="{9B5249C3-7A81-4534-A767-46D34FD41E18}" name="Column7453"/>
    <tableColumn id="7456" xr3:uid="{2061538A-8858-44BD-BB13-F76B10704F25}" name="Column7454"/>
    <tableColumn id="7457" xr3:uid="{37F684E5-4A7E-4BAB-A332-CCC2CD260984}" name="Column7455"/>
    <tableColumn id="7458" xr3:uid="{EA02F670-90AB-4538-9478-7A58534D9922}" name="Column7456"/>
    <tableColumn id="7459" xr3:uid="{4601E660-E78F-4148-B512-236EBD0CD9B0}" name="Column7457"/>
    <tableColumn id="7460" xr3:uid="{5A859973-0015-4438-8D3B-618ACA61E065}" name="Column7458"/>
    <tableColumn id="7461" xr3:uid="{2DE379AA-9204-485B-AB07-C12B6F22706F}" name="Column7459"/>
    <tableColumn id="7462" xr3:uid="{02292AEC-1D0E-435F-B9D1-37113D957A61}" name="Column7460"/>
    <tableColumn id="7463" xr3:uid="{E92837E2-7045-402D-8A19-DDD5EE94D014}" name="Column7461"/>
    <tableColumn id="7464" xr3:uid="{32A3B755-319D-4663-9954-A936FA08FDD6}" name="Column7462"/>
    <tableColumn id="7465" xr3:uid="{E6967CFB-6A1E-4B87-9616-5B681D9E2F60}" name="Column7463"/>
    <tableColumn id="7466" xr3:uid="{17841287-7515-4F0A-B558-133599067098}" name="Column7464"/>
    <tableColumn id="7467" xr3:uid="{56A249A6-1C47-4A40-9794-8A1C9C7E672B}" name="Column7465"/>
    <tableColumn id="7468" xr3:uid="{F1959502-C282-4BB4-B4F5-0A8C3839901E}" name="Column7466"/>
    <tableColumn id="7469" xr3:uid="{961A6FAF-AD3B-4E7E-884F-4A3925054F7E}" name="Column7467"/>
    <tableColumn id="7470" xr3:uid="{50254914-6853-4FA9-BFF6-1EC7FE997DD7}" name="Column7468"/>
    <tableColumn id="7471" xr3:uid="{10E861AF-A5F4-405F-A88D-F2F3A900D9FD}" name="Column7469"/>
    <tableColumn id="7472" xr3:uid="{DCAD057E-AF15-4ECE-BD3C-E4745BB30445}" name="Column7470"/>
    <tableColumn id="7473" xr3:uid="{585B873B-D4D3-4422-AA79-C9FFA0C6F8E8}" name="Column7471"/>
    <tableColumn id="7474" xr3:uid="{6D896244-E3DE-4AA1-825F-3E4A693CC88A}" name="Column7472"/>
    <tableColumn id="7475" xr3:uid="{9AC0B4FC-21D8-4B10-A9BA-0AE69AC802D4}" name="Column7473"/>
    <tableColumn id="7476" xr3:uid="{CB0164C4-263E-45A3-8DBC-76B5822FF208}" name="Column7474"/>
    <tableColumn id="7477" xr3:uid="{245DCF03-E959-4D2F-8E7B-EC3D00251236}" name="Column7475"/>
    <tableColumn id="7478" xr3:uid="{279FA1E5-ECC6-4520-8BB7-8716F2A251AD}" name="Column7476"/>
    <tableColumn id="7479" xr3:uid="{559D6E5D-E401-4FF4-839A-9879C8C948E7}" name="Column7477"/>
    <tableColumn id="7480" xr3:uid="{9B9FD450-89A6-4CB0-85D3-7FF1158C7FA7}" name="Column7478"/>
    <tableColumn id="7481" xr3:uid="{17F49712-7E49-482F-8B63-DC5AA41D3202}" name="Column7479"/>
    <tableColumn id="7482" xr3:uid="{CABDB1EF-41DC-476E-8FE1-AF8F43680B39}" name="Column7480"/>
    <tableColumn id="7483" xr3:uid="{9F032658-4D7B-4488-B489-9BCAD9B87515}" name="Column7481"/>
    <tableColumn id="7484" xr3:uid="{3DE807E8-2DAD-4D56-BB5F-CFCB19795837}" name="Column7482"/>
    <tableColumn id="7485" xr3:uid="{D04BF92A-C1F8-4073-AD27-EC090611C1D9}" name="Column7483"/>
    <tableColumn id="7486" xr3:uid="{EFAC99CE-A5E5-42AC-A157-8FE0115868C2}" name="Column7484"/>
    <tableColumn id="7487" xr3:uid="{D5E8FCF2-BD64-4CB1-9EC0-AE92569F1CEC}" name="Column7485"/>
    <tableColumn id="7488" xr3:uid="{CFC585CF-F15A-44E2-BE34-4C9661C2F405}" name="Column7486"/>
    <tableColumn id="7489" xr3:uid="{ED3C581E-CD0B-4208-9788-7E458DD5D8F7}" name="Column7487"/>
    <tableColumn id="7490" xr3:uid="{B2BDE6E3-930D-4288-89F1-26F2386CD954}" name="Column7488"/>
    <tableColumn id="7491" xr3:uid="{3520D9BB-1764-419E-93D1-B77A4C067701}" name="Column7489"/>
    <tableColumn id="7492" xr3:uid="{E6C2DC73-8796-496F-ADF8-953B9E6C0F5C}" name="Column7490"/>
    <tableColumn id="7493" xr3:uid="{282AB1EE-8C28-45FF-8CCF-64937C31D90A}" name="Column7491"/>
    <tableColumn id="7494" xr3:uid="{B4ADABD5-5292-46B6-B712-1115FE63E3BE}" name="Column7492"/>
    <tableColumn id="7495" xr3:uid="{859F0FB9-3A48-4ECF-93CB-FF1144CDA21C}" name="Column7493"/>
    <tableColumn id="7496" xr3:uid="{C744CC62-6EBD-4670-8130-A9F5168B90F7}" name="Column7494"/>
    <tableColumn id="7497" xr3:uid="{D6061334-84CD-40B7-B37D-1C078ECF4CC1}" name="Column7495"/>
    <tableColumn id="7498" xr3:uid="{D0D1B937-3B31-4924-A231-31947BD1505B}" name="Column7496"/>
    <tableColumn id="7499" xr3:uid="{449CA4DF-F44D-4E81-9D3E-6E23B6BB6FE6}" name="Column7497"/>
    <tableColumn id="7500" xr3:uid="{A9B584F7-3C99-4F32-B9AC-57DBD170FAD2}" name="Column7498"/>
    <tableColumn id="7501" xr3:uid="{000E562E-CC44-4966-B717-9AC1699361F0}" name="Column7499"/>
    <tableColumn id="7502" xr3:uid="{A15D7F4C-AB86-42F2-807B-242A3FD97C25}" name="Column7500"/>
    <tableColumn id="7503" xr3:uid="{3708C6CF-E2BF-4A4D-B3E2-ED286F8D0210}" name="Column7501"/>
    <tableColumn id="7504" xr3:uid="{C42D9806-16C3-4024-A1AF-9BBBEDB40975}" name="Column7502"/>
    <tableColumn id="7505" xr3:uid="{48BE2B86-82DD-4909-B528-6A65E8851FCB}" name="Column7503"/>
    <tableColumn id="7506" xr3:uid="{E1546A9E-F024-4EF1-9A89-5DC97A294E7A}" name="Column7504"/>
    <tableColumn id="7507" xr3:uid="{F2FC3F7A-5C28-406C-ACCB-3C3862AD9FD0}" name="Column7505"/>
    <tableColumn id="7508" xr3:uid="{0E177FDB-4016-48BE-BB90-DCBC1EDAA9A0}" name="Column7506"/>
    <tableColumn id="7509" xr3:uid="{767279CE-D06F-4B83-A58E-DA4A2B9CF22A}" name="Column7507"/>
    <tableColumn id="7510" xr3:uid="{49DE2D67-D6B3-4DC2-9A54-EB8E26FCE033}" name="Column7508"/>
    <tableColumn id="7511" xr3:uid="{E9BEA830-9234-45FE-A4DB-53F8BC2B0631}" name="Column7509"/>
    <tableColumn id="7512" xr3:uid="{CC866B3E-176F-4111-8086-770183FA58CA}" name="Column7510"/>
    <tableColumn id="7513" xr3:uid="{C419E858-65B9-4DDB-BF83-F1FB6C099381}" name="Column7511"/>
    <tableColumn id="7514" xr3:uid="{CD2A5ADA-65B6-4174-8DFE-5FA35CB2B2A1}" name="Column7512"/>
    <tableColumn id="7515" xr3:uid="{D0B8FCF9-5954-411D-ABD6-BB4D7ECD5194}" name="Column7513"/>
    <tableColumn id="7516" xr3:uid="{6634F929-B543-4569-B1E4-943C597A77EF}" name="Column7514"/>
    <tableColumn id="7517" xr3:uid="{B4AD414E-A9EA-40AD-A93E-D9EF3CE18B87}" name="Column7515"/>
    <tableColumn id="7518" xr3:uid="{B3889F8A-8B34-4FCA-AAA3-7A424893D481}" name="Column7516"/>
    <tableColumn id="7519" xr3:uid="{D41AB2EA-F6AC-4895-AD6C-B120A84494E0}" name="Column7517"/>
    <tableColumn id="7520" xr3:uid="{841DAEE4-A31F-4BA7-944F-B9DDAFC4B5B9}" name="Column7518"/>
    <tableColumn id="7521" xr3:uid="{DAFBE7ED-5550-4906-B539-71E59436E62B}" name="Column7519"/>
    <tableColumn id="7522" xr3:uid="{403D7E01-249A-422E-A475-01BA9F60DA86}" name="Column7520"/>
    <tableColumn id="7523" xr3:uid="{229B37E9-C3F3-4941-A241-0F95C620CD14}" name="Column7521"/>
    <tableColumn id="7524" xr3:uid="{9FFD6017-B3BD-4269-BE96-BA1EFEBF97DC}" name="Column7522"/>
    <tableColumn id="7525" xr3:uid="{278872F9-AE2A-4272-A82B-E99FA158A9B2}" name="Column7523"/>
    <tableColumn id="7526" xr3:uid="{581B185F-2463-4CB4-AA45-BD0AD29206C0}" name="Column7524"/>
    <tableColumn id="7527" xr3:uid="{13FA15E6-8651-4642-9FA2-0948F462AD4F}" name="Column7525"/>
    <tableColumn id="7528" xr3:uid="{EC363860-3219-48C2-9124-59662D97BAB5}" name="Column7526"/>
    <tableColumn id="7529" xr3:uid="{EE19C009-403B-4C03-A8E5-3338422D09CF}" name="Column7527"/>
    <tableColumn id="7530" xr3:uid="{23B870F0-A132-44F5-8118-DF3230DD6C9A}" name="Column7528"/>
    <tableColumn id="7531" xr3:uid="{8A9D0204-5ABC-4664-A14F-4B41A727A224}" name="Column7529"/>
    <tableColumn id="7532" xr3:uid="{62A2F69A-B1B8-4DCB-A19C-FF4DA292F390}" name="Column7530"/>
    <tableColumn id="7533" xr3:uid="{9566A850-C324-43AD-A36F-8E4720D0B5F2}" name="Column7531"/>
    <tableColumn id="7534" xr3:uid="{1091B9D1-1634-4582-A0FF-FC54A4B40F1A}" name="Column7532"/>
    <tableColumn id="7535" xr3:uid="{133CB685-6C21-4165-B49D-C798B100E1E8}" name="Column7533"/>
    <tableColumn id="7536" xr3:uid="{1FC726D1-6EAC-44A7-B590-29CB55DD4688}" name="Column7534"/>
    <tableColumn id="7537" xr3:uid="{ED8FE3E3-E71C-47E7-84D7-FB9492A10465}" name="Column7535"/>
    <tableColumn id="7538" xr3:uid="{E5DF1A5F-1150-4F7F-858F-8A1E514B4371}" name="Column7536"/>
    <tableColumn id="7539" xr3:uid="{B573FA82-33F8-4FE5-85DB-DF869D3E3B3A}" name="Column7537"/>
    <tableColumn id="7540" xr3:uid="{126B7C6D-2BC8-4FBA-842F-0A81E9B24B0F}" name="Column7538"/>
    <tableColumn id="7541" xr3:uid="{B5C0627D-E42D-4979-BB48-9B08C206CDD9}" name="Column7539"/>
    <tableColumn id="7542" xr3:uid="{736FED3B-440B-4EB9-B4ED-AB6C74299C52}" name="Column7540"/>
    <tableColumn id="7543" xr3:uid="{E01DFAED-F417-4D0E-AFE2-95452E966F98}" name="Column7541"/>
    <tableColumn id="7544" xr3:uid="{1C7F9506-9E71-4F74-87FF-85706A80107B}" name="Column7542"/>
    <tableColumn id="7545" xr3:uid="{D30D0382-D5E6-4C66-A72A-D7BB6E791811}" name="Column7543"/>
    <tableColumn id="7546" xr3:uid="{7EC8EFF4-4F56-4856-8F65-BB35C09E3B5C}" name="Column7544"/>
    <tableColumn id="7547" xr3:uid="{D7F40E1E-58B3-4F91-A6B2-8447BB47276E}" name="Column7545"/>
    <tableColumn id="7548" xr3:uid="{EC43A4EA-2A49-46EC-89D8-5836011A442C}" name="Column7546"/>
    <tableColumn id="7549" xr3:uid="{6FE7EC2D-7F98-47BA-8BE2-32384572ABC2}" name="Column7547"/>
    <tableColumn id="7550" xr3:uid="{797838E4-4227-4BAC-9EAC-41219740E5A8}" name="Column7548"/>
    <tableColumn id="7551" xr3:uid="{FD468D1E-9927-4E4B-9301-782E70BB524D}" name="Column7549"/>
    <tableColumn id="7552" xr3:uid="{DF6731DE-D037-444A-B102-B240B7FA91D3}" name="Column7550"/>
    <tableColumn id="7553" xr3:uid="{8A50BE41-568E-4877-8B1E-0828636FAFB0}" name="Column7551"/>
    <tableColumn id="7554" xr3:uid="{F87EF479-7EAC-4109-A60F-C49C6DE0E1A3}" name="Column7552"/>
    <tableColumn id="7555" xr3:uid="{022274E6-478E-4DC0-A1EA-A6C9794EFC26}" name="Column7553"/>
    <tableColumn id="7556" xr3:uid="{C8F42789-9A60-405D-8B65-10529ADBB7D8}" name="Column7554"/>
    <tableColumn id="7557" xr3:uid="{9B22A520-E049-415F-B496-33341C86A7F1}" name="Column7555"/>
    <tableColumn id="7558" xr3:uid="{10A586EA-0F27-4BA4-8FED-1D6417135ECF}" name="Column7556"/>
    <tableColumn id="7559" xr3:uid="{83B61D33-5AD0-40B1-8683-46CEB98B7036}" name="Column7557"/>
    <tableColumn id="7560" xr3:uid="{014CD910-F11F-4691-AEA4-0D553849DA8B}" name="Column7558"/>
    <tableColumn id="7561" xr3:uid="{4C0A0B21-0130-41A6-9CD3-71DEA8DBEB7D}" name="Column7559"/>
    <tableColumn id="7562" xr3:uid="{440154F1-B922-47C2-88A3-D10FAD73A03D}" name="Column7560"/>
    <tableColumn id="7563" xr3:uid="{20F0B778-89ED-4A99-BEDF-35F36A4DBEF9}" name="Column7561"/>
    <tableColumn id="7564" xr3:uid="{151C748C-0815-47DE-BA8B-1AF4DE1E1964}" name="Column7562"/>
    <tableColumn id="7565" xr3:uid="{9C56384A-A261-4ADF-8D55-97B726EA97FC}" name="Column7563"/>
    <tableColumn id="7566" xr3:uid="{CB0344C3-1652-4251-BEF6-293116F07E2D}" name="Column7564"/>
    <tableColumn id="7567" xr3:uid="{9EFB6AF5-858E-4338-B23E-4AA2C3EDD120}" name="Column7565"/>
    <tableColumn id="7568" xr3:uid="{28738641-1C8D-4247-BC4D-0CAC3428CEFC}" name="Column7566"/>
    <tableColumn id="7569" xr3:uid="{E13F0759-1B56-48BC-BF27-B438A4E14C56}" name="Column7567"/>
    <tableColumn id="7570" xr3:uid="{03F603C3-FE01-4FA3-B95E-D0AC0295014C}" name="Column7568"/>
    <tableColumn id="7571" xr3:uid="{18FB1CC1-F74A-4D21-89DF-99BD05BD617F}" name="Column7569"/>
    <tableColumn id="7572" xr3:uid="{C246D868-0A24-4998-921F-9AA18865BEAD}" name="Column7570"/>
    <tableColumn id="7573" xr3:uid="{51A5D5A5-81AB-4EFD-856F-39A6826CEE00}" name="Column7571"/>
    <tableColumn id="7574" xr3:uid="{9615125E-5A74-4B87-98B3-9C0108CD5201}" name="Column7572"/>
    <tableColumn id="7575" xr3:uid="{C27A04D6-FEE2-4B6F-89D1-AD10E7E04D63}" name="Column7573"/>
    <tableColumn id="7576" xr3:uid="{E557E831-663C-4A48-9C46-75D59B18AB5C}" name="Column7574"/>
    <tableColumn id="7577" xr3:uid="{B2ECEF6C-C242-49F7-B58F-649BB636D8C2}" name="Column7575"/>
    <tableColumn id="7578" xr3:uid="{D1D5C8F8-77DF-4AD3-ABB9-B75CCCAE28AE}" name="Column7576"/>
    <tableColumn id="7579" xr3:uid="{EC40E862-03ED-4325-B325-74032483E974}" name="Column7577"/>
    <tableColumn id="7580" xr3:uid="{523C04DC-7B9B-4226-8D1F-8DB766600B5D}" name="Column7578"/>
    <tableColumn id="7581" xr3:uid="{9D5D31FD-E536-45CB-B8EA-8B01369D2EB0}" name="Column7579"/>
    <tableColumn id="7582" xr3:uid="{E95268EF-F665-46AB-A74D-B9611F82148E}" name="Column7580"/>
    <tableColumn id="7583" xr3:uid="{75A66C43-92DB-4546-8C1F-44ECCFBD73EC}" name="Column7581"/>
    <tableColumn id="7584" xr3:uid="{2C187D8B-BBC1-48D6-902B-C18C4583D49A}" name="Column7582"/>
    <tableColumn id="7585" xr3:uid="{5158C6BD-0567-4577-B4DE-3284666082E7}" name="Column7583"/>
    <tableColumn id="7586" xr3:uid="{6FDC7215-C282-4AE9-A702-44C6383FE309}" name="Column7584"/>
    <tableColumn id="7587" xr3:uid="{0CFE2392-6774-40F8-BBCF-76010FD5836D}" name="Column7585"/>
    <tableColumn id="7588" xr3:uid="{5EACAB0B-9079-45D3-9F74-ECBAC2E7A2A4}" name="Column7586"/>
    <tableColumn id="7589" xr3:uid="{47CF72C5-E5BF-428C-BAAE-81C1E7FF7190}" name="Column7587"/>
    <tableColumn id="7590" xr3:uid="{988FBBF4-EE25-4D72-8AA6-B266B8E7470B}" name="Column7588"/>
    <tableColumn id="7591" xr3:uid="{C720D959-CBEF-4974-9D29-8FD30D8A8605}" name="Column7589"/>
    <tableColumn id="7592" xr3:uid="{59B8C3AF-72FF-402E-B929-0E3F4D7051E6}" name="Column7590"/>
    <tableColumn id="7593" xr3:uid="{80F90414-6C23-4272-9ABA-E0A9D1F596B8}" name="Column7591"/>
    <tableColumn id="7594" xr3:uid="{1C70B790-2CC5-49F2-91D9-A2ED43DD97B5}" name="Column7592"/>
    <tableColumn id="7595" xr3:uid="{4AB98D74-8B6A-4FBE-8D33-90D857C3A2B3}" name="Column7593"/>
    <tableColumn id="7596" xr3:uid="{5439DB14-F5F2-406D-8536-044AF44F2E5D}" name="Column7594"/>
    <tableColumn id="7597" xr3:uid="{63ADB171-C74A-4C5D-900C-CA7D66F1A2E2}" name="Column7595"/>
    <tableColumn id="7598" xr3:uid="{CEDBB15A-8D7E-47A9-B632-D23ADB38968F}" name="Column7596"/>
    <tableColumn id="7599" xr3:uid="{236E78B9-FD51-4092-8496-01CAAC046050}" name="Column7597"/>
    <tableColumn id="7600" xr3:uid="{51933C8F-570D-4F5D-B9AD-8CDF1B1B1A21}" name="Column7598"/>
    <tableColumn id="7601" xr3:uid="{EC7C7DBE-3D7E-4383-BA4A-F299D40C0A0A}" name="Column7599"/>
    <tableColumn id="7602" xr3:uid="{B9E1AC5F-BC4A-41F6-AAF6-029343A27C03}" name="Column7600"/>
    <tableColumn id="7603" xr3:uid="{2A0D31A1-A9B3-4EFE-9335-EC6474B54CE1}" name="Column7601"/>
    <tableColumn id="7604" xr3:uid="{2EC2F47F-82C4-4C69-9F40-E768439E1BFB}" name="Column7602"/>
    <tableColumn id="7605" xr3:uid="{0DF7A558-B6FE-4383-B4CA-D47D56608094}" name="Column7603"/>
    <tableColumn id="7606" xr3:uid="{B7CCB1B9-647C-4711-B26C-C48B45DC0CEC}" name="Column7604"/>
    <tableColumn id="7607" xr3:uid="{F071A77E-8888-42B9-A253-15FD9976B400}" name="Column7605"/>
    <tableColumn id="7608" xr3:uid="{EF6AB886-48FA-4E46-A2BB-1D1EA559FFA3}" name="Column7606"/>
    <tableColumn id="7609" xr3:uid="{F27A2119-AA15-452B-8EDC-83B40EC39ABE}" name="Column7607"/>
    <tableColumn id="7610" xr3:uid="{C6B432C2-9124-49D9-9F77-494D36A8D8EA}" name="Column7608"/>
    <tableColumn id="7611" xr3:uid="{B95194E9-52F5-48E7-B977-F950B847E179}" name="Column7609"/>
    <tableColumn id="7612" xr3:uid="{C5FF57F7-B355-4F4E-8588-EE7AE82B832E}" name="Column7610"/>
    <tableColumn id="7613" xr3:uid="{CAB0B74B-C9BF-4D2A-B226-215C46707DFC}" name="Column7611"/>
    <tableColumn id="7614" xr3:uid="{563EE936-7888-4E00-ACBF-E1EF8B49798C}" name="Column7612"/>
    <tableColumn id="7615" xr3:uid="{D443D162-AAA9-4D63-AC23-4F1E4CEDF879}" name="Column7613"/>
    <tableColumn id="7616" xr3:uid="{C95C62C2-89BC-41AB-8FB8-73BEDDEB44A3}" name="Column7614"/>
    <tableColumn id="7617" xr3:uid="{BE8FCEFF-6B5B-4C34-A449-B86E6C231FA9}" name="Column7615"/>
    <tableColumn id="7618" xr3:uid="{F23DA4F2-9CD7-4D27-9AA7-CA9319AC3142}" name="Column7616"/>
    <tableColumn id="7619" xr3:uid="{897BD36A-3EE7-49A2-B535-568104BED03A}" name="Column7617"/>
    <tableColumn id="7620" xr3:uid="{E150F821-07C3-4B12-927A-9870E8FA7034}" name="Column7618"/>
    <tableColumn id="7621" xr3:uid="{68ABFE49-D9D0-478C-A631-9F2B993976E1}" name="Column7619"/>
    <tableColumn id="7622" xr3:uid="{607ACFD8-BB9B-45F5-BD60-C7D08DDC4FD3}" name="Column7620"/>
    <tableColumn id="7623" xr3:uid="{E437B8F2-721E-48B6-ACF9-D7C9667DD0CA}" name="Column7621"/>
    <tableColumn id="7624" xr3:uid="{1632D529-6846-428B-BE0A-E8B41C6F667B}" name="Column7622"/>
    <tableColumn id="7625" xr3:uid="{9E5A5CC5-C03B-4AFA-8171-0FB8DD953025}" name="Column7623"/>
    <tableColumn id="7626" xr3:uid="{6F26D374-2C10-4A08-B6DF-988CBACC004A}" name="Column7624"/>
    <tableColumn id="7627" xr3:uid="{DC74070B-73FB-421A-BB38-36F9C01AAB48}" name="Column7625"/>
    <tableColumn id="7628" xr3:uid="{E86241B5-F491-458F-85D7-5713C4E01716}" name="Column7626"/>
    <tableColumn id="7629" xr3:uid="{6FFEE1F7-8181-4870-A760-08ABAE6716E1}" name="Column7627"/>
    <tableColumn id="7630" xr3:uid="{D11B8F3D-D801-4487-9E9C-CD9FF7FB1121}" name="Column7628"/>
    <tableColumn id="7631" xr3:uid="{1A13D7B8-5152-46E8-84EF-C681C3C8F513}" name="Column7629"/>
    <tableColumn id="7632" xr3:uid="{0070BA33-B6B9-429E-A430-6DAC8B32B43F}" name="Column7630"/>
    <tableColumn id="7633" xr3:uid="{18ED7EDC-D935-430B-9485-55D8007F2E83}" name="Column7631"/>
    <tableColumn id="7634" xr3:uid="{77F98FAD-F5A5-424B-856A-711E9327D57F}" name="Column7632"/>
    <tableColumn id="7635" xr3:uid="{1FCF49BF-2307-4169-A73B-76D94908EDA7}" name="Column7633"/>
    <tableColumn id="7636" xr3:uid="{92E26C3E-C19D-4ACC-9609-3760B53F942E}" name="Column7634"/>
    <tableColumn id="7637" xr3:uid="{68B474A3-AC65-41D8-AC46-040BD1F11DCB}" name="Column7635"/>
    <tableColumn id="7638" xr3:uid="{F6112AD4-9F6F-43DC-8500-E343E73EFBF1}" name="Column7636"/>
    <tableColumn id="7639" xr3:uid="{C51602A4-FBDD-46B3-8C2B-EFF6EB8C8D25}" name="Column7637"/>
    <tableColumn id="7640" xr3:uid="{1AB65807-B8BE-4185-8FB5-5EBC3EA2AF39}" name="Column7638"/>
    <tableColumn id="7641" xr3:uid="{F1F1E3A3-3F12-460B-916B-9041734FBF82}" name="Column7639"/>
    <tableColumn id="7642" xr3:uid="{7703F996-E357-416E-BA76-8B2A30734240}" name="Column7640"/>
    <tableColumn id="7643" xr3:uid="{A076280A-0317-4BFA-8237-CF9BBA3BECCA}" name="Column7641"/>
    <tableColumn id="7644" xr3:uid="{C39B95AA-3671-445B-BF10-1DEB00BD9324}" name="Column7642"/>
    <tableColumn id="7645" xr3:uid="{4DAC46D6-673E-4F81-8A7A-F94D0DC9DD3B}" name="Column7643"/>
    <tableColumn id="7646" xr3:uid="{F9B8B59E-47C5-43EA-9C38-E482BA5D369B}" name="Column7644"/>
    <tableColumn id="7647" xr3:uid="{E851FCEB-9975-4B7C-8431-9653FA09D5A9}" name="Column7645"/>
    <tableColumn id="7648" xr3:uid="{2AEA4D97-89EC-4B5E-A08B-6F56EEF677CF}" name="Column7646"/>
    <tableColumn id="7649" xr3:uid="{EC2F2CD1-C3AC-4650-9643-E4257EC0EA15}" name="Column7647"/>
    <tableColumn id="7650" xr3:uid="{4A932314-A46F-4882-AF0E-19CB19BDB1CF}" name="Column7648"/>
    <tableColumn id="7651" xr3:uid="{7E31BB74-27AF-4272-902D-04E125F321D4}" name="Column7649"/>
    <tableColumn id="7652" xr3:uid="{E3609B36-455F-48A5-8965-3221F3C4E75F}" name="Column7650"/>
    <tableColumn id="7653" xr3:uid="{85EE3F83-1EC2-4FE5-9C2A-F557C1C62540}" name="Column7651"/>
    <tableColumn id="7654" xr3:uid="{FE735389-F807-423F-BBB6-5444DEB1F7DC}" name="Column7652"/>
    <tableColumn id="7655" xr3:uid="{B56ED23D-026A-429D-BB51-E04655802FF5}" name="Column7653"/>
    <tableColumn id="7656" xr3:uid="{BCAE1A91-3CD4-4DB6-8C9A-43221BE8AF68}" name="Column7654"/>
    <tableColumn id="7657" xr3:uid="{94C55DA5-55B1-4C07-BDAA-61DEF8380B3B}" name="Column7655"/>
    <tableColumn id="7658" xr3:uid="{E3F58C4A-BD0F-48AF-B1E8-E341ED2E5D33}" name="Column7656"/>
    <tableColumn id="7659" xr3:uid="{028D73FC-1969-4AC2-A589-7C66E17430DE}" name="Column7657"/>
    <tableColumn id="7660" xr3:uid="{4CFA3ED7-2A88-4C46-BC03-E10FD44AF514}" name="Column7658"/>
    <tableColumn id="7661" xr3:uid="{EE6839CD-4DE9-4651-8E42-62C5282998E8}" name="Column7659"/>
    <tableColumn id="7662" xr3:uid="{2041F778-58E4-49DE-BD06-E6C31E6494E9}" name="Column7660"/>
    <tableColumn id="7663" xr3:uid="{F2CB1597-212E-47BC-BA00-6272850F8631}" name="Column7661"/>
    <tableColumn id="7664" xr3:uid="{8DB11BD2-3732-41FD-986F-BB8DF6F4C2FC}" name="Column7662"/>
    <tableColumn id="7665" xr3:uid="{4B2B6FD8-EBB8-4082-AA4A-D96DEAF1E356}" name="Column7663"/>
    <tableColumn id="7666" xr3:uid="{826CBA39-F6AA-4CBA-BEDE-15A8012AC376}" name="Column7664"/>
    <tableColumn id="7667" xr3:uid="{9AE9F2CB-6428-4D4F-B943-D2C7DB9D37EB}" name="Column7665"/>
    <tableColumn id="7668" xr3:uid="{D84585D7-77CD-431B-9E84-C7A6BC1BE0DB}" name="Column7666"/>
    <tableColumn id="7669" xr3:uid="{7CE5DC4E-901D-4B24-B590-FBCFDD127A81}" name="Column7667"/>
    <tableColumn id="7670" xr3:uid="{82E34895-6D59-46F3-AE07-5D52AADB57FE}" name="Column7668"/>
    <tableColumn id="7671" xr3:uid="{03ED7A1D-E272-4ADF-B458-10A40D008A0F}" name="Column7669"/>
    <tableColumn id="7672" xr3:uid="{BE493435-0EF9-453A-8EBC-77205C81BB5F}" name="Column7670"/>
    <tableColumn id="7673" xr3:uid="{84F1E8CE-7940-4EC5-BDCA-5E575FCE7E94}" name="Column7671"/>
    <tableColumn id="7674" xr3:uid="{F089D17E-68F5-4218-85DC-DC267BD8994A}" name="Column7672"/>
    <tableColumn id="7675" xr3:uid="{6BCE2B35-B8B7-4EDB-B772-E21B4A452DC5}" name="Column7673"/>
    <tableColumn id="7676" xr3:uid="{1056DE81-7DAC-49EC-96BC-8C192F3E9FDD}" name="Column7674"/>
    <tableColumn id="7677" xr3:uid="{CFD35C78-714F-4AE7-AEA3-BD6416AE2F45}" name="Column7675"/>
    <tableColumn id="7678" xr3:uid="{B1815CD0-31B5-41E9-AF0A-3072B20FD75A}" name="Column7676"/>
    <tableColumn id="7679" xr3:uid="{3BA88685-E78F-4948-9D6D-42790D7630DB}" name="Column7677"/>
    <tableColumn id="7680" xr3:uid="{B9833AEE-1B63-40B7-9BE8-E37F8892266B}" name="Column7678"/>
    <tableColumn id="7681" xr3:uid="{B6CFB956-68DB-4B70-9511-2D42E18AD50E}" name="Column7679"/>
    <tableColumn id="7682" xr3:uid="{9405A8C0-CA44-4C39-9864-7EE390CDB7B4}" name="Column7680"/>
    <tableColumn id="7683" xr3:uid="{59D14336-D6BF-40D8-B785-FCE1E986CAB8}" name="Column7681"/>
    <tableColumn id="7684" xr3:uid="{B3B13EE9-2D6F-4DA5-893F-447469AE428A}" name="Column7682"/>
    <tableColumn id="7685" xr3:uid="{5D087F4C-C0E4-4EA7-962D-CA59FFEB82D7}" name="Column7683"/>
    <tableColumn id="7686" xr3:uid="{B108E784-2148-4597-A367-D65D85DFBC8C}" name="Column7684"/>
    <tableColumn id="7687" xr3:uid="{A6A0B8A4-FF5B-45A9-9FA4-3A86F40024DB}" name="Column7685"/>
    <tableColumn id="7688" xr3:uid="{A2505D30-16BE-473A-B183-68049C016BE7}" name="Column7686"/>
    <tableColumn id="7689" xr3:uid="{79639E2A-6EF5-46D0-A431-F6BEB41BB227}" name="Column7687"/>
    <tableColumn id="7690" xr3:uid="{49A8D152-E9DC-4980-92B7-76CA79A51DB1}" name="Column7688"/>
    <tableColumn id="7691" xr3:uid="{52B67E3D-5CF9-4530-ABA4-A093ADA69B9E}" name="Column7689"/>
    <tableColumn id="7692" xr3:uid="{EF85DD4A-C9A0-410D-9F24-6400F87210F4}" name="Column7690"/>
    <tableColumn id="7693" xr3:uid="{11D0E0A5-077B-4DF0-941D-EB180A3B4718}" name="Column7691"/>
    <tableColumn id="7694" xr3:uid="{3008FCB0-24E8-4312-B1F9-F1F2DFC0BD6F}" name="Column7692"/>
    <tableColumn id="7695" xr3:uid="{6850FD5C-BBD2-4162-92FC-795E7CC176AC}" name="Column7693"/>
    <tableColumn id="7696" xr3:uid="{86D3BD3E-0DA3-4409-960B-E0E82EE8FAD8}" name="Column7694"/>
    <tableColumn id="7697" xr3:uid="{5942B903-7A91-487C-9C42-76C4E01A3AE5}" name="Column7695"/>
    <tableColumn id="7698" xr3:uid="{7AEA9E47-2339-4113-A2D3-5319345E3577}" name="Column7696"/>
    <tableColumn id="7699" xr3:uid="{3BF28B84-2C2A-402F-84C0-31D3922A52D6}" name="Column7697"/>
    <tableColumn id="7700" xr3:uid="{089AA439-6B53-4F1D-AD8C-BEAD942A6CB5}" name="Column7698"/>
    <tableColumn id="7701" xr3:uid="{F9008A4B-873C-420A-B0EC-584C5C5C222C}" name="Column7699"/>
    <tableColumn id="7702" xr3:uid="{9D764F1D-991D-4087-8675-8879DDEFF8D5}" name="Column7700"/>
    <tableColumn id="7703" xr3:uid="{005B37F5-7305-4120-BA83-D3D5FD7E36C0}" name="Column7701"/>
    <tableColumn id="7704" xr3:uid="{0B76C9D9-87E8-4C42-9A0C-D24B3EAE172A}" name="Column7702"/>
    <tableColumn id="7705" xr3:uid="{455913CB-178E-442F-B1BD-24E4B315261A}" name="Column7703"/>
    <tableColumn id="7706" xr3:uid="{780216F0-4701-411E-BFFE-C44B09FEAB73}" name="Column7704"/>
    <tableColumn id="7707" xr3:uid="{3BE0722A-E50F-4032-9B61-0FBC9AB6148A}" name="Column7705"/>
    <tableColumn id="7708" xr3:uid="{8B6849C5-3647-484B-BB4A-1D9D691C0D0E}" name="Column7706"/>
    <tableColumn id="7709" xr3:uid="{CE6D1A6E-AA2B-49D9-8B74-71DC72DD5EFA}" name="Column7707"/>
    <tableColumn id="7710" xr3:uid="{C778FE87-086C-4A0F-9B45-9DE61600C1D3}" name="Column7708"/>
    <tableColumn id="7711" xr3:uid="{8A15792A-989D-4637-B72C-9FB6B229362F}" name="Column7709"/>
    <tableColumn id="7712" xr3:uid="{F4917B6B-F03F-40AA-94E7-8D71AB756528}" name="Column7710"/>
    <tableColumn id="7713" xr3:uid="{8A1918C7-423C-4A7D-B592-637E7C35B286}" name="Column7711"/>
    <tableColumn id="7714" xr3:uid="{3D6C3557-5283-48ED-B99E-C6002EDD8B01}" name="Column7712"/>
    <tableColumn id="7715" xr3:uid="{80B3D81A-096F-4D82-A1F1-8393A9C1670B}" name="Column7713"/>
    <tableColumn id="7716" xr3:uid="{3A7C169F-68AA-40C4-A8D2-298ED4F3A1C7}" name="Column7714"/>
    <tableColumn id="7717" xr3:uid="{2B0100A2-69F1-4886-86BD-4D59068507FC}" name="Column7715"/>
    <tableColumn id="7718" xr3:uid="{9F42D68B-3DC4-44E0-AB60-19373E36D398}" name="Column7716"/>
    <tableColumn id="7719" xr3:uid="{41657328-1C0A-4071-81B3-0C2E97EE0CB3}" name="Column7717"/>
    <tableColumn id="7720" xr3:uid="{0B97C172-70A7-4D00-9C59-0BC1A2795132}" name="Column7718"/>
    <tableColumn id="7721" xr3:uid="{78E06003-E048-4D72-A0C8-A629E2EE9D5F}" name="Column7719"/>
    <tableColumn id="7722" xr3:uid="{E3987129-39B7-4270-8DA5-BE5AD49335E5}" name="Column7720"/>
    <tableColumn id="7723" xr3:uid="{B639A3A5-4CC6-41C2-8FD5-03C675C01D85}" name="Column7721"/>
    <tableColumn id="7724" xr3:uid="{6635D39E-E754-477C-84C9-E29BA7A600FB}" name="Column7722"/>
    <tableColumn id="7725" xr3:uid="{6A53B771-FA09-4FB4-93F6-FB151C8976D9}" name="Column7723"/>
    <tableColumn id="7726" xr3:uid="{B7E078AA-B786-4177-8B37-3765819BA5CD}" name="Column7724"/>
    <tableColumn id="7727" xr3:uid="{00188D0F-F6C9-45CA-B53E-6C9FFC8B7052}" name="Column7725"/>
    <tableColumn id="7728" xr3:uid="{3429B903-4378-4BE5-993A-32F50F31FCA6}" name="Column7726"/>
    <tableColumn id="7729" xr3:uid="{B2C438F8-ACC7-44BE-8B84-BEE2410B9C90}" name="Column7727"/>
    <tableColumn id="7730" xr3:uid="{F5CD38AB-3F79-4012-B1E9-AB29E5136818}" name="Column7728"/>
    <tableColumn id="7731" xr3:uid="{D6F0259E-C1C0-414C-A428-03897890CB45}" name="Column7729"/>
    <tableColumn id="7732" xr3:uid="{D2E577A1-F6B2-4447-A952-2538D34B4DFF}" name="Column7730"/>
    <tableColumn id="7733" xr3:uid="{90D97945-0B8D-4E7F-85CC-474BC7995E67}" name="Column7731"/>
    <tableColumn id="7734" xr3:uid="{1AFD870A-CA5D-46AB-8D4E-313EDCAAC4B4}" name="Column7732"/>
    <tableColumn id="7735" xr3:uid="{55F85C54-F158-47E4-A03E-B3CEB79FB789}" name="Column7733"/>
    <tableColumn id="7736" xr3:uid="{09C46C91-BC8A-4231-B8FF-FE67A54A4E90}" name="Column7734"/>
    <tableColumn id="7737" xr3:uid="{EAFD2E9A-3E9A-4AE4-BDCE-85692BF97B6F}" name="Column7735"/>
    <tableColumn id="7738" xr3:uid="{E5D73F86-DE1A-4B13-BDBD-50136A742EC4}" name="Column7736"/>
    <tableColumn id="7739" xr3:uid="{1BA676EC-7EE9-496E-99F0-CF92A26D9FC7}" name="Column7737"/>
    <tableColumn id="7740" xr3:uid="{27DC547B-25FA-4E02-BB03-A823E819DB81}" name="Column7738"/>
    <tableColumn id="7741" xr3:uid="{71C27373-625F-4A5C-97A3-234029DBEB76}" name="Column7739"/>
    <tableColumn id="7742" xr3:uid="{9304261A-ED93-4865-8947-79AE48323806}" name="Column7740"/>
    <tableColumn id="7743" xr3:uid="{1DFF2E95-A57E-4DB8-893F-AFBEDC57A834}" name="Column7741"/>
    <tableColumn id="7744" xr3:uid="{45078965-BEC4-4C06-88BA-7268F39973BD}" name="Column7742"/>
    <tableColumn id="7745" xr3:uid="{6C8EA0A3-59C8-4869-A6CD-5E25FB62FB26}" name="Column7743"/>
    <tableColumn id="7746" xr3:uid="{64088870-93B3-47F6-A0BC-19BC2EDAD983}" name="Column7744"/>
    <tableColumn id="7747" xr3:uid="{EEA6324C-F8F7-4D3A-AAE6-81AE93F02C6E}" name="Column7745"/>
    <tableColumn id="7748" xr3:uid="{1FCA3757-A112-430B-A487-ADD92DBF20D6}" name="Column7746"/>
    <tableColumn id="7749" xr3:uid="{716AEFBE-8A57-4623-BE67-030F0FE05D3C}" name="Column7747"/>
    <tableColumn id="7750" xr3:uid="{7E384D5E-7F77-4E7D-9266-8C0E882EEF3A}" name="Column7748"/>
    <tableColumn id="7751" xr3:uid="{391E0076-D6A9-401C-9391-8D7A2D87F4B4}" name="Column7749"/>
    <tableColumn id="7752" xr3:uid="{D888BA4A-4A30-4D72-A2BD-F973EBEF77B9}" name="Column7750"/>
    <tableColumn id="7753" xr3:uid="{AE8DCBD8-EDB8-4CD5-B51A-B0AD46D8C6F5}" name="Column7751"/>
    <tableColumn id="7754" xr3:uid="{5482AD06-6AA3-4507-88B9-F3119E7ECA33}" name="Column7752"/>
    <tableColumn id="7755" xr3:uid="{5103D2B5-908D-4836-A13F-80D0F5367A01}" name="Column7753"/>
    <tableColumn id="7756" xr3:uid="{7E2936F6-3C45-483B-A673-8C8903D91449}" name="Column7754"/>
    <tableColumn id="7757" xr3:uid="{C82EE03D-2A71-46CA-8F57-D58DB58FF184}" name="Column7755"/>
    <tableColumn id="7758" xr3:uid="{744A0FC1-F60A-4A02-81BA-A7670DAFDDE2}" name="Column7756"/>
    <tableColumn id="7759" xr3:uid="{E88AC0A7-54CB-4208-8111-EDCBB45FD2F5}" name="Column7757"/>
    <tableColumn id="7760" xr3:uid="{720C3498-090A-4970-B44C-7DB0CAC23089}" name="Column7758"/>
    <tableColumn id="7761" xr3:uid="{23D31B33-326A-4C20-91A8-1BCC3A70F968}" name="Column7759"/>
    <tableColumn id="7762" xr3:uid="{B058854A-DBF1-4BD8-8E92-132D2BAD2FE1}" name="Column7760"/>
    <tableColumn id="7763" xr3:uid="{AE82F53E-8730-4879-8C85-135BCF3DF3D7}" name="Column7761"/>
    <tableColumn id="7764" xr3:uid="{62FBFFCE-7B41-4DD1-B40C-4B21D7F7C2BD}" name="Column7762"/>
    <tableColumn id="7765" xr3:uid="{5572F651-9D5B-4A9B-A479-4D1E458A5CA8}" name="Column7763"/>
    <tableColumn id="7766" xr3:uid="{231AD225-562C-4421-A9CA-93FD09C8DD70}" name="Column7764"/>
    <tableColumn id="7767" xr3:uid="{8BE5AC66-FFDB-4A37-98CE-CA362A460403}" name="Column7765"/>
    <tableColumn id="7768" xr3:uid="{56B8EBCD-F3FE-40C2-B546-ED613F4FBBAE}" name="Column7766"/>
    <tableColumn id="7769" xr3:uid="{A341A739-9F4D-48AF-8EB4-4B37F8E9347F}" name="Column7767"/>
    <tableColumn id="7770" xr3:uid="{A4C3B7B2-F0C8-4963-8665-77B06729EFF2}" name="Column7768"/>
    <tableColumn id="7771" xr3:uid="{3FAFE137-3B22-477A-8AEF-F1C1E270BF40}" name="Column7769"/>
    <tableColumn id="7772" xr3:uid="{D27C63A8-A29C-47F4-BFDF-94CBAA09845C}" name="Column7770"/>
    <tableColumn id="7773" xr3:uid="{975A5126-1AE1-4E09-8705-D838F54A9F51}" name="Column7771"/>
    <tableColumn id="7774" xr3:uid="{81100AE7-18B8-4AD4-87B9-76C1AA621EA5}" name="Column7772"/>
    <tableColumn id="7775" xr3:uid="{D95E6703-9183-4E14-AAAB-AF280C000E2E}" name="Column7773"/>
    <tableColumn id="7776" xr3:uid="{50E00F04-323C-460F-8660-C1D286BC6774}" name="Column7774"/>
    <tableColumn id="7777" xr3:uid="{337D17C8-2801-4867-B83E-1E0CFF4B2735}" name="Column7775"/>
    <tableColumn id="7778" xr3:uid="{7F9BDF97-5743-49C6-899D-BF8D9D5F6FCB}" name="Column7776"/>
    <tableColumn id="7779" xr3:uid="{0570C4D1-B4B1-42E8-AA2D-785DD50A9E8E}" name="Column7777"/>
    <tableColumn id="7780" xr3:uid="{B765EAC1-8D7B-465D-8E62-6CA10D3A997F}" name="Column7778"/>
    <tableColumn id="7781" xr3:uid="{679E5B8E-96D2-4803-A685-F314E0858C5E}" name="Column7779"/>
    <tableColumn id="7782" xr3:uid="{C6F426B5-6845-4C91-8E47-FD58E439DC10}" name="Column7780"/>
    <tableColumn id="7783" xr3:uid="{D6F2AB2C-FAFD-4115-9831-50F1A68DD5A8}" name="Column7781"/>
    <tableColumn id="7784" xr3:uid="{3855C066-9E03-47AE-8900-3BDBDFD6B143}" name="Column7782"/>
    <tableColumn id="7785" xr3:uid="{7B231C49-8825-4219-A2AE-E1806846E8AA}" name="Column7783"/>
    <tableColumn id="7786" xr3:uid="{E6D49370-A9CD-49C2-B627-5DC6822DA052}" name="Column7784"/>
    <tableColumn id="7787" xr3:uid="{6EE824C0-C89B-40D7-A456-E8640C3BF1BF}" name="Column7785"/>
    <tableColumn id="7788" xr3:uid="{7397EF85-1B65-4997-96F7-0A0B0972525B}" name="Column7786"/>
    <tableColumn id="7789" xr3:uid="{BFBE0824-7463-4D2C-97DA-FC8DE0FAFD61}" name="Column7787"/>
    <tableColumn id="7790" xr3:uid="{4549FD5C-2AE7-4446-8018-3EF552DDDBBE}" name="Column7788"/>
    <tableColumn id="7791" xr3:uid="{4FFEDA8B-4825-4827-B92D-21BDFB58B7CE}" name="Column7789"/>
    <tableColumn id="7792" xr3:uid="{52CC95F5-520F-4BB8-BF8E-44D70D422CD2}" name="Column7790"/>
    <tableColumn id="7793" xr3:uid="{1CD113FC-D364-49A4-A111-4B7DC5DFA836}" name="Column7791"/>
    <tableColumn id="7794" xr3:uid="{D9F3C35E-8C9A-4188-A7F4-92180943A87E}" name="Column7792"/>
    <tableColumn id="7795" xr3:uid="{1371AA42-295C-40FA-9C3D-CCC13D80B5C5}" name="Column7793"/>
    <tableColumn id="7796" xr3:uid="{A1FAF790-95E9-4C7B-93C0-C0589CC12DF1}" name="Column7794"/>
    <tableColumn id="7797" xr3:uid="{EB54A782-01B4-4B0A-A9EA-88F3C00F0D09}" name="Column7795"/>
    <tableColumn id="7798" xr3:uid="{10240C2B-F72D-4058-9D4A-A276CBB01711}" name="Column7796"/>
    <tableColumn id="7799" xr3:uid="{D0826F92-93C2-46F9-8198-9900B549D354}" name="Column7797"/>
    <tableColumn id="7800" xr3:uid="{E9AE47C3-5616-418F-9E44-C40F2C203851}" name="Column7798"/>
    <tableColumn id="7801" xr3:uid="{FB5C13DD-BB45-4A21-8997-19F1598FCC09}" name="Column7799"/>
    <tableColumn id="7802" xr3:uid="{E53FC4A5-FEEA-4981-8DAD-588349C2BA4D}" name="Column7800"/>
    <tableColumn id="7803" xr3:uid="{6B6886AE-47A9-4D81-89F4-277A7FB35C58}" name="Column7801"/>
    <tableColumn id="7804" xr3:uid="{7CC240AB-05C2-4351-AC12-DE7FE7DFFACB}" name="Column7802"/>
    <tableColumn id="7805" xr3:uid="{F29AA9F9-0C9E-4170-8EB0-8E88015AF7A4}" name="Column7803"/>
    <tableColumn id="7806" xr3:uid="{ECE4C83E-B648-4AC3-B45D-E9D573C6A610}" name="Column7804"/>
    <tableColumn id="7807" xr3:uid="{B28A37F4-44A1-4F4D-864A-CF981370D611}" name="Column7805"/>
    <tableColumn id="7808" xr3:uid="{929B26BA-0330-4BEA-8451-61448BFEFA47}" name="Column7806"/>
    <tableColumn id="7809" xr3:uid="{4A463ECB-826C-437A-A1CA-83F97420E8F5}" name="Column7807"/>
    <tableColumn id="7810" xr3:uid="{F644544A-C0D1-4E31-BDC2-B73FADA3F1A1}" name="Column7808"/>
    <tableColumn id="7811" xr3:uid="{1E74E11F-3319-4AEF-AC9A-A9D4107A8F30}" name="Column7809"/>
    <tableColumn id="7812" xr3:uid="{7DD480F2-B664-43AF-850D-B770C4AEE921}" name="Column7810"/>
    <tableColumn id="7813" xr3:uid="{A05669C1-F8EA-4935-A1B2-99FD30250B8A}" name="Column7811"/>
    <tableColumn id="7814" xr3:uid="{C70CB8A8-A4E3-41C3-8C38-1A37CFA90D8D}" name="Column7812"/>
    <tableColumn id="7815" xr3:uid="{4EC197FF-51BE-411F-BC20-7BAB522B5198}" name="Column7813"/>
    <tableColumn id="7816" xr3:uid="{040DA7DE-506A-409A-90B5-0446A0D037A5}" name="Column7814"/>
    <tableColumn id="7817" xr3:uid="{4C6B7B55-D9D0-4676-ACF4-378D29A683B1}" name="Column7815"/>
    <tableColumn id="7818" xr3:uid="{7AD830AA-ACF6-4F2F-A001-140B0EB80396}" name="Column7816"/>
    <tableColumn id="7819" xr3:uid="{6EA89EFD-6E46-4935-86B7-1D57BE225EF7}" name="Column7817"/>
    <tableColumn id="7820" xr3:uid="{1B1A9EE7-73C1-41A3-A4FA-916B7998E486}" name="Column7818"/>
    <tableColumn id="7821" xr3:uid="{AB1B1659-82DF-463F-9A4C-27B5C8653EEF}" name="Column7819"/>
    <tableColumn id="7822" xr3:uid="{1923FB58-FE69-4DE3-ACFF-396682C1029D}" name="Column7820"/>
    <tableColumn id="7823" xr3:uid="{05631313-3203-443A-8DAC-D5568F65C0D7}" name="Column7821"/>
    <tableColumn id="7824" xr3:uid="{C853A0DA-CE39-4A0F-ACCB-E1872AA54EDA}" name="Column7822"/>
    <tableColumn id="7825" xr3:uid="{22CE0C93-E6C9-4AE2-82B3-95651D6F1673}" name="Column7823"/>
    <tableColumn id="7826" xr3:uid="{0BB8A919-4125-462A-98A6-0BD5CFCF05D4}" name="Column7824"/>
    <tableColumn id="7827" xr3:uid="{F92B396D-0748-4DA3-BD5F-FC006FDB106C}" name="Column7825"/>
    <tableColumn id="7828" xr3:uid="{0A9A82A3-86F7-4037-8A33-ABFE65B84DC6}" name="Column7826"/>
    <tableColumn id="7829" xr3:uid="{C3BB0F33-DF50-4E05-B4C2-2E3083593274}" name="Column7827"/>
    <tableColumn id="7830" xr3:uid="{0462A15F-2D7D-40CD-A73C-8EF20C107314}" name="Column7828"/>
    <tableColumn id="7831" xr3:uid="{2A714A33-C38E-4E72-9415-9D5B6FE48ACE}" name="Column7829"/>
    <tableColumn id="7832" xr3:uid="{0ED8F7B8-509A-4517-A8B8-63E3AE52516F}" name="Column7830"/>
    <tableColumn id="7833" xr3:uid="{D9DB3DFB-81D1-47D7-A988-2E58A2E94951}" name="Column7831"/>
    <tableColumn id="7834" xr3:uid="{6CC6BFF4-E85F-4704-933B-9930928147CF}" name="Column7832"/>
    <tableColumn id="7835" xr3:uid="{773633FF-AC06-4D09-B5D1-D14C103865D4}" name="Column7833"/>
    <tableColumn id="7836" xr3:uid="{BDBD81AF-D4E3-41A5-A41A-8C0575496633}" name="Column7834"/>
    <tableColumn id="7837" xr3:uid="{36E69D3E-A200-40A4-A246-C92862A5AC7D}" name="Column7835"/>
    <tableColumn id="7838" xr3:uid="{C3A0159D-9939-45A4-9915-698B2D476755}" name="Column7836"/>
    <tableColumn id="7839" xr3:uid="{1646E50D-B68C-479D-B116-A5FBB4D1E63D}" name="Column7837"/>
    <tableColumn id="7840" xr3:uid="{46AB764F-BC70-4396-BAB5-8BAA714BBF00}" name="Column7838"/>
    <tableColumn id="7841" xr3:uid="{0E8E1CE6-830C-42FC-9878-7D7A4E2D4E6C}" name="Column7839"/>
    <tableColumn id="7842" xr3:uid="{FB32332D-C247-4325-8904-7D9E3851DB71}" name="Column7840"/>
    <tableColumn id="7843" xr3:uid="{AE5ACAD1-E71A-412D-9EF5-A1996BCD428E}" name="Column7841"/>
    <tableColumn id="7844" xr3:uid="{9DCC0AA9-6CA7-4454-B7C9-482B4FAABBBF}" name="Column7842"/>
    <tableColumn id="7845" xr3:uid="{27F4242D-54A8-4C3C-A117-BE31C0C87116}" name="Column7843"/>
    <tableColumn id="7846" xr3:uid="{E566205B-BFE8-4E0D-954E-978F16283FEE}" name="Column7844"/>
    <tableColumn id="7847" xr3:uid="{D8E185C0-CB7B-4569-9028-D8EA49D4D05E}" name="Column7845"/>
    <tableColumn id="7848" xr3:uid="{D2946F85-101D-4D0E-AECC-569EC4F08DFD}" name="Column7846"/>
    <tableColumn id="7849" xr3:uid="{58506366-C80B-4DD9-81C1-FF647A9C1268}" name="Column7847"/>
    <tableColumn id="7850" xr3:uid="{48587022-7163-4535-AC5A-75BF59ADC91A}" name="Column7848"/>
    <tableColumn id="7851" xr3:uid="{B3511E7D-530F-48E2-8EE9-F0A762DE273A}" name="Column7849"/>
    <tableColumn id="7852" xr3:uid="{19F6F3C6-EF04-4025-8FFD-558FAFEBF9E9}" name="Column7850"/>
    <tableColumn id="7853" xr3:uid="{C63B5B10-6D00-48EE-9644-880CB60AFAFE}" name="Column7851"/>
    <tableColumn id="7854" xr3:uid="{F45A4882-ED56-4402-AB1B-875270A8DDB3}" name="Column7852"/>
    <tableColumn id="7855" xr3:uid="{11869A70-8B11-4F48-9F24-9323D8092278}" name="Column7853"/>
    <tableColumn id="7856" xr3:uid="{CB8503EE-58A3-43C6-9C05-272B756D1D8C}" name="Column7854"/>
    <tableColumn id="7857" xr3:uid="{742E9A18-F35C-4494-AECA-769E25F878EE}" name="Column7855"/>
    <tableColumn id="7858" xr3:uid="{296F6760-6333-4B0E-9C2C-2C0515CBA353}" name="Column7856"/>
    <tableColumn id="7859" xr3:uid="{8B43DBE6-44D0-400B-9120-5F696AAB4F05}" name="Column7857"/>
    <tableColumn id="7860" xr3:uid="{11C63539-0B45-417F-9762-767EA79FBCA7}" name="Column7858"/>
    <tableColumn id="7861" xr3:uid="{506EC742-10BB-4B23-B912-DDED73EE8059}" name="Column7859"/>
    <tableColumn id="7862" xr3:uid="{18966668-8E21-4101-BA32-827A8ACDF580}" name="Column7860"/>
    <tableColumn id="7863" xr3:uid="{9A701A54-4316-4A30-B701-AE3525A8541C}" name="Column7861"/>
    <tableColumn id="7864" xr3:uid="{DF6FF03A-69CA-4F4B-A3BD-0EB35DADCC82}" name="Column7862"/>
    <tableColumn id="7865" xr3:uid="{80ED5646-2794-4F09-BD40-8C04D4A1D4A8}" name="Column7863"/>
    <tableColumn id="7866" xr3:uid="{54A30965-11BD-4643-BD60-8F33B4DF6A3B}" name="Column7864"/>
    <tableColumn id="7867" xr3:uid="{2DECFA83-20B1-440F-AA6B-90800FB8DE8C}" name="Column7865"/>
    <tableColumn id="7868" xr3:uid="{44732DAC-8969-42D9-B92A-69E9718D0F15}" name="Column7866"/>
    <tableColumn id="7869" xr3:uid="{B567E8F7-95B4-4288-A241-B88554B2AD80}" name="Column7867"/>
    <tableColumn id="7870" xr3:uid="{372EA36E-935D-4F68-8D94-0046A6589F45}" name="Column7868"/>
    <tableColumn id="7871" xr3:uid="{C196BC85-7512-45F8-B85F-0BCDAB9CBC73}" name="Column7869"/>
    <tableColumn id="7872" xr3:uid="{D3288364-FC89-487A-A597-A8485DE51278}" name="Column7870"/>
    <tableColumn id="7873" xr3:uid="{57E5AF00-55C7-491E-9DBE-80FFF63D020F}" name="Column7871"/>
    <tableColumn id="7874" xr3:uid="{2533EEC8-448B-4987-BFAA-A6409B81F9F2}" name="Column7872"/>
    <tableColumn id="7875" xr3:uid="{1CEB5B35-6E51-4E88-AEE0-59FB9E56DB29}" name="Column7873"/>
    <tableColumn id="7876" xr3:uid="{89B04207-26A1-4F59-8042-699A0A6CDB9A}" name="Column7874"/>
    <tableColumn id="7877" xr3:uid="{00F34300-A041-4DAD-B456-CC5CE82A5284}" name="Column7875"/>
    <tableColumn id="7878" xr3:uid="{2912FB6F-F8F2-4136-A71D-554B2C657E01}" name="Column7876"/>
    <tableColumn id="7879" xr3:uid="{9B19EA9F-740A-4A15-A627-DFCCB35346DB}" name="Column7877"/>
    <tableColumn id="7880" xr3:uid="{04824966-8CDC-406A-890B-0DBE5E37399A}" name="Column7878"/>
    <tableColumn id="7881" xr3:uid="{2A75B37F-1719-4FB7-A48A-AF916002D51C}" name="Column7879"/>
    <tableColumn id="7882" xr3:uid="{D0FDFCA7-6FC3-49C1-BCFB-EE996A8CCD81}" name="Column7880"/>
    <tableColumn id="7883" xr3:uid="{AA696B2E-A028-42A3-A93E-8829D6C77EF1}" name="Column7881"/>
    <tableColumn id="7884" xr3:uid="{25551239-6071-4217-9F65-13116F4CDA44}" name="Column7882"/>
    <tableColumn id="7885" xr3:uid="{85054650-D6C7-4CED-BA83-5D2190478C44}" name="Column7883"/>
    <tableColumn id="7886" xr3:uid="{574750BE-D9BF-4915-85EA-682A8519B2A2}" name="Column7884"/>
    <tableColumn id="7887" xr3:uid="{705928F2-E09C-42F8-9A18-D9141B9EDEDD}" name="Column7885"/>
    <tableColumn id="7888" xr3:uid="{BD59B207-2319-433E-9866-1DE1161E8150}" name="Column7886"/>
    <tableColumn id="7889" xr3:uid="{7C6F804A-2FEF-4070-8DDB-7AC14F769923}" name="Column7887"/>
    <tableColumn id="7890" xr3:uid="{E7476ADD-D204-4649-9C3E-A7D9611B481D}" name="Column7888"/>
    <tableColumn id="7891" xr3:uid="{350388F0-5896-45B7-A23C-D8FB2DBE0730}" name="Column7889"/>
    <tableColumn id="7892" xr3:uid="{666473DF-5F4F-4B97-AFAF-C38A12C1988B}" name="Column7890"/>
    <tableColumn id="7893" xr3:uid="{657FD3F0-54E7-4216-83A6-65B15EA77819}" name="Column7891"/>
    <tableColumn id="7894" xr3:uid="{223F83CC-A572-46CD-AF44-3C76A9027EE6}" name="Column7892"/>
    <tableColumn id="7895" xr3:uid="{0C46EC90-E812-4123-8EC3-97AF56EA385F}" name="Column7893"/>
    <tableColumn id="7896" xr3:uid="{3F1B1824-505E-4E3B-B028-8C367F235EA7}" name="Column7894"/>
    <tableColumn id="7897" xr3:uid="{F0979118-8EB1-4262-A647-1552DC6D7C28}" name="Column7895"/>
    <tableColumn id="7898" xr3:uid="{83D3F5E2-34C6-4B8A-8804-C0F869FD65DB}" name="Column7896"/>
    <tableColumn id="7899" xr3:uid="{7A0D0D38-4D2F-4D38-9863-A2C64141A60D}" name="Column7897"/>
    <tableColumn id="7900" xr3:uid="{3F4E8D47-1B4A-4FDD-9C5C-211DF71BB1DE}" name="Column7898"/>
    <tableColumn id="7901" xr3:uid="{0B86698E-B9DF-42C0-B0B2-48C3A3B1DF4D}" name="Column7899"/>
    <tableColumn id="7902" xr3:uid="{3AFDBBFE-D998-4B7E-A689-C868921D1EDF}" name="Column7900"/>
    <tableColumn id="7903" xr3:uid="{57A3A988-5055-4A52-9FBC-B39B2033235D}" name="Column7901"/>
    <tableColumn id="7904" xr3:uid="{3C9495C7-D441-4DE8-8051-E684BCE26313}" name="Column7902"/>
    <tableColumn id="7905" xr3:uid="{A76A1354-FEF5-470E-82F6-53F47B1D2FDC}" name="Column7903"/>
    <tableColumn id="7906" xr3:uid="{C6B13557-1BB7-4797-9B02-302CDE5E4B39}" name="Column7904"/>
    <tableColumn id="7907" xr3:uid="{B3CC416F-27F8-4507-B344-DDCDC27E5628}" name="Column7905"/>
    <tableColumn id="7908" xr3:uid="{362DDED8-C6EB-4698-92B9-E3B1A305C26E}" name="Column7906"/>
    <tableColumn id="7909" xr3:uid="{770E9E4E-5F5B-4659-ACD6-6D7ECDB754AD}" name="Column7907"/>
    <tableColumn id="7910" xr3:uid="{D7D7EBF9-8F64-406C-A7D7-7FF0B7F0B4F3}" name="Column7908"/>
    <tableColumn id="7911" xr3:uid="{6C8469B9-71EA-4EB3-8C7B-B510C006EDCD}" name="Column7909"/>
    <tableColumn id="7912" xr3:uid="{AB7A76BB-29A3-4A15-8DD4-DBB5DEADFBB0}" name="Column7910"/>
    <tableColumn id="7913" xr3:uid="{AA8E450E-4093-4F5B-8923-11D8112C5C87}" name="Column7911"/>
    <tableColumn id="7914" xr3:uid="{ABD05C13-6BB8-43E1-A1D0-495ED99C477F}" name="Column7912"/>
    <tableColumn id="7915" xr3:uid="{1C1E7A8E-CAAC-4F7B-B140-85D0667FA840}" name="Column7913"/>
    <tableColumn id="7916" xr3:uid="{1F83D1A2-122F-4BDA-944E-2ED8D9E29229}" name="Column7914"/>
    <tableColumn id="7917" xr3:uid="{21735D72-CFF3-47EB-8AE6-7C79CBDB7491}" name="Column7915"/>
    <tableColumn id="7918" xr3:uid="{D5A1B79E-55F6-4E84-B915-8E661D4EA667}" name="Column7916"/>
    <tableColumn id="7919" xr3:uid="{63962F02-D218-4101-87D3-66A9E8DF5607}" name="Column7917"/>
    <tableColumn id="7920" xr3:uid="{EF424ADD-6EB4-425E-A125-8B494AE83D17}" name="Column7918"/>
    <tableColumn id="7921" xr3:uid="{1EB49E5A-D14F-4693-A64F-335D9629D23D}" name="Column7919"/>
    <tableColumn id="7922" xr3:uid="{2DD6D13B-C405-46A4-94D9-87D8C349B20C}" name="Column7920"/>
    <tableColumn id="7923" xr3:uid="{49C9E597-EF91-419C-9D0D-49E8A3D69178}" name="Column7921"/>
    <tableColumn id="7924" xr3:uid="{53C86AC4-3716-4816-9647-DCBAB0FF4D1E}" name="Column7922"/>
    <tableColumn id="7925" xr3:uid="{6EFB06A8-CA5D-48A3-A0C4-2BB0DD9C21AA}" name="Column7923"/>
    <tableColumn id="7926" xr3:uid="{4108FFAB-7BD4-42AD-A06C-257C242375DC}" name="Column7924"/>
    <tableColumn id="7927" xr3:uid="{B1A1056D-EA5D-4BA4-9C36-A9458055A5E9}" name="Column7925"/>
    <tableColumn id="7928" xr3:uid="{2E2A7747-9514-4EAB-9037-B4F7BB73886C}" name="Column7926"/>
    <tableColumn id="7929" xr3:uid="{E4BA7C37-317F-4C98-B2DF-A67B007EBBC3}" name="Column7927"/>
    <tableColumn id="7930" xr3:uid="{0316F767-E71D-4EAB-94E5-1A8976B45D57}" name="Column7928"/>
    <tableColumn id="7931" xr3:uid="{74991671-FF52-4C41-8BA2-948EE08273CA}" name="Column7929"/>
    <tableColumn id="7932" xr3:uid="{C8836515-23B3-4A29-8559-F7C1350D55D8}" name="Column7930"/>
    <tableColumn id="7933" xr3:uid="{C3EBBCC9-826C-4C73-ADE0-8D22A5363187}" name="Column7931"/>
    <tableColumn id="7934" xr3:uid="{01329D58-D6DC-4D94-8BC2-7B802559404F}" name="Column7932"/>
    <tableColumn id="7935" xr3:uid="{4DE65D0E-E01E-45A6-9AF4-DA247BAF2E1E}" name="Column7933"/>
    <tableColumn id="7936" xr3:uid="{4C2FAEEE-B930-4FC6-ABA1-197CA8C66D19}" name="Column7934"/>
    <tableColumn id="7937" xr3:uid="{E93FA7AA-3413-4097-8882-FFC22E6B1D8D}" name="Column7935"/>
    <tableColumn id="7938" xr3:uid="{9B080C0A-E83C-4A2E-8965-03D2D52D25EB}" name="Column7936"/>
    <tableColumn id="7939" xr3:uid="{6F38B049-0804-424C-B89B-0D423BEE7BEC}" name="Column7937"/>
    <tableColumn id="7940" xr3:uid="{7CFDF977-2307-45F7-9A83-9DC1143E5C11}" name="Column7938"/>
    <tableColumn id="7941" xr3:uid="{BA370E7B-85BD-43C6-87C5-DE4ED5500F43}" name="Column7939"/>
    <tableColumn id="7942" xr3:uid="{3E4343F4-558B-4934-B843-2F13DECD9ABC}" name="Column7940"/>
    <tableColumn id="7943" xr3:uid="{6100DA1F-499F-4046-9757-CB05FBFD3519}" name="Column7941"/>
    <tableColumn id="7944" xr3:uid="{D7CC58DC-1BD4-40D2-BC22-824B8FEE5332}" name="Column7942"/>
    <tableColumn id="7945" xr3:uid="{AEF24134-39B4-4FB1-A109-725218EE7CC6}" name="Column7943"/>
    <tableColumn id="7946" xr3:uid="{C3B24BBB-E202-4B1F-9B25-49EDAD91EC69}" name="Column7944"/>
    <tableColumn id="7947" xr3:uid="{99BA8E2F-C56E-4D2D-8EB3-376110157B9B}" name="Column7945"/>
    <tableColumn id="7948" xr3:uid="{EC86F044-0F40-4E90-B3AB-64417BA6DA74}" name="Column7946"/>
    <tableColumn id="7949" xr3:uid="{ED89A2B8-078F-40CB-AC18-DA1E850D2B04}" name="Column7947"/>
    <tableColumn id="7950" xr3:uid="{BE0BB80B-E10F-4A0C-AEB1-E9D83A21DDFB}" name="Column7948"/>
    <tableColumn id="7951" xr3:uid="{C81BA380-2E4E-4C7C-B9DA-CE06150A833E}" name="Column7949"/>
    <tableColumn id="7952" xr3:uid="{CCF251E0-5C91-4A46-8745-936BA0BD6C0F}" name="Column7950"/>
    <tableColumn id="7953" xr3:uid="{0A922BE1-B5E0-4009-8746-7D217FCA23BF}" name="Column7951"/>
    <tableColumn id="7954" xr3:uid="{0E3C1164-FDE8-4B96-95CA-CB8F10EA786B}" name="Column7952"/>
    <tableColumn id="7955" xr3:uid="{D8DBC289-67B9-443F-94FA-8AE0817FDA24}" name="Column7953"/>
    <tableColumn id="7956" xr3:uid="{226428ED-9571-48E2-B0F0-3490DC17FD5D}" name="Column7954"/>
    <tableColumn id="7957" xr3:uid="{A1E84F99-630B-4CFA-A5F9-E9560A106685}" name="Column7955"/>
    <tableColumn id="7958" xr3:uid="{DD77D4FD-D864-43A3-836E-B43083FAD94B}" name="Column7956"/>
    <tableColumn id="7959" xr3:uid="{F80AA0E7-667F-460E-A089-1D704139782C}" name="Column7957"/>
    <tableColumn id="7960" xr3:uid="{0CE7BC2C-E7BF-4593-955C-1942521BA04A}" name="Column7958"/>
    <tableColumn id="7961" xr3:uid="{5CE98C98-DB4C-4A3C-9E3E-AE1287463282}" name="Column7959"/>
    <tableColumn id="7962" xr3:uid="{4FB23980-10A0-4463-8754-34CA2733E6DF}" name="Column7960"/>
    <tableColumn id="7963" xr3:uid="{4BE9E787-2246-4294-9B52-B1500E28B7E3}" name="Column7961"/>
    <tableColumn id="7964" xr3:uid="{C90EEA0F-6E2A-4E98-BBD4-242393AA2526}" name="Column7962"/>
    <tableColumn id="7965" xr3:uid="{531DA989-0EAB-4CAA-BCB3-4203C2ACBD82}" name="Column7963"/>
    <tableColumn id="7966" xr3:uid="{DDDB2FB4-109E-415B-A436-D3D0B83FE617}" name="Column7964"/>
    <tableColumn id="7967" xr3:uid="{E3E80671-ED0B-47CB-B8AC-4BDF1B7E3C0A}" name="Column7965"/>
    <tableColumn id="7968" xr3:uid="{91858ADD-FD22-4E6E-B945-8D0E09C80F23}" name="Column7966"/>
    <tableColumn id="7969" xr3:uid="{A0FF7B29-CC44-4025-A004-045E0A38C29E}" name="Column7967"/>
    <tableColumn id="7970" xr3:uid="{6E17F7B6-8AA0-4BA0-8D56-B4C4685E40EB}" name="Column7968"/>
    <tableColumn id="7971" xr3:uid="{8D323949-E39F-457F-A716-99C4915CF35E}" name="Column7969"/>
    <tableColumn id="7972" xr3:uid="{1D5A25C9-7679-42AD-A802-EC40C1D59C5B}" name="Column7970"/>
    <tableColumn id="7973" xr3:uid="{38164D85-29F6-4C7F-990C-E72F82DB38BE}" name="Column7971"/>
    <tableColumn id="7974" xr3:uid="{62359E26-F0BD-45F0-A6B6-F818FF5BF864}" name="Column7972"/>
    <tableColumn id="7975" xr3:uid="{A63AF4FB-6F00-4A97-B546-6F4995DCAE91}" name="Column7973"/>
    <tableColumn id="7976" xr3:uid="{254EB51B-6237-4E46-A0DA-740427267DED}" name="Column7974"/>
    <tableColumn id="7977" xr3:uid="{99DDD28C-D967-43DD-94C7-0500AE26AF5F}" name="Column7975"/>
    <tableColumn id="7978" xr3:uid="{1E6BF5A0-EA3E-4D93-8867-F826BF3AB2D8}" name="Column7976"/>
    <tableColumn id="7979" xr3:uid="{9D76AEE5-3497-482A-A745-F8EDAAC0AF2F}" name="Column7977"/>
    <tableColumn id="7980" xr3:uid="{4E3A7723-FD26-45C7-8D88-5D8A183215D5}" name="Column7978"/>
    <tableColumn id="7981" xr3:uid="{FA2A375C-2DE9-4F17-B763-48AFD638C0D0}" name="Column7979"/>
    <tableColumn id="7982" xr3:uid="{739BFB94-BA21-419C-8253-104971510037}" name="Column7980"/>
    <tableColumn id="7983" xr3:uid="{FA0628F1-E0FA-4DA9-8E52-1620A52B2C12}" name="Column7981"/>
    <tableColumn id="7984" xr3:uid="{28870A65-C05B-4DFD-B1F5-1BCDECF80F11}" name="Column7982"/>
    <tableColumn id="7985" xr3:uid="{42567EBF-78CF-4014-9308-7C6112DF6B1E}" name="Column7983"/>
    <tableColumn id="7986" xr3:uid="{05930A8C-E8C9-44F2-9AC6-C4ABDFEBBC2E}" name="Column7984"/>
    <tableColumn id="7987" xr3:uid="{04A92294-6432-4D4A-A53F-802D9423DF42}" name="Column7985"/>
    <tableColumn id="7988" xr3:uid="{DB888CC7-DAD6-4B4F-B123-60C8300F8141}" name="Column7986"/>
    <tableColumn id="7989" xr3:uid="{58801221-222D-416B-8D7E-80ED2FBA2BE1}" name="Column7987"/>
    <tableColumn id="7990" xr3:uid="{41D9BF70-5461-4850-B056-DE619779B6D3}" name="Column7988"/>
    <tableColumn id="7991" xr3:uid="{20FCC3ED-B681-49B9-AE81-93F19205BCE5}" name="Column7989"/>
    <tableColumn id="7992" xr3:uid="{1D51660D-B46B-4A86-80A5-14F60C674423}" name="Column7990"/>
    <tableColumn id="7993" xr3:uid="{C8F52953-1233-4B2F-8489-3F1D559C8BA5}" name="Column7991"/>
    <tableColumn id="7994" xr3:uid="{8FF44A6A-9D03-4FEA-847A-1DD6428C6C1B}" name="Column7992"/>
    <tableColumn id="7995" xr3:uid="{39EE46DC-DC00-415E-A9D0-DCC41A03B066}" name="Column7993"/>
    <tableColumn id="7996" xr3:uid="{8DD645A8-392C-495A-9C4F-8B5BCC06A6D8}" name="Column7994"/>
    <tableColumn id="7997" xr3:uid="{4C2066AB-95A9-4F4B-9A45-5ED2D4CC95A1}" name="Column7995"/>
    <tableColumn id="7998" xr3:uid="{B5952183-3C5B-446A-A42B-6AB05ABF419A}" name="Column7996"/>
    <tableColumn id="7999" xr3:uid="{B5221429-A0C6-4986-BE00-33F436E3AE2F}" name="Column7997"/>
    <tableColumn id="8000" xr3:uid="{0A36CC1F-D1CB-44F4-80F6-5B56FA97CAEF}" name="Column7998"/>
    <tableColumn id="8001" xr3:uid="{7F6A4090-E837-4180-BC73-034AAD190C53}" name="Column7999"/>
    <tableColumn id="8002" xr3:uid="{A16549FC-BB2E-4C66-8415-7175D15BD4C8}" name="Column8000"/>
    <tableColumn id="8003" xr3:uid="{D3150AE8-B73C-4FCA-B0A4-8FE8F91E2EF4}" name="Column8001"/>
    <tableColumn id="8004" xr3:uid="{6898A7D5-9613-427D-B90A-73C966FE024C}" name="Column8002"/>
    <tableColumn id="8005" xr3:uid="{91A521A5-F388-4934-92DA-FC39B3A231FD}" name="Column8003"/>
    <tableColumn id="8006" xr3:uid="{D6B609B7-18B3-487A-99A6-32F6EA66DAFC}" name="Column8004"/>
    <tableColumn id="8007" xr3:uid="{C1A0CB35-9FCB-4D4D-99E3-E981D31159BF}" name="Column8005"/>
    <tableColumn id="8008" xr3:uid="{A064F348-9B7E-41D2-B3C0-B0EA16607895}" name="Column8006"/>
    <tableColumn id="8009" xr3:uid="{4F319DF9-43A2-4EBD-95B8-8F13C6CB6A03}" name="Column8007"/>
    <tableColumn id="8010" xr3:uid="{0F726D47-7B9F-4536-9B9B-2715BA2A623B}" name="Column8008"/>
    <tableColumn id="8011" xr3:uid="{9C622BA2-2BF7-45EA-A907-AF0B773C921D}" name="Column8009"/>
    <tableColumn id="8012" xr3:uid="{F30EF3E9-A0CF-4E61-9108-A2B084EF0AD2}" name="Column8010"/>
    <tableColumn id="8013" xr3:uid="{EBD03ADB-A804-46BE-94C1-3C18814FDC20}" name="Column8011"/>
    <tableColumn id="8014" xr3:uid="{DC3EDBB0-DBD3-4CC6-BA66-AB3B892127FD}" name="Column8012"/>
    <tableColumn id="8015" xr3:uid="{729E2516-447D-4339-9233-6D75D69E69EA}" name="Column8013"/>
    <tableColumn id="8016" xr3:uid="{D01517C6-3C16-4CA5-AC57-61C0344D8D22}" name="Column8014"/>
    <tableColumn id="8017" xr3:uid="{9055D6DE-D4BC-4C02-B115-8942574B182B}" name="Column8015"/>
    <tableColumn id="8018" xr3:uid="{0AFA7522-02C7-441E-B2F2-AA249493B514}" name="Column8016"/>
    <tableColumn id="8019" xr3:uid="{8D3266C5-6E30-408C-8983-3D7381C09F08}" name="Column8017"/>
    <tableColumn id="8020" xr3:uid="{1E347370-08B1-4031-8E36-683FCD779D64}" name="Column8018"/>
    <tableColumn id="8021" xr3:uid="{710DDF2C-7D9C-4BA5-B2F2-75864C73198C}" name="Column8019"/>
    <tableColumn id="8022" xr3:uid="{D92CF096-4E40-429B-818E-C83019EE1A23}" name="Column8020"/>
    <tableColumn id="8023" xr3:uid="{E85911ED-E2AB-4E6C-B60A-6733B5669307}" name="Column8021"/>
    <tableColumn id="8024" xr3:uid="{03EC73CB-A85C-4B8D-A41E-6665D46B8C77}" name="Column8022"/>
    <tableColumn id="8025" xr3:uid="{8C149504-E20E-4523-98C7-B416A5D5970C}" name="Column8023"/>
    <tableColumn id="8026" xr3:uid="{875497E0-A230-4362-939A-03F607746D9D}" name="Column8024"/>
    <tableColumn id="8027" xr3:uid="{CE6ECBC3-0B77-424D-8FF6-302532A20DA3}" name="Column8025"/>
    <tableColumn id="8028" xr3:uid="{B30BE216-CD75-45C5-97B5-E47960FF47A1}" name="Column8026"/>
    <tableColumn id="8029" xr3:uid="{33A2A1C3-340F-45A9-95E9-4D65048E0CB0}" name="Column8027"/>
    <tableColumn id="8030" xr3:uid="{7E19E353-0455-45BE-9BCD-DED1BF537B6E}" name="Column8028"/>
    <tableColumn id="8031" xr3:uid="{8E70AE0B-E40F-45AC-9B8F-C728EC8D6BE0}" name="Column8029"/>
    <tableColumn id="8032" xr3:uid="{376B4F9A-A338-4433-8A51-8C8D47D48271}" name="Column8030"/>
    <tableColumn id="8033" xr3:uid="{FFB88AC4-AF82-456C-8457-5D8A157CA2A8}" name="Column8031"/>
    <tableColumn id="8034" xr3:uid="{11969CA1-138E-4B0F-A59A-0238AD46A4CC}" name="Column8032"/>
    <tableColumn id="8035" xr3:uid="{42887AAB-A8B2-4584-87AF-16B9E306096F}" name="Column8033"/>
    <tableColumn id="8036" xr3:uid="{8F4AEF47-0661-4AA6-8C15-7741D1308260}" name="Column8034"/>
    <tableColumn id="8037" xr3:uid="{28C90FA2-485D-496F-A5C3-9A847A301E68}" name="Column8035"/>
    <tableColumn id="8038" xr3:uid="{B0C6BA8A-2532-4396-9DD3-69BA9B10CF46}" name="Column8036"/>
    <tableColumn id="8039" xr3:uid="{14BB2D54-9084-4C25-B43C-BA29015E08E3}" name="Column8037"/>
    <tableColumn id="8040" xr3:uid="{FD2EA9E3-0924-4E52-95FE-1D7DEE7666E7}" name="Column8038"/>
    <tableColumn id="8041" xr3:uid="{32DB407F-E80E-4E57-B816-C261EB5D36DB}" name="Column8039"/>
    <tableColumn id="8042" xr3:uid="{A36E3206-45F7-42C5-BD26-71D6E9028118}" name="Column8040"/>
    <tableColumn id="8043" xr3:uid="{73C4FB59-C567-4F4A-96DF-5628BB4FC2FA}" name="Column8041"/>
    <tableColumn id="8044" xr3:uid="{BAF0F804-6313-48EB-8A5C-6D08CCC4FEC7}" name="Column8042"/>
    <tableColumn id="8045" xr3:uid="{672B1461-4167-48E0-87F1-A62BF7AFC482}" name="Column8043"/>
    <tableColumn id="8046" xr3:uid="{E9423E74-34EB-4E07-8559-21FE8BD924F5}" name="Column8044"/>
    <tableColumn id="8047" xr3:uid="{640F973B-CEEA-4934-9E8A-C861628A95A1}" name="Column8045"/>
    <tableColumn id="8048" xr3:uid="{C9C47854-05C3-4713-92C1-858D91B320C2}" name="Column8046"/>
    <tableColumn id="8049" xr3:uid="{FC99644D-7F94-4EB1-AA03-93CB4B32C53A}" name="Column8047"/>
    <tableColumn id="8050" xr3:uid="{81698222-9C46-4820-B592-F9DA0B132BAC}" name="Column8048"/>
    <tableColumn id="8051" xr3:uid="{C7A054B2-1E17-4948-924F-A2FAB6CDE507}" name="Column8049"/>
    <tableColumn id="8052" xr3:uid="{0711EBB4-2367-4E3B-83BD-9D47354E0C95}" name="Column8050"/>
    <tableColumn id="8053" xr3:uid="{E17ADD74-60D5-48CA-AE0C-187825096EB8}" name="Column8051"/>
    <tableColumn id="8054" xr3:uid="{22554B59-E7B2-44FB-B21D-32D8E10B71E2}" name="Column8052"/>
    <tableColumn id="8055" xr3:uid="{01CB2629-EEAA-445C-972A-924168123CE8}" name="Column8053"/>
    <tableColumn id="8056" xr3:uid="{5A9FBF19-5DFC-4245-BF5D-89132A6C64EB}" name="Column8054"/>
    <tableColumn id="8057" xr3:uid="{06E633F4-A823-46D7-A3FD-D8D19CC5FC1B}" name="Column8055"/>
    <tableColumn id="8058" xr3:uid="{701821AF-E077-4579-A96F-51AC1905D928}" name="Column8056"/>
    <tableColumn id="8059" xr3:uid="{E7702488-C588-4FD8-AA38-7179D07E528E}" name="Column8057"/>
    <tableColumn id="8060" xr3:uid="{36C67D3C-CB2A-48E6-BA10-969EC1FFFF02}" name="Column8058"/>
    <tableColumn id="8061" xr3:uid="{90E11A1A-5C31-4A90-BD64-00920038FAFF}" name="Column8059"/>
    <tableColumn id="8062" xr3:uid="{6B806670-1B87-47F5-982A-B9580A944A41}" name="Column8060"/>
    <tableColumn id="8063" xr3:uid="{1B3D2985-ECB7-4B4C-9A53-CE6E48FFB07C}" name="Column8061"/>
    <tableColumn id="8064" xr3:uid="{84CCC3E2-51A1-4CFE-8B4F-1E5AA4CC385D}" name="Column8062"/>
    <tableColumn id="8065" xr3:uid="{E2054F11-62E2-47EF-A51D-D8173D9CEE37}" name="Column8063"/>
    <tableColumn id="8066" xr3:uid="{DB19D27A-5610-4141-B428-11DD05869CBD}" name="Column8064"/>
    <tableColumn id="8067" xr3:uid="{8B68DAD4-0ABB-479B-80ED-2D662CA14921}" name="Column8065"/>
    <tableColumn id="8068" xr3:uid="{048568A3-E0A1-45B6-A3B9-BC536F551E90}" name="Column8066"/>
    <tableColumn id="8069" xr3:uid="{2A530651-87BF-4A6F-98D1-1E4828A93E5A}" name="Column8067"/>
    <tableColumn id="8070" xr3:uid="{B522BDA0-6216-4920-ADD7-247E5F6B4398}" name="Column8068"/>
    <tableColumn id="8071" xr3:uid="{5807889C-16C7-4A6A-9ECE-B95C8FBD6103}" name="Column8069"/>
    <tableColumn id="8072" xr3:uid="{BC6AE017-0D5E-4DCC-B41A-3F93F9FB08B5}" name="Column8070"/>
    <tableColumn id="8073" xr3:uid="{53A9C25E-33A3-4D30-8CE6-F370C6432341}" name="Column8071"/>
    <tableColumn id="8074" xr3:uid="{9F9BBCF4-F135-4B6D-80B5-29AC4EA65F5E}" name="Column8072"/>
    <tableColumn id="8075" xr3:uid="{1BB22B3A-904C-41CE-9D24-3C6494746E86}" name="Column8073"/>
    <tableColumn id="8076" xr3:uid="{E51C0159-2C4F-496A-A607-00F09371B293}" name="Column8074"/>
    <tableColumn id="8077" xr3:uid="{BA7A7A59-80A2-4DBF-BA01-5983E2E859A9}" name="Column8075"/>
    <tableColumn id="8078" xr3:uid="{2AD69FE1-764E-4417-8197-49D574C4A2AD}" name="Column8076"/>
    <tableColumn id="8079" xr3:uid="{D48E5A3C-C65A-4F64-9820-E604E9FDB94F}" name="Column8077"/>
    <tableColumn id="8080" xr3:uid="{37781E2F-0EBB-4D64-9002-C95B07FBEE24}" name="Column8078"/>
    <tableColumn id="8081" xr3:uid="{60795A8C-008D-428C-807C-965A8B06DA5D}" name="Column8079"/>
    <tableColumn id="8082" xr3:uid="{4059EF64-3155-470C-A92C-4932472F5FC5}" name="Column8080"/>
    <tableColumn id="8083" xr3:uid="{F6F6B089-5000-43A3-96E1-5FC374C2C560}" name="Column8081"/>
    <tableColumn id="8084" xr3:uid="{9F8E2544-87BE-4594-8045-C2F2E9E2887E}" name="Column8082"/>
    <tableColumn id="8085" xr3:uid="{FCDB6BDE-FAE8-4214-ABCB-0A1A425E25DF}" name="Column8083"/>
    <tableColumn id="8086" xr3:uid="{D749237B-1D6B-4FC9-B8D4-FBCDE6CEEBBD}" name="Column8084"/>
    <tableColumn id="8087" xr3:uid="{D81DBAD0-1D21-408D-96E3-B65AD339044C}" name="Column8085"/>
    <tableColumn id="8088" xr3:uid="{42350E45-9470-498B-B6E3-D40716897B92}" name="Column8086"/>
    <tableColumn id="8089" xr3:uid="{B8B97802-52A5-450E-880A-40EEA2E9E7B6}" name="Column8087"/>
    <tableColumn id="8090" xr3:uid="{032AD6AD-1827-485B-9C36-E72538D63864}" name="Column8088"/>
    <tableColumn id="8091" xr3:uid="{A4261677-94AC-4644-9BB5-D1BEBB0EB949}" name="Column8089"/>
    <tableColumn id="8092" xr3:uid="{EAC2D7B5-CF8E-4140-9FA4-FE34D39E48AD}" name="Column8090"/>
    <tableColumn id="8093" xr3:uid="{DCE6CB45-EAD0-4554-B84C-73C06D80E72D}" name="Column8091"/>
    <tableColumn id="8094" xr3:uid="{F11B2EB6-491F-4A19-89AA-9F4F93ED74F6}" name="Column8092"/>
    <tableColumn id="8095" xr3:uid="{AF31669D-0008-45F7-B5E3-664A120734E5}" name="Column8093"/>
    <tableColumn id="8096" xr3:uid="{89A3386C-D028-4F4B-BCA6-08969AE3B3F6}" name="Column8094"/>
    <tableColumn id="8097" xr3:uid="{AA709E94-10EF-4A28-9B1F-54096B60219E}" name="Column8095"/>
    <tableColumn id="8098" xr3:uid="{BF778EB4-847E-450E-805E-36552A74FA82}" name="Column8096"/>
    <tableColumn id="8099" xr3:uid="{06455EBA-D5C3-4F3D-B2EA-792B959659BA}" name="Column8097"/>
    <tableColumn id="8100" xr3:uid="{5DFF4794-7BFA-4F5A-B744-4C3971923765}" name="Column8098"/>
    <tableColumn id="8101" xr3:uid="{D648DE52-0E47-4028-9D77-641814236381}" name="Column8099"/>
    <tableColumn id="8102" xr3:uid="{88F0E768-C7B0-4959-B485-351A0D806982}" name="Column8100"/>
    <tableColumn id="8103" xr3:uid="{41CDC07C-234B-4523-B23D-8D381CB7A08F}" name="Column8101"/>
    <tableColumn id="8104" xr3:uid="{5E3DE0D5-B56E-4AF9-8D19-17DDDA34B3ED}" name="Column8102"/>
    <tableColumn id="8105" xr3:uid="{D6CDAE9A-2BEA-4D4E-B9EA-7EB50A800DA5}" name="Column8103"/>
    <tableColumn id="8106" xr3:uid="{C2874288-4ADE-4E49-A6AB-125EFA3E8CD7}" name="Column8104"/>
    <tableColumn id="8107" xr3:uid="{B42F5457-2F4C-4F74-AE33-7130AB30C879}" name="Column8105"/>
    <tableColumn id="8108" xr3:uid="{734CBF07-ED5B-48C8-A1EA-4B914D60BCD7}" name="Column8106"/>
    <tableColumn id="8109" xr3:uid="{C3D8DB48-F90C-4320-A932-C9B5BF9640EB}" name="Column8107"/>
    <tableColumn id="8110" xr3:uid="{30F6A27C-13F8-448C-A2C8-9213B92BEF25}" name="Column8108"/>
    <tableColumn id="8111" xr3:uid="{2E801C9B-D4D3-418F-BB47-B7BB78AD8442}" name="Column8109"/>
    <tableColumn id="8112" xr3:uid="{05790D10-E6D7-492C-B3D0-38F2A8844110}" name="Column8110"/>
    <tableColumn id="8113" xr3:uid="{B4BAD269-77DA-4E23-80A1-7ED85D169009}" name="Column8111"/>
    <tableColumn id="8114" xr3:uid="{3F1AEF85-1852-4C26-B119-473F5B4AA60C}" name="Column8112"/>
    <tableColumn id="8115" xr3:uid="{ABA0D362-861E-476C-8D28-06D002747D7A}" name="Column8113"/>
    <tableColumn id="8116" xr3:uid="{EBFDAFAF-41AA-41D9-97AE-72AD3C90997D}" name="Column8114"/>
    <tableColumn id="8117" xr3:uid="{5A1B268A-BB8F-4B47-849D-B34DF39D117B}" name="Column8115"/>
    <tableColumn id="8118" xr3:uid="{4DC6D339-BDE4-4B40-AD1F-DF9C3E87A792}" name="Column8116"/>
    <tableColumn id="8119" xr3:uid="{3A764DA6-B213-4110-86A0-63825DD5FA76}" name="Column8117"/>
    <tableColumn id="8120" xr3:uid="{7CA265CD-E211-4B8F-898F-5C6CC5F92CC6}" name="Column8118"/>
    <tableColumn id="8121" xr3:uid="{D13E7EE0-F5CD-439B-B7E1-1975D56209A5}" name="Column8119"/>
    <tableColumn id="8122" xr3:uid="{C97C85F2-D9FA-4130-9814-6B584FAA0E6A}" name="Column8120"/>
    <tableColumn id="8123" xr3:uid="{F37DE624-AD99-4468-99C6-42E4864BD3D2}" name="Column8121"/>
    <tableColumn id="8124" xr3:uid="{23FC19E2-76DF-4C79-8E00-4B9BFC8054E1}" name="Column8122"/>
    <tableColumn id="8125" xr3:uid="{35530599-E9BB-4185-9DC2-1D662692A2F3}" name="Column8123"/>
    <tableColumn id="8126" xr3:uid="{B35EBEF4-0C11-4B3F-A30F-F46575998B5C}" name="Column8124"/>
    <tableColumn id="8127" xr3:uid="{FD9288AF-3452-42F5-AC14-6278C15D4E41}" name="Column8125"/>
    <tableColumn id="8128" xr3:uid="{B1D68614-41E0-4B6F-BDB3-93B472CABA1B}" name="Column8126"/>
    <tableColumn id="8129" xr3:uid="{7301AE32-2DAB-4EDB-96EF-61585D950B76}" name="Column8127"/>
    <tableColumn id="8130" xr3:uid="{E0DFE96F-11BB-4F0B-BB08-4CED5648E1D4}" name="Column8128"/>
    <tableColumn id="8131" xr3:uid="{355558E5-5C09-4210-9003-BF6997559B3A}" name="Column8129"/>
    <tableColumn id="8132" xr3:uid="{02D9E1F3-68DA-4CC5-A596-20D475617FA9}" name="Column8130"/>
    <tableColumn id="8133" xr3:uid="{597962D4-89E2-4FCC-859D-32E1AEBF2CE8}" name="Column8131"/>
    <tableColumn id="8134" xr3:uid="{21497AD5-A72A-4B58-BB93-69DB55258285}" name="Column8132"/>
    <tableColumn id="8135" xr3:uid="{ED946B65-ECC6-4E24-810B-10AFFC682506}" name="Column8133"/>
    <tableColumn id="8136" xr3:uid="{F06F2EC7-538B-46CA-8493-502D70EEF6AD}" name="Column8134"/>
    <tableColumn id="8137" xr3:uid="{5BA2B66A-76D9-49DD-805F-33448912A1AA}" name="Column8135"/>
    <tableColumn id="8138" xr3:uid="{D20F2B4D-C0A5-4938-8722-373BA7004F73}" name="Column8136"/>
    <tableColumn id="8139" xr3:uid="{02DF148A-1DA2-451B-ADFE-9B86BFDCA929}" name="Column8137"/>
    <tableColumn id="8140" xr3:uid="{4FCCB8B9-4FE5-4021-B61F-E561604646E6}" name="Column8138"/>
    <tableColumn id="8141" xr3:uid="{9384BFF9-566B-480E-9C16-C95CB5D3B554}" name="Column8139"/>
    <tableColumn id="8142" xr3:uid="{E16F8CA6-F41D-4B4D-92FB-98FC7AF99396}" name="Column8140"/>
    <tableColumn id="8143" xr3:uid="{D05D4FC4-6185-44F7-82B0-B8C1E3EC39DC}" name="Column8141"/>
    <tableColumn id="8144" xr3:uid="{4FFC960E-F123-4152-BAFF-43CCAF7A32AB}" name="Column8142"/>
    <tableColumn id="8145" xr3:uid="{8E558F30-31D4-44FB-8D6F-09DFD9720D83}" name="Column8143"/>
    <tableColumn id="8146" xr3:uid="{0EEDA409-CA94-4AAD-82BD-890AB693676A}" name="Column8144"/>
    <tableColumn id="8147" xr3:uid="{5D61015A-40C7-4736-9B7F-C05BE6D0E504}" name="Column8145"/>
    <tableColumn id="8148" xr3:uid="{8F9BB531-2963-4778-AD3A-0E8FF0D38345}" name="Column8146"/>
    <tableColumn id="8149" xr3:uid="{ABE2A041-01C3-4261-A753-3545A56A6EED}" name="Column8147"/>
    <tableColumn id="8150" xr3:uid="{7783052B-D5DC-4591-B074-67A252C72833}" name="Column8148"/>
    <tableColumn id="8151" xr3:uid="{C8CEA695-4892-413C-B1CA-771F1FF6E772}" name="Column8149"/>
    <tableColumn id="8152" xr3:uid="{9F4B4E7B-6047-41A4-871A-F5D011BAE10C}" name="Column8150"/>
    <tableColumn id="8153" xr3:uid="{BC814241-4D8A-4C8C-8DAE-B83801E37DFA}" name="Column8151"/>
    <tableColumn id="8154" xr3:uid="{445CE714-21AF-44D6-8470-EAA95F288A62}" name="Column8152"/>
    <tableColumn id="8155" xr3:uid="{EEBCFFC0-3861-40A9-A427-80DDAD343212}" name="Column8153"/>
    <tableColumn id="8156" xr3:uid="{95A0152D-8555-4FF7-A695-C681BA65CC57}" name="Column8154"/>
    <tableColumn id="8157" xr3:uid="{506441FA-5806-419A-ACEF-C36D26D20585}" name="Column8155"/>
    <tableColumn id="8158" xr3:uid="{2FE83857-4BF8-4B66-BD09-6BDF1700E3D2}" name="Column8156"/>
    <tableColumn id="8159" xr3:uid="{B678E4B7-C85B-462B-8B2D-23180B9D9B02}" name="Column8157"/>
    <tableColumn id="8160" xr3:uid="{711BD544-678A-4485-98A1-8996609D4A72}" name="Column8158"/>
    <tableColumn id="8161" xr3:uid="{109105A3-75DB-45B4-98FA-9F3147F175E6}" name="Column8159"/>
    <tableColumn id="8162" xr3:uid="{396065BE-FBAC-41BF-951D-0D6F5DD7C3CD}" name="Column8160"/>
    <tableColumn id="8163" xr3:uid="{4A6660A2-5723-4EAA-9461-8062F7EE842C}" name="Column8161"/>
    <tableColumn id="8164" xr3:uid="{6711509D-F704-4583-A44E-EF4102C68325}" name="Column8162"/>
    <tableColumn id="8165" xr3:uid="{5F84CB95-81AD-4053-B275-BB5217DE5AED}" name="Column8163"/>
    <tableColumn id="8166" xr3:uid="{B1F90840-1E88-44DE-925A-CB502ADA1258}" name="Column8164"/>
    <tableColumn id="8167" xr3:uid="{9BDC5698-9E35-4F7A-8649-5E378B19E2F8}" name="Column8165"/>
    <tableColumn id="8168" xr3:uid="{F3951C09-9B20-497B-8C01-1C1BAA52DAB0}" name="Column8166"/>
    <tableColumn id="8169" xr3:uid="{C8882398-D7A7-4B8D-A7C6-FB33955920A0}" name="Column8167"/>
    <tableColumn id="8170" xr3:uid="{90E8F2DE-3ABA-4AD3-8F2B-715453891D35}" name="Column8168"/>
    <tableColumn id="8171" xr3:uid="{0518C000-96C6-4359-A76B-361C7A55D043}" name="Column8169"/>
    <tableColumn id="8172" xr3:uid="{293A6E65-5D81-4A14-8ABA-F597E505B241}" name="Column8170"/>
    <tableColumn id="8173" xr3:uid="{2A7565CE-D71D-4BC4-B77A-CBBBEC054059}" name="Column8171"/>
    <tableColumn id="8174" xr3:uid="{210F55FE-33D9-47A4-A6AD-14FF89B9B8F3}" name="Column8172"/>
    <tableColumn id="8175" xr3:uid="{2FF46A67-DB6B-4C6C-9EC9-71864CB27A87}" name="Column8173"/>
    <tableColumn id="8176" xr3:uid="{BBACA4CD-25E8-4523-B2FE-02F889C472A5}" name="Column8174"/>
    <tableColumn id="8177" xr3:uid="{8CD89A98-E4E8-4096-AE64-6D75C276A309}" name="Column8175"/>
    <tableColumn id="8178" xr3:uid="{B8254EE0-0057-4A28-A6CA-61F137216D54}" name="Column8176"/>
    <tableColumn id="8179" xr3:uid="{DB37864B-1FA8-45CE-A3D1-23A0D1A009F5}" name="Column8177"/>
    <tableColumn id="8180" xr3:uid="{DD97D631-ABB9-4234-9214-C54A14853400}" name="Column8178"/>
    <tableColumn id="8181" xr3:uid="{90FAEF20-5E99-4757-B0CC-8A2FC00DD630}" name="Column8179"/>
    <tableColumn id="8182" xr3:uid="{E667AC34-1695-488C-8416-E4AA6CC9030C}" name="Column8180"/>
    <tableColumn id="8183" xr3:uid="{260428FC-6A87-431E-B5C4-A31557C551F1}" name="Column8181"/>
    <tableColumn id="8184" xr3:uid="{56213AA0-92B8-4615-B498-8F1311362543}" name="Column8182"/>
    <tableColumn id="8185" xr3:uid="{0A785446-A1D4-4A8F-BF1F-ABE6D3B8C96B}" name="Column8183"/>
    <tableColumn id="8186" xr3:uid="{790E4795-98CD-4605-8654-54DA15568F77}" name="Column8184"/>
    <tableColumn id="8187" xr3:uid="{D965A55C-2C79-4F2F-99A9-542252AB2DF6}" name="Column8185"/>
    <tableColumn id="8188" xr3:uid="{197F033C-AD0C-44DF-A7D5-625483D4A387}" name="Column8186"/>
    <tableColumn id="8189" xr3:uid="{C64958C6-8E89-4A21-B11B-CDAA3F5143B4}" name="Column8187"/>
    <tableColumn id="8190" xr3:uid="{51401080-BCF1-4DED-BA54-8BE33010A034}" name="Column8188"/>
    <tableColumn id="8191" xr3:uid="{2D7CA741-340F-4A56-BFA0-D656E51207DA}" name="Column8189"/>
    <tableColumn id="8192" xr3:uid="{8C5598F4-296A-4F64-8BA5-D556F56BBAF7}" name="Column8190"/>
    <tableColumn id="8193" xr3:uid="{BFC427BA-18EE-4DC8-A35F-6421D73CD85E}" name="Column8191"/>
    <tableColumn id="8194" xr3:uid="{1163D378-F8D0-45F4-8E51-6FF1DCFBEB8D}" name="Column8192"/>
    <tableColumn id="8195" xr3:uid="{72BFAF54-95CE-4049-BEEF-6BE78A4091F7}" name="Column8193"/>
    <tableColumn id="8196" xr3:uid="{6C22FA4A-7C7D-42AB-BF3B-59341E8452BB}" name="Column8194"/>
    <tableColumn id="8197" xr3:uid="{03F4225A-AA40-44A6-A4C8-5EFEF4F071A1}" name="Column8195"/>
    <tableColumn id="8198" xr3:uid="{C759F3C5-980E-42D5-B608-7480D1E877CA}" name="Column8196"/>
    <tableColumn id="8199" xr3:uid="{3606FC5B-3FE6-4A3D-A36E-3C8D1653D2A9}" name="Column8197"/>
    <tableColumn id="8200" xr3:uid="{7923FE1A-2BAC-402E-8FA8-46BE9B9CD71E}" name="Column8198"/>
    <tableColumn id="8201" xr3:uid="{B34CD415-3AD8-4FC6-8308-6D0B7A24812F}" name="Column8199"/>
    <tableColumn id="8202" xr3:uid="{C724D83A-A639-4ED8-BC41-DB473D9262C8}" name="Column8200"/>
    <tableColumn id="8203" xr3:uid="{37A4878B-5101-42DF-B1E8-7552F4687A73}" name="Column8201"/>
    <tableColumn id="8204" xr3:uid="{84B7B5BD-DCD6-4DB5-BC44-3EF272EC67CE}" name="Column8202"/>
    <tableColumn id="8205" xr3:uid="{5AEAEA4B-DB9B-4230-B547-11827E023864}" name="Column8203"/>
    <tableColumn id="8206" xr3:uid="{BFA7D46C-ACAC-46B7-8BAA-A71E8CD3A7C6}" name="Column8204"/>
    <tableColumn id="8207" xr3:uid="{32937A20-1B13-4164-AF70-D65996078E24}" name="Column8205"/>
    <tableColumn id="8208" xr3:uid="{C11DBA69-D162-47D1-A551-096FA37CBBAD}" name="Column8206"/>
    <tableColumn id="8209" xr3:uid="{48C1C628-3672-4AAD-8754-47ECBE50B80E}" name="Column8207"/>
    <tableColumn id="8210" xr3:uid="{D3A9C42F-4820-48DB-8190-C5554CF337CF}" name="Column8208"/>
    <tableColumn id="8211" xr3:uid="{59A80ED6-5F37-4851-B3C2-ADABB50C422E}" name="Column8209"/>
    <tableColumn id="8212" xr3:uid="{F05700E0-7A7F-490A-B54A-D0FEC7939C9D}" name="Column8210"/>
    <tableColumn id="8213" xr3:uid="{28F9D2F0-45E0-4279-8866-5AEE17BA1DB4}" name="Column8211"/>
    <tableColumn id="8214" xr3:uid="{C872F5E8-B4D4-47EF-9BFF-797113DD7509}" name="Column8212"/>
    <tableColumn id="8215" xr3:uid="{7204057F-2650-4BFF-BEF4-D63DCD28D1F9}" name="Column8213"/>
    <tableColumn id="8216" xr3:uid="{6D89E8A9-F653-4FAF-B5BF-69D7B46DC4F4}" name="Column8214"/>
    <tableColumn id="8217" xr3:uid="{AD670E33-89AB-49D7-B4B4-C1A10FD1EE41}" name="Column8215"/>
    <tableColumn id="8218" xr3:uid="{A0B94C80-3BDD-44DB-AEFA-C1A785E7C934}" name="Column8216"/>
    <tableColumn id="8219" xr3:uid="{3064DA5E-ED36-422F-95C1-1A793F5EDFBB}" name="Column8217"/>
    <tableColumn id="8220" xr3:uid="{9B0CAB13-8FCB-4B28-8DD7-5FF7F1A69913}" name="Column8218"/>
    <tableColumn id="8221" xr3:uid="{E777BBFB-71A5-46EE-9235-2A56C1BB67A2}" name="Column8219"/>
    <tableColumn id="8222" xr3:uid="{025E06C0-2354-40E1-B61D-5476F662C6A5}" name="Column8220"/>
    <tableColumn id="8223" xr3:uid="{6B61F5BB-13F7-475E-9AD3-A6C85ACA9ED7}" name="Column8221"/>
    <tableColumn id="8224" xr3:uid="{9CE26E37-6243-4AB3-90B5-75E058AE66C4}" name="Column8222"/>
    <tableColumn id="8225" xr3:uid="{D4520A31-496F-4C57-AD8D-0F337A115887}" name="Column8223"/>
    <tableColumn id="8226" xr3:uid="{A1D3EEFC-68FF-49EF-80C0-8A733016E944}" name="Column8224"/>
    <tableColumn id="8227" xr3:uid="{7D15E0BD-DFA2-4392-BB41-D2059CC6CEE5}" name="Column8225"/>
    <tableColumn id="8228" xr3:uid="{63C4E3FB-DEDD-4569-84CF-EE6594FE00C4}" name="Column8226"/>
    <tableColumn id="8229" xr3:uid="{7426C273-9F43-404E-A4FF-874E68401565}" name="Column8227"/>
    <tableColumn id="8230" xr3:uid="{7E0DAA62-7036-425E-AFCA-159AE365A31D}" name="Column8228"/>
    <tableColumn id="8231" xr3:uid="{225BD8A9-4590-495A-A112-48DA9A78C8E2}" name="Column8229"/>
    <tableColumn id="8232" xr3:uid="{85BC1760-32EE-4985-8E07-6A9E17911C88}" name="Column8230"/>
    <tableColumn id="8233" xr3:uid="{0F94823D-EEB9-40A6-9243-212FCA169C58}" name="Column8231"/>
    <tableColumn id="8234" xr3:uid="{CD4ED182-6109-4EED-9E66-2D3246F24DC9}" name="Column8232"/>
    <tableColumn id="8235" xr3:uid="{41CBC8AA-EE9C-42FC-9927-75F54E40AE80}" name="Column8233"/>
    <tableColumn id="8236" xr3:uid="{BEF05CB1-3941-4C5B-B4AD-C9A5B81E88F6}" name="Column8234"/>
    <tableColumn id="8237" xr3:uid="{5112A75B-AB91-4A68-AEDB-0F3186EC312D}" name="Column8235"/>
    <tableColumn id="8238" xr3:uid="{08917B58-D1D4-4456-B569-A652233BA697}" name="Column8236"/>
    <tableColumn id="8239" xr3:uid="{E6E13E2A-4390-475F-9427-180F2B01429F}" name="Column8237"/>
    <tableColumn id="8240" xr3:uid="{951C7CDA-A071-4BF3-BAD0-1B6A32C2EB73}" name="Column8238"/>
    <tableColumn id="8241" xr3:uid="{D1E21B27-8375-48E6-826E-B8845B20121C}" name="Column8239"/>
    <tableColumn id="8242" xr3:uid="{E3951721-E536-4043-A878-F68972234E61}" name="Column8240"/>
    <tableColumn id="8243" xr3:uid="{843D78F6-2EA6-4082-AA1C-C89CE57A2695}" name="Column8241"/>
    <tableColumn id="8244" xr3:uid="{43794E57-A462-4345-806D-8B5C5ABE7520}" name="Column8242"/>
    <tableColumn id="8245" xr3:uid="{94E4E552-E36A-4A16-869A-007AAA712631}" name="Column8243"/>
    <tableColumn id="8246" xr3:uid="{15174578-87D7-4E9C-8ADE-73A6775454C2}" name="Column8244"/>
    <tableColumn id="8247" xr3:uid="{9ABBA181-7A48-446F-B1C9-274288808BC5}" name="Column8245"/>
    <tableColumn id="8248" xr3:uid="{38825635-CA99-4FB3-B6F7-F8606767D1BF}" name="Column8246"/>
    <tableColumn id="8249" xr3:uid="{092C56CD-5D88-4F3B-A407-092C9B4FC460}" name="Column8247"/>
    <tableColumn id="8250" xr3:uid="{2714D8AA-B48A-45D6-8A6D-A825DF347AD7}" name="Column8248"/>
    <tableColumn id="8251" xr3:uid="{73649E1E-3D09-4663-8443-AF4366E2256C}" name="Column8249"/>
    <tableColumn id="8252" xr3:uid="{EEE07F54-4473-426B-8CD9-BFE121D774F9}" name="Column8250"/>
    <tableColumn id="8253" xr3:uid="{3C588FCF-DBE2-48D2-93F9-B924B22726CC}" name="Column8251"/>
    <tableColumn id="8254" xr3:uid="{6354FBB6-F3B0-42CC-AA13-31BE975465F4}" name="Column8252"/>
    <tableColumn id="8255" xr3:uid="{E1D086E8-4BA1-4377-9A0C-DE901D11FE4A}" name="Column8253"/>
    <tableColumn id="8256" xr3:uid="{7D539874-D01F-402E-B9F6-22989698B440}" name="Column8254"/>
    <tableColumn id="8257" xr3:uid="{F294CB64-5A4B-4BF6-A3EC-ADFA9A22CBCE}" name="Column8255"/>
    <tableColumn id="8258" xr3:uid="{359468D7-C5A7-408A-BEFF-6E65FC30AE67}" name="Column8256"/>
    <tableColumn id="8259" xr3:uid="{3A985108-406A-4E9B-9D25-DAF809B544EA}" name="Column8257"/>
    <tableColumn id="8260" xr3:uid="{F7EB9833-2A6B-4D2B-ADB6-D677D3C03F45}" name="Column8258"/>
    <tableColumn id="8261" xr3:uid="{9A3D86E2-56BF-4043-9F2A-EE51CFF27C8F}" name="Column8259"/>
    <tableColumn id="8262" xr3:uid="{749801F1-EC7B-45A6-9BF2-6171B977B095}" name="Column8260"/>
    <tableColumn id="8263" xr3:uid="{808B96CF-321F-4D24-8F8F-F312F8AA4CB5}" name="Column8261"/>
    <tableColumn id="8264" xr3:uid="{7D07D075-90EB-4EAE-A02D-B56FD26859D4}" name="Column8262"/>
    <tableColumn id="8265" xr3:uid="{1950EB68-083A-4829-B2D7-13D71E9491AD}" name="Column8263"/>
    <tableColumn id="8266" xr3:uid="{BBD23943-A451-43B1-B461-769ACAC27E6B}" name="Column8264"/>
    <tableColumn id="8267" xr3:uid="{7A57FC10-469D-467E-B877-9DD841A101C3}" name="Column8265"/>
    <tableColumn id="8268" xr3:uid="{68E17ABC-AE35-4BD1-966A-98BA277CD55B}" name="Column8266"/>
    <tableColumn id="8269" xr3:uid="{832E75A0-C4D9-4290-98B0-AEA6C0B7E8CD}" name="Column8267"/>
    <tableColumn id="8270" xr3:uid="{1FE1E4E1-C4AA-4204-9BFE-D2C59C6EB3AA}" name="Column8268"/>
    <tableColumn id="8271" xr3:uid="{8BED4522-4B2D-4714-9E53-6B0099C9C86B}" name="Column8269"/>
    <tableColumn id="8272" xr3:uid="{57C749CA-A566-432C-B836-33345F0927F9}" name="Column8270"/>
    <tableColumn id="8273" xr3:uid="{E88BF85C-5BED-4564-94BE-86B97D26C3DA}" name="Column8271"/>
    <tableColumn id="8274" xr3:uid="{62F1DEF4-5650-4327-BD1D-ED133CF7E73C}" name="Column8272"/>
    <tableColumn id="8275" xr3:uid="{998507A4-0C2F-4682-8DBB-C2270B1E0331}" name="Column8273"/>
    <tableColumn id="8276" xr3:uid="{1964AAD8-DCB2-403A-BA09-5746B210AA60}" name="Column8274"/>
    <tableColumn id="8277" xr3:uid="{95C699AF-30C6-443F-B177-5AC36FEF90FA}" name="Column8275"/>
    <tableColumn id="8278" xr3:uid="{247D5FD7-66D9-4791-AE9A-99098BFFF770}" name="Column8276"/>
    <tableColumn id="8279" xr3:uid="{5106F6B4-7B1B-491A-87E1-BFCBEEB3CB49}" name="Column8277"/>
    <tableColumn id="8280" xr3:uid="{86ED2693-F3A1-4902-927F-F951298C9C07}" name="Column8278"/>
    <tableColumn id="8281" xr3:uid="{3A078989-652B-4D00-8A61-F96C1A040E6E}" name="Column8279"/>
    <tableColumn id="8282" xr3:uid="{8EFC0A02-A5E3-4AC0-A8D3-570C5FF37E03}" name="Column8280"/>
    <tableColumn id="8283" xr3:uid="{FE32FD0B-AAA7-4FD8-B08D-48D35A83FCD6}" name="Column8281"/>
    <tableColumn id="8284" xr3:uid="{9DBA1CF9-6C8A-47A6-9D37-6E880B99BF1F}" name="Column8282"/>
    <tableColumn id="8285" xr3:uid="{4F4926AC-5AFE-4524-A73E-058172D3E029}" name="Column8283"/>
    <tableColumn id="8286" xr3:uid="{9A9A41AA-9642-49B9-83F6-84CCAF869E57}" name="Column8284"/>
    <tableColumn id="8287" xr3:uid="{FF2F4F21-86D1-4414-94F2-735F348283BB}" name="Column8285"/>
    <tableColumn id="8288" xr3:uid="{7BB215D8-681C-48AA-864F-8038AD71E854}" name="Column8286"/>
    <tableColumn id="8289" xr3:uid="{E670CE11-6D4D-420A-B644-2B1E2A1B3C1A}" name="Column8287"/>
    <tableColumn id="8290" xr3:uid="{17E107EA-FEAC-4CE3-AA99-AAEB2D7A8089}" name="Column8288"/>
    <tableColumn id="8291" xr3:uid="{75BE7100-6C6E-46E6-80D5-B84B34155E38}" name="Column8289"/>
    <tableColumn id="8292" xr3:uid="{2DC9B1CF-6AAC-4B92-A0A0-22C507D19726}" name="Column8290"/>
    <tableColumn id="8293" xr3:uid="{97F6AF60-3FE5-4D4F-8F64-89D76E14D0D9}" name="Column8291"/>
    <tableColumn id="8294" xr3:uid="{81F4B0A3-1C22-477D-9B6D-9E9C7FD83DA8}" name="Column8292"/>
    <tableColumn id="8295" xr3:uid="{62E9E0DA-04C4-4A06-91F5-DEEA9021A7BA}" name="Column8293"/>
    <tableColumn id="8296" xr3:uid="{2DB439AE-9434-4091-ACE9-BAC105BBB9BE}" name="Column8294"/>
    <tableColumn id="8297" xr3:uid="{042C3C68-5621-4616-8EED-8378FD997E7A}" name="Column8295"/>
    <tableColumn id="8298" xr3:uid="{C33BE783-3B02-454D-B7A3-62A501A7F502}" name="Column8296"/>
    <tableColumn id="8299" xr3:uid="{EB28C83C-F34B-469B-B55E-CDFB70D0C77E}" name="Column8297"/>
    <tableColumn id="8300" xr3:uid="{FA502C6C-35BC-4134-9530-C1B4943A7AED}" name="Column8298"/>
    <tableColumn id="8301" xr3:uid="{C244F45D-D6D8-47CE-B4A7-0CC4750CC347}" name="Column8299"/>
    <tableColumn id="8302" xr3:uid="{4B30D5A0-22EB-408B-A15B-C449BF88B736}" name="Column8300"/>
    <tableColumn id="8303" xr3:uid="{E84F13A7-E691-42AF-A988-F2C84184050A}" name="Column8301"/>
    <tableColumn id="8304" xr3:uid="{B1DF5581-D3F4-47EC-BD94-26AA1DCA30F8}" name="Column8302"/>
    <tableColumn id="8305" xr3:uid="{44C4978C-E769-4428-A29F-2D3E7646FAAA}" name="Column8303"/>
    <tableColumn id="8306" xr3:uid="{228299DF-00DC-47B7-B462-223E31264218}" name="Column8304"/>
    <tableColumn id="8307" xr3:uid="{AAC074B7-4188-40B3-A252-2A33C32568A0}" name="Column8305"/>
    <tableColumn id="8308" xr3:uid="{58B337C0-F4B0-46DE-A9F7-C2DC2651CCE6}" name="Column8306"/>
    <tableColumn id="8309" xr3:uid="{4C7E45C2-BA38-437A-9C76-66DAFCF4BE84}" name="Column8307"/>
    <tableColumn id="8310" xr3:uid="{E430F7D8-1937-4A4A-BABC-1A8CA70BAD33}" name="Column8308"/>
    <tableColumn id="8311" xr3:uid="{928798E1-D542-45EE-B544-38D57BFD6E97}" name="Column8309"/>
    <tableColumn id="8312" xr3:uid="{15DE8073-7896-467F-B724-3578B0697D95}" name="Column8310"/>
    <tableColumn id="8313" xr3:uid="{E12FA74F-2198-48D7-A41C-72C5B00C6131}" name="Column8311"/>
    <tableColumn id="8314" xr3:uid="{BD1A6808-677A-49F4-A47F-54AC18181F2A}" name="Column8312"/>
    <tableColumn id="8315" xr3:uid="{51AE3EC9-9FA7-465C-977E-E0D9437EF3F4}" name="Column8313"/>
    <tableColumn id="8316" xr3:uid="{F934DD38-2F7C-458E-AB2D-15F41FA2B637}" name="Column8314"/>
    <tableColumn id="8317" xr3:uid="{6F95E420-09AC-44CA-A81C-4DD917D7AD24}" name="Column8315"/>
    <tableColumn id="8318" xr3:uid="{DD9387A7-7FD4-45FD-BEF7-19F6513176D1}" name="Column8316"/>
    <tableColumn id="8319" xr3:uid="{7CC86C93-F25D-46EF-AFFE-7D37BAB0F59F}" name="Column8317"/>
    <tableColumn id="8320" xr3:uid="{05D9B633-1851-43DE-A472-F059712EBC54}" name="Column8318"/>
    <tableColumn id="8321" xr3:uid="{9C17F05F-7BAC-4783-BABB-AE6A34658F87}" name="Column8319"/>
    <tableColumn id="8322" xr3:uid="{EC689F78-50EA-4FA2-AD75-428285BCDE5B}" name="Column8320"/>
    <tableColumn id="8323" xr3:uid="{CB812666-4478-43E4-BD66-FEE46FB9B2BB}" name="Column8321"/>
    <tableColumn id="8324" xr3:uid="{3339888E-6686-4433-AA0D-7DEE740A7154}" name="Column8322"/>
    <tableColumn id="8325" xr3:uid="{A9354205-CF9C-4CF7-B30D-BBB3CBB52902}" name="Column8323"/>
    <tableColumn id="8326" xr3:uid="{C9180D48-8444-4BBC-9603-B300B62CECF3}" name="Column8324"/>
    <tableColumn id="8327" xr3:uid="{E3445183-B559-4FF2-8418-4EE0FD8E7391}" name="Column8325"/>
    <tableColumn id="8328" xr3:uid="{7ED745D0-76B3-428E-AC06-3FDA55F9E585}" name="Column8326"/>
    <tableColumn id="8329" xr3:uid="{1042BB8E-C00F-4684-BBBB-F34784001FC0}" name="Column8327"/>
    <tableColumn id="8330" xr3:uid="{4709C4CA-A5D9-4551-B710-517937B382DC}" name="Column8328"/>
    <tableColumn id="8331" xr3:uid="{7EF34DEF-E93D-4DD3-A9EF-D9422FF601F5}" name="Column8329"/>
    <tableColumn id="8332" xr3:uid="{990D3E27-A5A8-4030-A864-77B13F9B2100}" name="Column8330"/>
    <tableColumn id="8333" xr3:uid="{78F20020-D1E2-4C29-BBAF-BB87047B1A91}" name="Column8331"/>
    <tableColumn id="8334" xr3:uid="{B8B7CBB7-5168-4B80-9FF1-D4E65003A56D}" name="Column8332"/>
    <tableColumn id="8335" xr3:uid="{76AE62EC-D838-400A-A488-3EAF95C43CC2}" name="Column8333"/>
    <tableColumn id="8336" xr3:uid="{1F4753CB-10CE-457F-904E-DBA19611C3BA}" name="Column8334"/>
    <tableColumn id="8337" xr3:uid="{9E33AD56-FC84-4E37-BCEC-05E67064AD80}" name="Column8335"/>
    <tableColumn id="8338" xr3:uid="{EAF074D3-180E-4912-9994-FA923D4BC35A}" name="Column8336"/>
    <tableColumn id="8339" xr3:uid="{17DF78F0-37C3-4FD9-BD00-9086D1D7D14B}" name="Column8337"/>
    <tableColumn id="8340" xr3:uid="{435184D6-767B-4560-848E-0472384C2AFA}" name="Column8338"/>
    <tableColumn id="8341" xr3:uid="{F0D9607E-81E2-4421-AEEA-181F510AC350}" name="Column8339"/>
    <tableColumn id="8342" xr3:uid="{58E67ED6-9DCB-4CF9-8A48-745CEF8ADD86}" name="Column8340"/>
    <tableColumn id="8343" xr3:uid="{D9FFC9BB-7566-447A-9A0C-A63CC6CEEBDA}" name="Column8341"/>
    <tableColumn id="8344" xr3:uid="{A66AF278-7986-4F85-BCC4-04BE85121A62}" name="Column8342"/>
    <tableColumn id="8345" xr3:uid="{4F69FD1C-3C44-4CBA-8D7E-2C4CD00DD315}" name="Column8343"/>
    <tableColumn id="8346" xr3:uid="{DDCB1C99-0564-4BB2-A93B-7B8DE476015C}" name="Column8344"/>
    <tableColumn id="8347" xr3:uid="{D01987D5-7028-4247-9596-748E15CDA14D}" name="Column8345"/>
    <tableColumn id="8348" xr3:uid="{BD7F66F5-A635-49A7-84FE-89E04C13C7D3}" name="Column8346"/>
    <tableColumn id="8349" xr3:uid="{4171CA10-88B2-4221-83BA-1DF869A51287}" name="Column8347"/>
    <tableColumn id="8350" xr3:uid="{647DF9E2-8BDF-40F1-A964-92A545327DE6}" name="Column8348"/>
    <tableColumn id="8351" xr3:uid="{33E5E33C-5142-4657-A3A8-0D7005809BA7}" name="Column8349"/>
    <tableColumn id="8352" xr3:uid="{81449622-70CA-4622-B3C1-2F8B219D2274}" name="Column8350"/>
    <tableColumn id="8353" xr3:uid="{99357A81-74C8-456B-BD1C-E75AB6898729}" name="Column8351"/>
    <tableColumn id="8354" xr3:uid="{3D55055E-D34E-463B-974C-02B01188BA50}" name="Column8352"/>
    <tableColumn id="8355" xr3:uid="{A6AEFB62-C0BA-464C-BE43-837B8332355D}" name="Column8353"/>
    <tableColumn id="8356" xr3:uid="{D8DE5954-2801-435D-BA13-96E4905FADE2}" name="Column8354"/>
    <tableColumn id="8357" xr3:uid="{EA30AC88-E006-45D8-8C85-F0621B91525B}" name="Column8355"/>
    <tableColumn id="8358" xr3:uid="{B9C263C9-C7CA-4B63-83B2-F7B9657D7336}" name="Column8356"/>
    <tableColumn id="8359" xr3:uid="{6484C769-B7AF-4C72-8078-97A370976F48}" name="Column8357"/>
    <tableColumn id="8360" xr3:uid="{C82D0CA5-C326-42A6-A7AE-87551A135976}" name="Column8358"/>
    <tableColumn id="8361" xr3:uid="{F1591009-C723-40C4-83DD-11476F5A7AD1}" name="Column8359"/>
    <tableColumn id="8362" xr3:uid="{3A14F033-82CF-4803-B1FF-BB21F211D691}" name="Column8360"/>
    <tableColumn id="8363" xr3:uid="{8E386DCD-A1CF-42E2-B3B0-5397682ED312}" name="Column8361"/>
    <tableColumn id="8364" xr3:uid="{9F410C4D-9D90-4F87-9406-EE2A93859CFF}" name="Column8362"/>
    <tableColumn id="8365" xr3:uid="{A6A2749A-33EF-44FC-A1F2-5A7FB27985EB}" name="Column8363"/>
    <tableColumn id="8366" xr3:uid="{369DD6A7-D3F3-41E8-B324-6395B3E0BD5A}" name="Column8364"/>
    <tableColumn id="8367" xr3:uid="{569CCB8E-EDF9-4BB2-9E1C-2A377789E987}" name="Column8365"/>
    <tableColumn id="8368" xr3:uid="{55D8002D-C1A7-4EB4-853A-DC3E1D3FEC3C}" name="Column8366"/>
    <tableColumn id="8369" xr3:uid="{18C81949-41C5-43A9-9D17-206134463FB3}" name="Column8367"/>
    <tableColumn id="8370" xr3:uid="{591C49E3-1C7D-4ED0-B0DC-F202641268BF}" name="Column8368"/>
    <tableColumn id="8371" xr3:uid="{4A783CA2-06A1-4DD3-9E86-7C37A69D8F45}" name="Column8369"/>
    <tableColumn id="8372" xr3:uid="{8F935A0B-79D5-4819-87A1-6FE31F695715}" name="Column8370"/>
    <tableColumn id="8373" xr3:uid="{C94D03B1-60AB-4B66-9ACE-93D4223F085A}" name="Column8371"/>
    <tableColumn id="8374" xr3:uid="{0265F933-35DF-41CC-AEE1-457E887B2549}" name="Column8372"/>
    <tableColumn id="8375" xr3:uid="{72AEE031-E47C-4084-AB8A-FE626F2723F8}" name="Column8373"/>
    <tableColumn id="8376" xr3:uid="{D858805D-F0D3-408F-9516-A511FB2908DD}" name="Column8374"/>
    <tableColumn id="8377" xr3:uid="{CEA55756-D7E3-4716-8303-64594958BBF1}" name="Column8375"/>
    <tableColumn id="8378" xr3:uid="{FCD4A26D-7AF7-4273-B14A-9FBEB0E88E35}" name="Column8376"/>
    <tableColumn id="8379" xr3:uid="{4C81ED90-1333-418A-ABC5-0B3C8ACE808D}" name="Column8377"/>
    <tableColumn id="8380" xr3:uid="{4E481623-D6F1-44F0-8C65-7B7385054D8F}" name="Column8378"/>
    <tableColumn id="8381" xr3:uid="{68706FF2-B996-4587-ABE7-58F9F9874E67}" name="Column8379"/>
    <tableColumn id="8382" xr3:uid="{7320FAE5-00A7-4FB5-8192-F9D4BE5DDBD3}" name="Column8380"/>
    <tableColumn id="8383" xr3:uid="{AE7BF27A-2656-4D3C-BD50-04A2B678D2CC}" name="Column8381"/>
    <tableColumn id="8384" xr3:uid="{4AF6AEDB-3437-4F4C-B700-01D015E990D9}" name="Column8382"/>
    <tableColumn id="8385" xr3:uid="{0694FDD5-709C-437E-9438-C12B2FDAF4C5}" name="Column8383"/>
    <tableColumn id="8386" xr3:uid="{9A83F0BD-98BF-4E82-9FF5-5501EAAB4460}" name="Column8384"/>
    <tableColumn id="8387" xr3:uid="{C7FEAEFC-F5D1-4A12-B418-4E9C8AF78319}" name="Column8385"/>
    <tableColumn id="8388" xr3:uid="{076C4F8F-971D-4B88-BAA0-88932305FB0E}" name="Column8386"/>
    <tableColumn id="8389" xr3:uid="{680D0A53-1A4E-407C-B54A-22CC52A6E103}" name="Column8387"/>
    <tableColumn id="8390" xr3:uid="{6B8C2101-F425-4F13-88F3-2171342A0880}" name="Column8388"/>
    <tableColumn id="8391" xr3:uid="{399882D5-DD2D-4616-B011-36CC428510D7}" name="Column8389"/>
    <tableColumn id="8392" xr3:uid="{A715CE4B-3CD3-44F4-8541-7F850C4E0875}" name="Column8390"/>
    <tableColumn id="8393" xr3:uid="{73A6BA0B-E4C7-460F-BAEF-897542ACA9B5}" name="Column8391"/>
    <tableColumn id="8394" xr3:uid="{44C20256-AAEF-465C-9260-ACE42D185B0D}" name="Column8392"/>
    <tableColumn id="8395" xr3:uid="{A40074CF-94A5-414D-841F-877B0BDF0231}" name="Column8393"/>
    <tableColumn id="8396" xr3:uid="{1F92FFC9-5AC7-4874-9757-0693D5FA193C}" name="Column8394"/>
    <tableColumn id="8397" xr3:uid="{2654B1AD-C4EB-498D-BE25-DEDD84A92F59}" name="Column8395"/>
    <tableColumn id="8398" xr3:uid="{2B5E2F5A-23DA-43A8-9D8C-6B694DE509CE}" name="Column8396"/>
    <tableColumn id="8399" xr3:uid="{31F0CF32-7500-4B17-A823-C4AEA01734F5}" name="Column8397"/>
    <tableColumn id="8400" xr3:uid="{7806E711-104E-45E6-B266-6E3873C3B7A3}" name="Column8398"/>
    <tableColumn id="8401" xr3:uid="{3324FA7D-4D0F-4872-ABBC-13DD7DE3D953}" name="Column8399"/>
    <tableColumn id="8402" xr3:uid="{02580FB7-56E5-4BB3-80B7-86D34F879368}" name="Column8400"/>
    <tableColumn id="8403" xr3:uid="{B459F926-0A1E-4CD9-91F1-9B6B95E248AD}" name="Column8401"/>
    <tableColumn id="8404" xr3:uid="{1A1E4A93-9478-49CC-8CA2-9E138557A344}" name="Column8402"/>
    <tableColumn id="8405" xr3:uid="{CC3CED60-4E6B-499D-8DD6-D329DA6AB146}" name="Column8403"/>
    <tableColumn id="8406" xr3:uid="{9B16A8F1-66BE-42A1-9629-66C1CC10FD8B}" name="Column8404"/>
    <tableColumn id="8407" xr3:uid="{9C6F82E8-30E5-4089-B82E-3BEB00B2D4AD}" name="Column8405"/>
    <tableColumn id="8408" xr3:uid="{A05F8B7E-D2DC-4E40-B4D8-D40157279D8B}" name="Column8406"/>
    <tableColumn id="8409" xr3:uid="{B6CD5AB1-DADD-4F09-8365-02E94C6AA2B8}" name="Column8407"/>
    <tableColumn id="8410" xr3:uid="{2EE7B4F0-8E46-433D-8154-3A857D3B5085}" name="Column8408"/>
    <tableColumn id="8411" xr3:uid="{FF368655-BFC6-4EAA-9446-2312F77501B0}" name="Column8409"/>
    <tableColumn id="8412" xr3:uid="{3402FFA0-8C10-4439-83F3-DDA66521A91A}" name="Column8410"/>
    <tableColumn id="8413" xr3:uid="{DABDFFA1-0EAE-40CF-8789-5A85C72692C5}" name="Column8411"/>
    <tableColumn id="8414" xr3:uid="{8FBB6A1A-C4BF-42E7-8534-9BFAE7A5337A}" name="Column8412"/>
    <tableColumn id="8415" xr3:uid="{FF7D16F3-6B1D-4AFD-B368-90D3B8A4C28B}" name="Column8413"/>
    <tableColumn id="8416" xr3:uid="{2242318B-3D43-4F9B-A384-E475BBA54914}" name="Column8414"/>
    <tableColumn id="8417" xr3:uid="{B0A0EE95-A802-4CD2-99E9-6E0DA4A283B2}" name="Column8415"/>
    <tableColumn id="8418" xr3:uid="{C8C70064-1A77-4936-9A89-2712674BF44B}" name="Column8416"/>
    <tableColumn id="8419" xr3:uid="{A4AF6CC6-12F7-4FC3-B4A7-BAAE60C373B8}" name="Column8417"/>
    <tableColumn id="8420" xr3:uid="{CB86A088-76E4-427D-9BFC-AE9E2F9B5983}" name="Column8418"/>
    <tableColumn id="8421" xr3:uid="{363E8372-40E1-4C3D-8812-CA9F1F8193FB}" name="Column8419"/>
    <tableColumn id="8422" xr3:uid="{99CB8912-B8D2-49C0-8DAC-E544566CE2F5}" name="Column8420"/>
    <tableColumn id="8423" xr3:uid="{99E13A2B-ECA0-4BAF-99A2-A6BDE9E13335}" name="Column8421"/>
    <tableColumn id="8424" xr3:uid="{7E6BCE52-5D7E-40C3-9810-8DF4B34B8F2C}" name="Column8422"/>
    <tableColumn id="8425" xr3:uid="{3304E9AE-ECEA-401A-92C1-8C0F30E48600}" name="Column8423"/>
    <tableColumn id="8426" xr3:uid="{D2FB7ACD-DD98-4B08-AAD1-16B2659411EA}" name="Column8424"/>
    <tableColumn id="8427" xr3:uid="{A039638C-B171-457A-BDC0-1B488E855D00}" name="Column8425"/>
    <tableColumn id="8428" xr3:uid="{17FEBDE2-CB1C-40EF-8C1C-F82BB7C32C43}" name="Column8426"/>
    <tableColumn id="8429" xr3:uid="{0B846A3E-A918-43DB-AF45-D560AB0D2188}" name="Column8427"/>
    <tableColumn id="8430" xr3:uid="{805CE265-6CB7-4B8C-8CA4-FFBB86D419BA}" name="Column8428"/>
    <tableColumn id="8431" xr3:uid="{4BA6C744-2819-4DD7-9D1A-AFA1B7F49C06}" name="Column8429"/>
    <tableColumn id="8432" xr3:uid="{6369B6E6-FBE6-4D9E-A387-2B392128FE38}" name="Column8430"/>
    <tableColumn id="8433" xr3:uid="{BBBB6CB6-751E-4CD7-91A2-74079E45833A}" name="Column8431"/>
    <tableColumn id="8434" xr3:uid="{A34B0119-5DB6-4CAC-B851-0A0F68C089AD}" name="Column8432"/>
    <tableColumn id="8435" xr3:uid="{A01AA589-FECB-461B-9065-EA4DEABC657D}" name="Column8433"/>
    <tableColumn id="8436" xr3:uid="{46CD4DBD-45B8-4C36-BECD-163CD0401A88}" name="Column8434"/>
    <tableColumn id="8437" xr3:uid="{E6F33F2B-BF57-40B6-85EF-3705A798740E}" name="Column8435"/>
    <tableColumn id="8438" xr3:uid="{EFD008C7-D773-42A3-AB18-42137F8E0A18}" name="Column8436"/>
    <tableColumn id="8439" xr3:uid="{D72C1CE3-7269-4221-B0BD-FDC03B755D09}" name="Column8437"/>
    <tableColumn id="8440" xr3:uid="{ADF16B51-4400-419E-B412-A1341A37FBBB}" name="Column8438"/>
    <tableColumn id="8441" xr3:uid="{2E9FAEFC-11C3-42D4-9E70-AB7D619851C2}" name="Column8439"/>
    <tableColumn id="8442" xr3:uid="{F6F92B15-FAE7-4CAD-B67F-1E850E6E0D46}" name="Column8440"/>
    <tableColumn id="8443" xr3:uid="{4CA1D3EE-7576-4965-80F0-BD6449A06E39}" name="Column8441"/>
    <tableColumn id="8444" xr3:uid="{89AB82AF-BA13-4846-8C89-400F6F03F262}" name="Column8442"/>
    <tableColumn id="8445" xr3:uid="{665DE2F5-ABB4-4D94-9E34-F302FAABEB12}" name="Column8443"/>
    <tableColumn id="8446" xr3:uid="{EA18741E-B85D-45BD-B2C8-3EDCF978E715}" name="Column8444"/>
    <tableColumn id="8447" xr3:uid="{3704BEE0-AB06-4BDE-A873-42389E643641}" name="Column8445"/>
    <tableColumn id="8448" xr3:uid="{7CE6CBE1-E004-4063-8F69-7E198F07FCA5}" name="Column8446"/>
    <tableColumn id="8449" xr3:uid="{1F3438BF-65AE-4B5E-8014-D0656A4923FD}" name="Column8447"/>
    <tableColumn id="8450" xr3:uid="{98C4284B-B553-4C52-A05A-6524960CBAF7}" name="Column8448"/>
    <tableColumn id="8451" xr3:uid="{475C8DB4-0284-41E9-BAD8-29326A2510E0}" name="Column8449"/>
    <tableColumn id="8452" xr3:uid="{CAD80723-3248-480E-BD64-6305C7BC3CA4}" name="Column8450"/>
    <tableColumn id="8453" xr3:uid="{2B011CB7-14CD-4AC6-A9EA-BD57D17F0625}" name="Column8451"/>
    <tableColumn id="8454" xr3:uid="{2E817046-49AF-4DF9-9031-D0A00AEED93A}" name="Column8452"/>
    <tableColumn id="8455" xr3:uid="{491430FF-3AD4-4F15-891D-A9DC64FA348A}" name="Column8453"/>
    <tableColumn id="8456" xr3:uid="{F9CFC53F-12DF-4351-9B95-99DF1C702005}" name="Column8454"/>
    <tableColumn id="8457" xr3:uid="{8A8C683B-37D7-4E85-9FEC-97B8A69F7A7B}" name="Column8455"/>
    <tableColumn id="8458" xr3:uid="{D459366E-78A4-49D6-87DF-DFD96E3FB54C}" name="Column8456"/>
    <tableColumn id="8459" xr3:uid="{38C4981B-2910-442B-8E8E-141066722E06}" name="Column8457"/>
    <tableColumn id="8460" xr3:uid="{9FAD22E1-053B-431A-80EF-B17B2969BB8B}" name="Column8458"/>
    <tableColumn id="8461" xr3:uid="{489D21DC-656D-482E-9527-2579FBAD4617}" name="Column8459"/>
    <tableColumn id="8462" xr3:uid="{6FCC281E-0D42-43C2-9650-2FF9885BE101}" name="Column8460"/>
    <tableColumn id="8463" xr3:uid="{AFF90C23-A229-4967-BE1B-F836F792D21A}" name="Column8461"/>
    <tableColumn id="8464" xr3:uid="{584F80D3-F7C1-4D96-8BC9-D9EFE10CEDAD}" name="Column8462"/>
    <tableColumn id="8465" xr3:uid="{135444C7-917D-4195-8A5A-CEBB2E5C1342}" name="Column8463"/>
    <tableColumn id="8466" xr3:uid="{32B985D6-8BDB-466B-A35D-56EECB4CC86E}" name="Column8464"/>
    <tableColumn id="8467" xr3:uid="{CFA5CDDF-C117-4758-A687-8314777B9C70}" name="Column8465"/>
    <tableColumn id="8468" xr3:uid="{93BB7DF5-DD94-4195-82F1-8B9366CB9005}" name="Column8466"/>
    <tableColumn id="8469" xr3:uid="{B75F2B7C-C40F-4B25-A156-63170AFAB7C2}" name="Column8467"/>
    <tableColumn id="8470" xr3:uid="{1DB7A037-7DC1-4CAB-9FC8-B43434B3C841}" name="Column8468"/>
    <tableColumn id="8471" xr3:uid="{24426BA9-01D0-4E2E-A33E-090A6A70031D}" name="Column8469"/>
    <tableColumn id="8472" xr3:uid="{15ACFAF3-EF9E-4C1E-95F9-123C89B132C1}" name="Column8470"/>
    <tableColumn id="8473" xr3:uid="{E41A9C6B-1831-4933-81F3-5C602306D39B}" name="Column8471"/>
    <tableColumn id="8474" xr3:uid="{F0A11F1F-7CA7-4AE9-96BE-18ED9C674F30}" name="Column8472"/>
    <tableColumn id="8475" xr3:uid="{4437D699-14F5-47B3-A81F-36439A1DD751}" name="Column8473"/>
    <tableColumn id="8476" xr3:uid="{0E00962C-C15A-4181-BB62-F921CC2932D9}" name="Column8474"/>
    <tableColumn id="8477" xr3:uid="{B59FA178-1DAD-475C-8059-E65B4B9A8686}" name="Column8475"/>
    <tableColumn id="8478" xr3:uid="{4DF304D7-1655-4471-8110-EC9DCB86811B}" name="Column8476"/>
    <tableColumn id="8479" xr3:uid="{A9624EF9-7975-4A1D-8206-07C3C2852E91}" name="Column8477"/>
    <tableColumn id="8480" xr3:uid="{3A978A42-5A80-4D63-80D6-CC50BC83CC60}" name="Column8478"/>
    <tableColumn id="8481" xr3:uid="{EF3CF50E-2DAF-41FB-AC30-5A9169A515BB}" name="Column8479"/>
    <tableColumn id="8482" xr3:uid="{17F387A2-9E44-46A0-A6F7-D1727EA69C2F}" name="Column8480"/>
    <tableColumn id="8483" xr3:uid="{73E4E2D4-A577-4733-8026-D397DCAEBC1D}" name="Column8481"/>
    <tableColumn id="8484" xr3:uid="{EFFAF37B-ECE8-483F-9F30-8E8DEC285641}" name="Column8482"/>
    <tableColumn id="8485" xr3:uid="{673BE2F1-1F12-42DD-A6E5-5E05B1B81B74}" name="Column8483"/>
    <tableColumn id="8486" xr3:uid="{490FEFB2-938C-44AC-A7C7-74FB1D648420}" name="Column8484"/>
    <tableColumn id="8487" xr3:uid="{1514944D-351B-4501-8BFC-CA593F745F23}" name="Column8485"/>
    <tableColumn id="8488" xr3:uid="{D507BF60-4B13-4670-B572-2C91CB4EBAF9}" name="Column8486"/>
    <tableColumn id="8489" xr3:uid="{6499FD2B-F0DD-43D5-BF11-098CE9838D72}" name="Column8487"/>
    <tableColumn id="8490" xr3:uid="{A4EDFC8D-50DD-4D68-B735-6B5B725D318E}" name="Column8488"/>
    <tableColumn id="8491" xr3:uid="{92B0B91E-37BC-4E1B-907E-AAD2E97F9C5E}" name="Column8489"/>
    <tableColumn id="8492" xr3:uid="{3CD07EFD-E85E-4C5D-8378-2E95422D79B2}" name="Column8490"/>
    <tableColumn id="8493" xr3:uid="{16131660-8080-439F-8B56-2D89E6D92BF3}" name="Column8491"/>
    <tableColumn id="8494" xr3:uid="{668E570B-DA83-4201-BA05-EF319AE417CD}" name="Column8492"/>
    <tableColumn id="8495" xr3:uid="{9B0EA906-F0EB-4CF4-BE89-E242649E7D34}" name="Column8493"/>
    <tableColumn id="8496" xr3:uid="{31F73843-4DC2-4A20-BF81-DA5A5E5D9AD8}" name="Column8494"/>
    <tableColumn id="8497" xr3:uid="{BD8E899A-1700-4382-8D92-0209DF0FC63F}" name="Column8495"/>
    <tableColumn id="8498" xr3:uid="{8C7B5EDD-BD9A-4361-B48A-46A4EFC4DB83}" name="Column8496"/>
    <tableColumn id="8499" xr3:uid="{5820AD00-0887-487D-B4E7-5CD0E77071E3}" name="Column8497"/>
    <tableColumn id="8500" xr3:uid="{56E1835F-5199-4B4E-B5B1-7FB7D9AAB0C7}" name="Column8498"/>
    <tableColumn id="8501" xr3:uid="{FE9776E5-594C-4749-897B-30F3E377E811}" name="Column8499"/>
    <tableColumn id="8502" xr3:uid="{B354D153-DCFF-483F-9E4A-C176B75B276F}" name="Column8500"/>
    <tableColumn id="8503" xr3:uid="{263B65A0-E03D-4CD0-8975-1052D1F4AD3E}" name="Column8501"/>
    <tableColumn id="8504" xr3:uid="{7E53A21C-764F-42DB-9400-3851422888B8}" name="Column8502"/>
    <tableColumn id="8505" xr3:uid="{4E31F83A-A23C-4DC5-A415-DCBCFEF718B6}" name="Column8503"/>
    <tableColumn id="8506" xr3:uid="{42AFD1F9-52DC-4D01-A8B2-A9A9BAAFA30D}" name="Column8504"/>
    <tableColumn id="8507" xr3:uid="{AFAA87AC-E231-472E-92D2-7DE421189DF0}" name="Column8505"/>
    <tableColumn id="8508" xr3:uid="{C63731A5-C27E-4295-9A5E-10721B410F39}" name="Column8506"/>
    <tableColumn id="8509" xr3:uid="{6D6462DE-A8A6-46DC-A237-D820939D2F5C}" name="Column8507"/>
    <tableColumn id="8510" xr3:uid="{855AC49E-348E-441A-B819-2329149F2FBA}" name="Column8508"/>
    <tableColumn id="8511" xr3:uid="{F8F9BE39-2FED-4619-AF54-410A18B4664A}" name="Column8509"/>
    <tableColumn id="8512" xr3:uid="{A5962455-AECE-466E-9F12-2BF6BF00A397}" name="Column8510"/>
    <tableColumn id="8513" xr3:uid="{22AAC4DF-A36B-4F1D-A7C4-DF98E6873F2C}" name="Column8511"/>
    <tableColumn id="8514" xr3:uid="{6E91F41F-3614-4F2B-8BF3-F85BA1BDF499}" name="Column8512"/>
    <tableColumn id="8515" xr3:uid="{25E9E537-5A75-46F1-878F-1D5B3E88C1EA}" name="Column8513"/>
    <tableColumn id="8516" xr3:uid="{90EFFCB2-D455-4CA0-8A08-04336C97B031}" name="Column8514"/>
    <tableColumn id="8517" xr3:uid="{D25CC2CE-C665-4C80-BC62-B1EE008337B0}" name="Column8515"/>
    <tableColumn id="8518" xr3:uid="{3CECD734-0001-4997-9A95-7761F0091B34}" name="Column8516"/>
    <tableColumn id="8519" xr3:uid="{42D2B296-FFF6-4ABF-95EA-E83493614CC9}" name="Column8517"/>
    <tableColumn id="8520" xr3:uid="{BD7C9423-6420-459E-9E16-C4088FE099E9}" name="Column8518"/>
    <tableColumn id="8521" xr3:uid="{AA4CC59F-84F7-4BC0-A632-40561814F05D}" name="Column8519"/>
    <tableColumn id="8522" xr3:uid="{0AA63FBD-6A0A-4908-B437-3D64CAC74F7A}" name="Column8520"/>
    <tableColumn id="8523" xr3:uid="{D039F98F-7A18-400F-83AA-D56E4FB5D9C6}" name="Column8521"/>
    <tableColumn id="8524" xr3:uid="{5A264538-4517-42B2-A296-B781F9D48AE4}" name="Column8522"/>
    <tableColumn id="8525" xr3:uid="{941085EF-DF48-40DB-AB94-5D0E47286771}" name="Column8523"/>
    <tableColumn id="8526" xr3:uid="{4EBEF0D9-9781-4C69-A15C-F99F60006C52}" name="Column8524"/>
    <tableColumn id="8527" xr3:uid="{8EB4FDC6-94DF-4E3A-998A-7EAC5DB3F36B}" name="Column8525"/>
    <tableColumn id="8528" xr3:uid="{FB2A2195-77A4-4B37-AD6E-7C63A22B54E2}" name="Column8526"/>
    <tableColumn id="8529" xr3:uid="{8CF599A4-B63B-483D-BC27-675955C40892}" name="Column8527"/>
    <tableColumn id="8530" xr3:uid="{37586388-5DB6-4038-9606-0778BEC2E643}" name="Column8528"/>
    <tableColumn id="8531" xr3:uid="{95E2B565-C2A2-4995-A7B1-5DD9D9A30FB3}" name="Column8529"/>
    <tableColumn id="8532" xr3:uid="{9E42E427-7461-45F5-AACB-0E6228ADBC40}" name="Column8530"/>
    <tableColumn id="8533" xr3:uid="{01D74F0C-7799-4372-BFCE-CDBB3882560B}" name="Column8531"/>
    <tableColumn id="8534" xr3:uid="{FD68717E-2FAF-4449-9DE5-8AA4757A95D0}" name="Column8532"/>
    <tableColumn id="8535" xr3:uid="{2B9B2C32-F5D3-4B6A-8F91-54DDC77BC6DA}" name="Column8533"/>
    <tableColumn id="8536" xr3:uid="{4C0BFEAE-0D27-4E5E-9348-A43433BE78DA}" name="Column8534"/>
    <tableColumn id="8537" xr3:uid="{1DF99DE1-8A55-4266-8BB9-24FF6EFA238F}" name="Column8535"/>
    <tableColumn id="8538" xr3:uid="{2D017E2D-FE17-4097-9F06-1B344A9A1CCA}" name="Column8536"/>
    <tableColumn id="8539" xr3:uid="{8D1DEA11-136D-4E99-9704-915EB833E291}" name="Column8537"/>
    <tableColumn id="8540" xr3:uid="{06FAAED6-59DF-475D-9957-7D41015CFE84}" name="Column8538"/>
    <tableColumn id="8541" xr3:uid="{3D1A235A-80CA-4F1F-81B1-00FD7B1F999F}" name="Column8539"/>
    <tableColumn id="8542" xr3:uid="{095C0F2A-2EFA-464B-8431-BC43042BBF8F}" name="Column8540"/>
    <tableColumn id="8543" xr3:uid="{B1C38A1A-005E-4EC1-AA1A-941167624703}" name="Column8541"/>
    <tableColumn id="8544" xr3:uid="{391D4CEE-446F-4369-A5A7-C3DCDD21C6ED}" name="Column8542"/>
    <tableColumn id="8545" xr3:uid="{23C532BD-510A-465C-BCAC-8037EF429F8B}" name="Column8543"/>
    <tableColumn id="8546" xr3:uid="{974ABBD2-4CDD-4B1A-86E2-E03A53FACB5C}" name="Column8544"/>
    <tableColumn id="8547" xr3:uid="{95A0F403-4776-447C-86D8-09C759C0FBDF}" name="Column8545"/>
    <tableColumn id="8548" xr3:uid="{9C10A108-6FF4-4F73-84EE-2497EEC9F485}" name="Column8546"/>
    <tableColumn id="8549" xr3:uid="{090E73A4-FF4B-44C0-9C26-2BD4F94BF028}" name="Column8547"/>
    <tableColumn id="8550" xr3:uid="{9607F767-6869-4A04-912D-ABF30ADDB9A2}" name="Column8548"/>
    <tableColumn id="8551" xr3:uid="{166074D7-7C31-4878-AD9B-8DE3EA16F659}" name="Column8549"/>
    <tableColumn id="8552" xr3:uid="{8D62E6BE-1BDB-4A1A-956D-5EAEE4788512}" name="Column8550"/>
    <tableColumn id="8553" xr3:uid="{1AA16E0B-C6A3-457B-94C0-BBE8D131D362}" name="Column8551"/>
    <tableColumn id="8554" xr3:uid="{93F02CFC-59C0-4DFF-9191-9E4EBC3FD81B}" name="Column8552"/>
    <tableColumn id="8555" xr3:uid="{481D7537-1454-4B93-A062-710330177DF3}" name="Column8553"/>
    <tableColumn id="8556" xr3:uid="{C1152020-D0A1-4E6A-8F44-EB5CCD22B59F}" name="Column8554"/>
    <tableColumn id="8557" xr3:uid="{7FDC917E-7BAB-42D2-81BB-B68B5D345A36}" name="Column8555"/>
    <tableColumn id="8558" xr3:uid="{092098B4-93AF-4FD3-A1B4-33CA9AADDC60}" name="Column8556"/>
    <tableColumn id="8559" xr3:uid="{F8FD56A6-A495-4EA3-BCEE-D66BB23E31B3}" name="Column8557"/>
    <tableColumn id="8560" xr3:uid="{E950D848-ADA5-42E1-97CE-92D9BB369E20}" name="Column8558"/>
    <tableColumn id="8561" xr3:uid="{3B18EB99-55B2-40DA-B516-58DE2BECCEB2}" name="Column8559"/>
    <tableColumn id="8562" xr3:uid="{DFB60CC2-D813-43C7-A2D2-0D8C6F02D11C}" name="Column8560"/>
    <tableColumn id="8563" xr3:uid="{F2FF8C0E-3744-403F-A8FE-A3A98CD712FE}" name="Column8561"/>
    <tableColumn id="8564" xr3:uid="{14F3324C-6BE1-49C9-98B2-14A877F29166}" name="Column8562"/>
    <tableColumn id="8565" xr3:uid="{CA4C64EA-39D7-44C1-91DB-51816DDF064C}" name="Column8563"/>
    <tableColumn id="8566" xr3:uid="{F42F3B09-4020-487A-A6CA-22163123C90C}" name="Column8564"/>
    <tableColumn id="8567" xr3:uid="{DBEA1E7E-52A9-4957-991B-7B09797C28F6}" name="Column8565"/>
    <tableColumn id="8568" xr3:uid="{A20E9E1F-F3C9-4B5F-9E15-572B14617029}" name="Column8566"/>
    <tableColumn id="8569" xr3:uid="{ABF87878-7023-4414-A3A9-5A41D38C4991}" name="Column8567"/>
    <tableColumn id="8570" xr3:uid="{6484A40B-9440-4683-A53B-FBCEEAC48ACE}" name="Column8568"/>
    <tableColumn id="8571" xr3:uid="{E1C587E6-C4C5-4289-9D65-DE1B6B555EC4}" name="Column8569"/>
    <tableColumn id="8572" xr3:uid="{50488C0E-206A-4ED5-9CD9-CD6978E42DEE}" name="Column8570"/>
    <tableColumn id="8573" xr3:uid="{B913E89F-903C-4131-B5C1-6B2092652833}" name="Column8571"/>
    <tableColumn id="8574" xr3:uid="{FD7B5E32-8F90-4208-A16E-7335D53B7D25}" name="Column8572"/>
    <tableColumn id="8575" xr3:uid="{B76FBD3D-BD3B-4C6F-B79A-B6B9D66120A9}" name="Column8573"/>
    <tableColumn id="8576" xr3:uid="{6C84AEE5-EE57-4804-99F3-5A66DE5A6CB0}" name="Column8574"/>
    <tableColumn id="8577" xr3:uid="{4D810C27-2B3F-4EE6-80A5-97646773EE99}" name="Column8575"/>
    <tableColumn id="8578" xr3:uid="{4502C50B-3E8B-4B32-A459-B9B41CDCCEFB}" name="Column8576"/>
    <tableColumn id="8579" xr3:uid="{BBE78E01-9971-4FF1-BECE-76DE743F6C23}" name="Column8577"/>
    <tableColumn id="8580" xr3:uid="{FD4942C9-9906-439A-9E9B-EEF83A456259}" name="Column8578"/>
    <tableColumn id="8581" xr3:uid="{60F7D492-9399-49E4-ADB5-BAB7D92F0A7A}" name="Column8579"/>
    <tableColumn id="8582" xr3:uid="{CD9DE134-2C44-41E4-BAB7-C9D525F30008}" name="Column8580"/>
    <tableColumn id="8583" xr3:uid="{C6406951-BFA0-45DE-ADD1-882EA121124A}" name="Column8581"/>
    <tableColumn id="8584" xr3:uid="{31EA6707-456D-4DCA-AECB-59520AD771A6}" name="Column8582"/>
    <tableColumn id="8585" xr3:uid="{574665AF-70CE-4676-ADB7-EE409FFC6DAA}" name="Column8583"/>
    <tableColumn id="8586" xr3:uid="{CD531CB2-98A4-48CF-8E34-BD46C521A91E}" name="Column8584"/>
    <tableColumn id="8587" xr3:uid="{C51A0DBD-219A-4834-8A59-93A4E44CD459}" name="Column8585"/>
    <tableColumn id="8588" xr3:uid="{B3A0BFAF-305B-4589-A147-5B65D8C5632F}" name="Column8586"/>
    <tableColumn id="8589" xr3:uid="{8C2813D2-43E3-492D-ACF1-67EF7091C5A7}" name="Column8587"/>
    <tableColumn id="8590" xr3:uid="{643EC3E2-B789-472C-876E-1AE9D42CD20E}" name="Column8588"/>
    <tableColumn id="8591" xr3:uid="{92595CDB-47C6-4892-90F0-16AAB1B8E9F5}" name="Column8589"/>
    <tableColumn id="8592" xr3:uid="{C4A79DFE-328B-4804-8256-6BE5E5FB44F8}" name="Column8590"/>
    <tableColumn id="8593" xr3:uid="{7D7821C6-76CD-4143-B8DF-D1B78B4914E7}" name="Column8591"/>
    <tableColumn id="8594" xr3:uid="{C82A0836-5825-41D0-8896-C6350A236E35}" name="Column8592"/>
    <tableColumn id="8595" xr3:uid="{0D38344B-32D6-48D9-B342-5BA5518D1E9F}" name="Column8593"/>
    <tableColumn id="8596" xr3:uid="{4C6A786D-D75D-4193-88BF-AA3C9DF7A623}" name="Column8594"/>
    <tableColumn id="8597" xr3:uid="{D64DFE94-6007-4D31-86E7-E22F86400128}" name="Column8595"/>
    <tableColumn id="8598" xr3:uid="{BD613D88-935A-4912-8DB1-136B0295878B}" name="Column8596"/>
    <tableColumn id="8599" xr3:uid="{DB1B2B07-B49A-4EF2-84E5-8D266B63BC62}" name="Column8597"/>
    <tableColumn id="8600" xr3:uid="{224E3983-E517-45E4-8ECC-ED89FD5AEFCC}" name="Column8598"/>
    <tableColumn id="8601" xr3:uid="{90D5EEA8-9D73-40C4-9C9C-5C8FCDA4B8F1}" name="Column8599"/>
    <tableColumn id="8602" xr3:uid="{3FB2287E-401F-46AB-9FB9-4FA74AD859AF}" name="Column8600"/>
    <tableColumn id="8603" xr3:uid="{F712269B-C9C1-42F7-8B7B-623D1B46BC1A}" name="Column8601"/>
    <tableColumn id="8604" xr3:uid="{631C4619-81CD-4B10-8567-29B60428B053}" name="Column8602"/>
    <tableColumn id="8605" xr3:uid="{A18D8F1D-7F00-42AB-9685-F66D4D4D9AB0}" name="Column8603"/>
    <tableColumn id="8606" xr3:uid="{69CA3502-849F-40EF-A126-B6F16C85F130}" name="Column8604"/>
    <tableColumn id="8607" xr3:uid="{E68935F2-611A-4A75-A299-B60CFBCDA154}" name="Column8605"/>
    <tableColumn id="8608" xr3:uid="{4DDEDC83-2ADA-4AD7-ADE2-788A26D4DD8C}" name="Column8606"/>
    <tableColumn id="8609" xr3:uid="{17F2DB7B-4952-4261-9DBC-D64B12E7D8C0}" name="Column8607"/>
    <tableColumn id="8610" xr3:uid="{05FCFFF6-3040-4F93-9448-652C527DA7C6}" name="Column8608"/>
    <tableColumn id="8611" xr3:uid="{DA540BB6-F4D7-4120-A01D-1D54B3F50054}" name="Column8609"/>
    <tableColumn id="8612" xr3:uid="{93C9254B-46AA-4E6B-B299-2B948D68E4FF}" name="Column8610"/>
    <tableColumn id="8613" xr3:uid="{B1C4F47C-E48A-46DD-948F-98D8EC5DEB5A}" name="Column8611"/>
    <tableColumn id="8614" xr3:uid="{65DD9AA9-808C-4ED4-95E0-250A3F21B62D}" name="Column8612"/>
    <tableColumn id="8615" xr3:uid="{46B3D5CF-8737-4B62-99CB-B5905CCD1159}" name="Column8613"/>
    <tableColumn id="8616" xr3:uid="{64C9606F-A336-4C53-BFA1-CEAA60FAE11F}" name="Column8614"/>
    <tableColumn id="8617" xr3:uid="{23509E02-6EEE-42BE-8476-3B5B8A2DD1E0}" name="Column8615"/>
    <tableColumn id="8618" xr3:uid="{CE1BA30F-8880-4271-962B-9C4224F32D6C}" name="Column8616"/>
    <tableColumn id="8619" xr3:uid="{97221B10-3F37-4CBF-9E22-2BFCCAE37AE6}" name="Column8617"/>
    <tableColumn id="8620" xr3:uid="{8AB15709-AA7C-4C68-A355-C0C8EC41DD29}" name="Column8618"/>
    <tableColumn id="8621" xr3:uid="{1A1C85F7-55DC-4BA1-A21A-487ADE692E19}" name="Column8619"/>
    <tableColumn id="8622" xr3:uid="{F1995A77-CA16-4151-82B8-2114AFE44EAB}" name="Column8620"/>
    <tableColumn id="8623" xr3:uid="{CB10E724-D90B-4DA8-982C-54A05C542031}" name="Column8621"/>
    <tableColumn id="8624" xr3:uid="{E104DDA6-367E-4272-AD2E-E6CE3B19B793}" name="Column8622"/>
    <tableColumn id="8625" xr3:uid="{3BE80ABC-CC4F-4996-B952-8E52088BB4C6}" name="Column8623"/>
    <tableColumn id="8626" xr3:uid="{4DBAF825-42A0-4629-BDBF-F8CC82250CD5}" name="Column8624"/>
    <tableColumn id="8627" xr3:uid="{CAE740C2-83E1-427E-9AE0-A76398DB4FF1}" name="Column8625"/>
    <tableColumn id="8628" xr3:uid="{09C7B2DE-BFEA-423D-BEC3-D03D8F28E663}" name="Column8626"/>
    <tableColumn id="8629" xr3:uid="{233B8690-3E85-4249-BC64-96577AAF25ED}" name="Column8627"/>
    <tableColumn id="8630" xr3:uid="{992048C4-F0BB-4EAE-8C70-15363842ED8F}" name="Column8628"/>
    <tableColumn id="8631" xr3:uid="{D70366C7-CCC6-4598-88B5-9E01E7C0CAB7}" name="Column8629"/>
    <tableColumn id="8632" xr3:uid="{A5534E72-C66D-47E2-8FE1-D76011241F23}" name="Column8630"/>
    <tableColumn id="8633" xr3:uid="{314EEAA2-D45D-4D31-843A-E43ED94C1F8A}" name="Column8631"/>
    <tableColumn id="8634" xr3:uid="{2748BAA5-7AE8-4D53-8A36-C3160A562C65}" name="Column8632"/>
    <tableColumn id="8635" xr3:uid="{43C0DB25-9719-4495-B0C6-217AFB136B16}" name="Column8633"/>
    <tableColumn id="8636" xr3:uid="{F77D71C5-6BBF-4DEC-8B8E-9F4FC22BD06A}" name="Column8634"/>
    <tableColumn id="8637" xr3:uid="{C0AEC8E4-B6F7-45BF-ACC3-27085E6555E7}" name="Column8635"/>
    <tableColumn id="8638" xr3:uid="{A61D7DAC-6369-41FE-96D9-564DCC383EEF}" name="Column8636"/>
    <tableColumn id="8639" xr3:uid="{86E80598-7A62-499E-A78C-562EF2A97904}" name="Column8637"/>
    <tableColumn id="8640" xr3:uid="{87C07AA7-7121-4914-BCEB-D08FFEAEA6E1}" name="Column8638"/>
    <tableColumn id="8641" xr3:uid="{5194B58E-021A-4D7A-A1D0-027C6B9A059B}" name="Column8639"/>
    <tableColumn id="8642" xr3:uid="{A26A109B-6E5E-441E-A4B5-7D529E8E3422}" name="Column8640"/>
    <tableColumn id="8643" xr3:uid="{DF4E330C-99EE-4046-9A08-EBE8AB4EBEBD}" name="Column8641"/>
    <tableColumn id="8644" xr3:uid="{03AC774C-3DE2-4445-B236-811AC3F9C750}" name="Column8642"/>
    <tableColumn id="8645" xr3:uid="{BD27D6C5-FF5A-4271-A7E4-3F5D2E706762}" name="Column8643"/>
    <tableColumn id="8646" xr3:uid="{EC8F5CC7-43E2-47F2-AD9E-AE9D0AFDB770}" name="Column8644"/>
    <tableColumn id="8647" xr3:uid="{71D1C0B0-741C-4F5F-99E9-1BBC4FEBE966}" name="Column8645"/>
    <tableColumn id="8648" xr3:uid="{FE05B0D8-A796-436B-BA3B-D8CFAF7A1D01}" name="Column8646"/>
    <tableColumn id="8649" xr3:uid="{9AD3258F-0D77-4319-B948-8674BFD3A3CD}" name="Column8647"/>
    <tableColumn id="8650" xr3:uid="{C457491B-E973-40F3-93FD-252F69C60B6E}" name="Column8648"/>
    <tableColumn id="8651" xr3:uid="{669A71EE-A485-4687-8734-6F18813B80ED}" name="Column8649"/>
    <tableColumn id="8652" xr3:uid="{83A3D64C-1DF0-44AB-BC13-6370C7654FA4}" name="Column8650"/>
    <tableColumn id="8653" xr3:uid="{E07FCAAA-E2BF-4316-9E94-5394F3CDA097}" name="Column8651"/>
    <tableColumn id="8654" xr3:uid="{08EDA42C-9792-44D3-963C-336CD4C81E54}" name="Column8652"/>
    <tableColumn id="8655" xr3:uid="{FFE06F9B-ADC0-4DDC-884A-DB0E1DE91C2C}" name="Column8653"/>
    <tableColumn id="8656" xr3:uid="{7772214A-BCC7-43AE-B00E-E7F9B099D51A}" name="Column8654"/>
    <tableColumn id="8657" xr3:uid="{016F3BD8-653F-4104-A808-2B20F3E8813B}" name="Column8655"/>
    <tableColumn id="8658" xr3:uid="{4A50697A-0835-432C-B8B6-D6E446261514}" name="Column8656"/>
    <tableColumn id="8659" xr3:uid="{E7E6E978-5710-447D-B182-B884EAE2952E}" name="Column8657"/>
    <tableColumn id="8660" xr3:uid="{FBB918C3-8EAD-4256-8E61-0B1F93C8DE0E}" name="Column8658"/>
    <tableColumn id="8661" xr3:uid="{DC268CF9-0D5E-4CB9-BB20-8FDCFCC6A0C7}" name="Column8659"/>
    <tableColumn id="8662" xr3:uid="{355ADF0C-9BDE-48F8-A7A3-8973E8BBE63A}" name="Column8660"/>
    <tableColumn id="8663" xr3:uid="{45E2A9C7-A4CA-4E05-A642-9411D09F1C64}" name="Column8661"/>
    <tableColumn id="8664" xr3:uid="{66224CBC-D628-4CFC-B3C0-5003C91C1592}" name="Column8662"/>
    <tableColumn id="8665" xr3:uid="{76F5B721-1E61-49F6-BA54-619731FBCBF5}" name="Column8663"/>
    <tableColumn id="8666" xr3:uid="{B5F888CA-F934-4BF2-8B18-7D84C7DFAAC5}" name="Column8664"/>
    <tableColumn id="8667" xr3:uid="{4FF2CFDE-E51A-4422-893F-BD77F3923007}" name="Column8665"/>
    <tableColumn id="8668" xr3:uid="{E89C6037-C9F2-41C2-A08C-0191E51EA7A9}" name="Column8666"/>
    <tableColumn id="8669" xr3:uid="{FF6AA6B0-63FE-4D9F-B2B6-5D4900D5401C}" name="Column8667"/>
    <tableColumn id="8670" xr3:uid="{FC5A54B4-38BA-4745-BCA3-083992353BF8}" name="Column8668"/>
    <tableColumn id="8671" xr3:uid="{307B4CBA-BF1B-4C28-9297-119FFAACAC41}" name="Column8669"/>
    <tableColumn id="8672" xr3:uid="{7F7E24D0-D9C9-40F7-BB9A-3A211CDD839E}" name="Column8670"/>
    <tableColumn id="8673" xr3:uid="{8BBA2700-8050-46CA-8CD5-2A25013D4D5B}" name="Column8671"/>
    <tableColumn id="8674" xr3:uid="{8AF102A8-A163-45AB-B0F8-BC45627D875D}" name="Column8672"/>
    <tableColumn id="8675" xr3:uid="{2CF2C7EF-DCC7-4465-A447-124426D9327C}" name="Column8673"/>
    <tableColumn id="8676" xr3:uid="{5F86DB06-106A-443D-97A4-C38E39E6D887}" name="Column8674"/>
    <tableColumn id="8677" xr3:uid="{7539304C-E5CA-44E0-85CD-A697EFED85D4}" name="Column8675"/>
    <tableColumn id="8678" xr3:uid="{4EA3B992-9FFD-4233-BF72-A2D2B2992170}" name="Column8676"/>
    <tableColumn id="8679" xr3:uid="{CD03F57C-BE92-4B9F-A357-25533BF8105C}" name="Column8677"/>
    <tableColumn id="8680" xr3:uid="{E226E661-D71B-47BC-860C-0665CBBC10B9}" name="Column8678"/>
    <tableColumn id="8681" xr3:uid="{74DB8345-1464-4F54-A569-475861E88FEC}" name="Column8679"/>
    <tableColumn id="8682" xr3:uid="{E6B76209-FFEC-4FD4-83F1-156712D34E92}" name="Column8680"/>
    <tableColumn id="8683" xr3:uid="{71FD5C42-29C7-4406-A985-AEE13EA2E631}" name="Column8681"/>
    <tableColumn id="8684" xr3:uid="{DA8D6FAC-24B0-4719-A66D-40BDEFE8E7C9}" name="Column8682"/>
    <tableColumn id="8685" xr3:uid="{8D6FC15E-6590-4C0F-8FC2-315690CCAFD8}" name="Column8683"/>
    <tableColumn id="8686" xr3:uid="{9595DBBF-A0DE-4A7E-B2E4-68B713BFFF6C}" name="Column8684"/>
    <tableColumn id="8687" xr3:uid="{77490826-24BB-4BA8-BD12-0921B8D76C7E}" name="Column8685"/>
    <tableColumn id="8688" xr3:uid="{6770E05F-87D0-4C52-9033-4CB19F770079}" name="Column8686"/>
    <tableColumn id="8689" xr3:uid="{BD353612-6F87-4577-A068-744B6E9DE759}" name="Column8687"/>
    <tableColumn id="8690" xr3:uid="{95BCF51C-5885-4F60-952B-601D157085A2}" name="Column8688"/>
    <tableColumn id="8691" xr3:uid="{F26468C1-7525-4CA6-A302-248F0C9BD265}" name="Column8689"/>
    <tableColumn id="8692" xr3:uid="{15A124E5-3C77-47A5-92E5-2889EB702202}" name="Column8690"/>
    <tableColumn id="8693" xr3:uid="{15D1F2F8-01C4-4D0F-ADE7-31BA9765120C}" name="Column8691"/>
    <tableColumn id="8694" xr3:uid="{78C8A00C-17D7-46DA-8D11-33C7D00FA9D7}" name="Column8692"/>
    <tableColumn id="8695" xr3:uid="{C5013EE1-4114-4A64-920A-AE589106916D}" name="Column8693"/>
    <tableColumn id="8696" xr3:uid="{24F77916-5129-4FB6-8F21-243FD1C2E1FE}" name="Column8694"/>
    <tableColumn id="8697" xr3:uid="{490EB561-9F0A-4160-808E-3346F9238138}" name="Column8695"/>
    <tableColumn id="8698" xr3:uid="{3DF0AF6B-58AE-490F-9C3B-F4B4E3B362BD}" name="Column8696"/>
    <tableColumn id="8699" xr3:uid="{5B33F187-1C62-4436-9455-2F6EFD8746AA}" name="Column8697"/>
    <tableColumn id="8700" xr3:uid="{FBFAD75B-18C8-40F8-B287-6A87050A908E}" name="Column8698"/>
    <tableColumn id="8701" xr3:uid="{1D13DBCE-EDFF-4CB5-9367-6C4266281B97}" name="Column8699"/>
    <tableColumn id="8702" xr3:uid="{4A27BE5E-B144-46A5-B477-DED176DB46D2}" name="Column8700"/>
    <tableColumn id="8703" xr3:uid="{831DCBF8-82C7-487F-8E7D-CACAC149862C}" name="Column8701"/>
    <tableColumn id="8704" xr3:uid="{91E1AA7A-5436-4D71-8ACE-E6316E015602}" name="Column8702"/>
    <tableColumn id="8705" xr3:uid="{074D030E-79D3-432B-B888-84AFD63A5619}" name="Column8703"/>
    <tableColumn id="8706" xr3:uid="{D18493F1-0A74-4E77-8B48-6EEAE17E4A1C}" name="Column8704"/>
    <tableColumn id="8707" xr3:uid="{4B6E1DEA-765B-4498-8857-649A45CCE1A4}" name="Column8705"/>
    <tableColumn id="8708" xr3:uid="{CE70FCE8-F65B-4005-B10C-0E749F4002DA}" name="Column8706"/>
    <tableColumn id="8709" xr3:uid="{8E3FD619-8148-4FA1-ACB3-6EAAF9853BE5}" name="Column8707"/>
    <tableColumn id="8710" xr3:uid="{5DE85E2F-8E73-4C77-8FD3-630AB11E329D}" name="Column8708"/>
    <tableColumn id="8711" xr3:uid="{36A96AC2-B6FC-4D74-8E99-2A9B40689531}" name="Column8709"/>
    <tableColumn id="8712" xr3:uid="{4F08B03A-C542-4805-8BB3-5CE9167F5F97}" name="Column8710"/>
    <tableColumn id="8713" xr3:uid="{059D25C1-9A6C-46B3-A3D4-EB930F1B93AF}" name="Column8711"/>
    <tableColumn id="8714" xr3:uid="{FC332EC8-71BD-4357-8831-3B39C534F785}" name="Column8712"/>
    <tableColumn id="8715" xr3:uid="{CA1C1513-6C10-4738-BF59-9C32463A38B3}" name="Column8713"/>
    <tableColumn id="8716" xr3:uid="{826D89AC-DF79-4D32-9D42-34702B6D7D12}" name="Column8714"/>
    <tableColumn id="8717" xr3:uid="{A918162C-2165-41C1-8BA2-E9F34BC637CE}" name="Column8715"/>
    <tableColumn id="8718" xr3:uid="{0B134B66-2E3D-48BA-BC4C-F6ECA6747BF6}" name="Column8716"/>
    <tableColumn id="8719" xr3:uid="{85EA9CCF-CB4C-4ED8-B153-C0BB528406DB}" name="Column8717"/>
    <tableColumn id="8720" xr3:uid="{FBA4563F-D66C-4C1D-8F28-8C225B979750}" name="Column8718"/>
    <tableColumn id="8721" xr3:uid="{F58A5130-FEC1-4C7A-B888-4448B0AFA6F1}" name="Column8719"/>
    <tableColumn id="8722" xr3:uid="{DCEE3B9D-C170-47C2-8DBE-80D88A624E05}" name="Column8720"/>
    <tableColumn id="8723" xr3:uid="{2B3725C8-1DE9-4CDD-B63F-D742BE20399E}" name="Column8721"/>
    <tableColumn id="8724" xr3:uid="{E1E3E2FF-6071-4214-AF14-8EAEAFBF9161}" name="Column8722"/>
    <tableColumn id="8725" xr3:uid="{534763E8-1B2B-4D48-9186-D4FF912EA091}" name="Column8723"/>
    <tableColumn id="8726" xr3:uid="{0D0C6F44-7781-40F5-8C13-7B39D150144A}" name="Column8724"/>
    <tableColumn id="8727" xr3:uid="{196C0657-F017-463C-84B4-183067B0718F}" name="Column8725"/>
    <tableColumn id="8728" xr3:uid="{B9CD91C5-C557-4451-B84C-8C1C6F3B37FD}" name="Column8726"/>
    <tableColumn id="8729" xr3:uid="{BAFDE9E8-3A94-4834-B9D9-EB84B69F2346}" name="Column8727"/>
    <tableColumn id="8730" xr3:uid="{D2F0F93F-5F55-468B-B1C8-0942ADEC88A1}" name="Column8728"/>
    <tableColumn id="8731" xr3:uid="{9999B888-7E15-4247-83A9-78718171E2A2}" name="Column8729"/>
    <tableColumn id="8732" xr3:uid="{084D9C6A-B471-4847-A1BB-3466F50C77DC}" name="Column8730"/>
    <tableColumn id="8733" xr3:uid="{2BC467D1-73F9-4B1E-8CF0-62F87BAEE72D}" name="Column8731"/>
    <tableColumn id="8734" xr3:uid="{75A52983-7CFB-49C9-9F1D-987FDA3EBF8E}" name="Column8732"/>
    <tableColumn id="8735" xr3:uid="{9C51282C-71E4-4B1C-900D-B8B7BF849C8F}" name="Column8733"/>
    <tableColumn id="8736" xr3:uid="{1EAE5957-1AE0-4604-A518-AF249FC46FDF}" name="Column8734"/>
    <tableColumn id="8737" xr3:uid="{F5659491-67DC-4D4E-B83D-2C658FF4526E}" name="Column8735"/>
    <tableColumn id="8738" xr3:uid="{10DCD887-0369-4641-964C-FE5E58330432}" name="Column8736"/>
    <tableColumn id="8739" xr3:uid="{4CFB320D-D05E-4212-852D-EE429AB2CA06}" name="Column8737"/>
    <tableColumn id="8740" xr3:uid="{5FA9CA05-81D5-4450-A655-AFFD1B575F2D}" name="Column8738"/>
    <tableColumn id="8741" xr3:uid="{B61554AC-213F-4012-AF50-7BC0683A5067}" name="Column8739"/>
    <tableColumn id="8742" xr3:uid="{455DA184-EE67-4ABA-8673-D65BD528D610}" name="Column8740"/>
    <tableColumn id="8743" xr3:uid="{399EE228-5C9E-4EC6-B5E4-9ADB50AF9068}" name="Column8741"/>
    <tableColumn id="8744" xr3:uid="{2C2180D7-80F3-440D-8235-BF0A85A2E2BB}" name="Column8742"/>
    <tableColumn id="8745" xr3:uid="{E8381478-E586-485D-9F80-8E0C0D6A8729}" name="Column8743"/>
    <tableColumn id="8746" xr3:uid="{F8F1A679-B7DD-468F-94F1-76AA7AC3E349}" name="Column8744"/>
    <tableColumn id="8747" xr3:uid="{A437AEB3-F0EE-480D-AC26-91EFEC276BAE}" name="Column8745"/>
    <tableColumn id="8748" xr3:uid="{6CF195AE-60E1-434A-8503-C39EDA18F0A4}" name="Column8746"/>
    <tableColumn id="8749" xr3:uid="{7F4684B7-EFF4-41D0-BE24-C003967D9619}" name="Column8747"/>
    <tableColumn id="8750" xr3:uid="{2602711E-05F6-4D34-853D-6A37FCC9935B}" name="Column8748"/>
    <tableColumn id="8751" xr3:uid="{C0803BE1-E52B-4BDB-9BE6-2FD5D6438AC6}" name="Column8749"/>
    <tableColumn id="8752" xr3:uid="{965F0CF5-DA0A-44F8-8C5C-582FC791EC59}" name="Column8750"/>
    <tableColumn id="8753" xr3:uid="{1440AA67-F860-455F-AF10-CEBBF569A8E0}" name="Column8751"/>
    <tableColumn id="8754" xr3:uid="{865D5C88-34C3-4E83-869E-90B4DC21A2EF}" name="Column8752"/>
    <tableColumn id="8755" xr3:uid="{56320832-84B7-4579-913C-91CF28A2DD51}" name="Column8753"/>
    <tableColumn id="8756" xr3:uid="{2B5A7CD0-D947-49A6-95CB-2B4E340E47E9}" name="Column8754"/>
    <tableColumn id="8757" xr3:uid="{95657B36-A1EC-477E-B6E9-7A71F06736C7}" name="Column8755"/>
    <tableColumn id="8758" xr3:uid="{4F0413E7-0F23-4A76-9849-5F91A1FFF36A}" name="Column8756"/>
    <tableColumn id="8759" xr3:uid="{13180182-17C9-4CD4-9A8D-549FEF74D6F8}" name="Column8757"/>
    <tableColumn id="8760" xr3:uid="{0B7E4F7A-AAA4-4369-9E00-6921BE7D80E3}" name="Column8758"/>
    <tableColumn id="8761" xr3:uid="{9D4B1D12-C52A-4840-9D1F-E0083FC3CF46}" name="Column8759"/>
    <tableColumn id="8762" xr3:uid="{87417A11-B0B8-4BA7-BE7E-16AFAA6B459C}" name="Column8760"/>
    <tableColumn id="8763" xr3:uid="{4702B822-2003-4449-BB5E-91B44DB194AE}" name="Column8761"/>
    <tableColumn id="8764" xr3:uid="{AED85ACF-E515-47A9-8C82-0E9010FB1841}" name="Column8762"/>
    <tableColumn id="8765" xr3:uid="{C265E8C6-1C3C-41E4-871F-59E12AFB7260}" name="Column8763"/>
    <tableColumn id="8766" xr3:uid="{ED628584-A635-40EE-AC87-77EC7316526F}" name="Column8764"/>
    <tableColumn id="8767" xr3:uid="{A27806F7-E342-4AAD-A8D9-EE16BC28648E}" name="Column8765"/>
    <tableColumn id="8768" xr3:uid="{8E1D328F-7C01-49E5-8A21-3A1D17D99B9A}" name="Column8766"/>
    <tableColumn id="8769" xr3:uid="{2691A51F-64CA-411E-B2EB-1674B2E0E8B9}" name="Column8767"/>
    <tableColumn id="8770" xr3:uid="{13DA78D5-A3E7-49BB-B797-38127839F773}" name="Column8768"/>
    <tableColumn id="8771" xr3:uid="{139FB1B7-275E-4C72-8597-22CC9803A38D}" name="Column8769"/>
    <tableColumn id="8772" xr3:uid="{736535C6-4827-4E2E-92E4-59129C6D6305}" name="Column8770"/>
    <tableColumn id="8773" xr3:uid="{69D6F798-9217-42A4-A816-977A22099F94}" name="Column8771"/>
    <tableColumn id="8774" xr3:uid="{C197A2D2-5081-465C-B7D7-7D6792B9AA87}" name="Column8772"/>
    <tableColumn id="8775" xr3:uid="{82AD3800-B6A0-4E7C-A8C4-D46D751D247A}" name="Column8773"/>
    <tableColumn id="8776" xr3:uid="{023772A4-BC8B-4FD7-92AF-89019332904F}" name="Column8774"/>
    <tableColumn id="8777" xr3:uid="{2262FBA5-7B4F-48E9-BD70-5A449DCAB08D}" name="Column8775"/>
    <tableColumn id="8778" xr3:uid="{F188FB0D-88E4-455F-ABD2-2EC9000CB89A}" name="Column8776"/>
    <tableColumn id="8779" xr3:uid="{AD0CA575-9A53-4016-9EBD-25ADEF003F3F}" name="Column8777"/>
    <tableColumn id="8780" xr3:uid="{5D42DF07-D677-4D2B-A874-9A8604528B07}" name="Column8778"/>
    <tableColumn id="8781" xr3:uid="{A4AD54FE-8B47-4D4C-83C1-B5BB29AFE7BA}" name="Column8779"/>
    <tableColumn id="8782" xr3:uid="{2582E9C8-911D-42CC-BEC5-2FA7A5877B4F}" name="Column8780"/>
    <tableColumn id="8783" xr3:uid="{184E8538-E5F8-43A1-84E5-526109432C10}" name="Column8781"/>
    <tableColumn id="8784" xr3:uid="{08C81EA3-B5AD-44B4-959B-CA4A54F8191F}" name="Column8782"/>
    <tableColumn id="8785" xr3:uid="{9E66B4CF-5BA8-4AC6-A1D9-A3D2EAEC9632}" name="Column8783"/>
    <tableColumn id="8786" xr3:uid="{6C61C4B3-04B0-43AC-87C7-A34D8C2B3817}" name="Column8784"/>
    <tableColumn id="8787" xr3:uid="{CF5AA0FC-7DF5-4FAC-A6D7-2F8CC58525A2}" name="Column8785"/>
    <tableColumn id="8788" xr3:uid="{2ABE171F-1767-45BB-A4B8-BD4B48C560F2}" name="Column8786"/>
    <tableColumn id="8789" xr3:uid="{2690754D-C25A-4666-8FBA-C01320C060D1}" name="Column8787"/>
    <tableColumn id="8790" xr3:uid="{B411C30B-FE83-4BF8-B0B8-75C0B4D11DB2}" name="Column8788"/>
    <tableColumn id="8791" xr3:uid="{754ACC83-F844-4621-9D2D-B4FA9ADDD8A7}" name="Column8789"/>
    <tableColumn id="8792" xr3:uid="{63BC244B-DBDF-48AB-8E65-BC38D064E6C4}" name="Column8790"/>
    <tableColumn id="8793" xr3:uid="{E624AD09-E9E0-41CB-A637-A6EE8C100C6A}" name="Column8791"/>
    <tableColumn id="8794" xr3:uid="{FBAC6B06-C8B7-4E83-89B4-C82042CC0226}" name="Column8792"/>
    <tableColumn id="8795" xr3:uid="{07D17DF1-D774-4184-BF61-7975E135CF4D}" name="Column8793"/>
    <tableColumn id="8796" xr3:uid="{7A5B9A33-847E-4D6C-930D-8A69B54F22F2}" name="Column8794"/>
    <tableColumn id="8797" xr3:uid="{70CB96C5-1744-4629-805F-08B329F58398}" name="Column8795"/>
    <tableColumn id="8798" xr3:uid="{0CE0F564-EB81-4DF1-9793-53D28E6C64AD}" name="Column8796"/>
    <tableColumn id="8799" xr3:uid="{B69835A6-EDA6-4B8E-AD9F-FE9AB7F12739}" name="Column8797"/>
    <tableColumn id="8800" xr3:uid="{28DE189D-32C8-45FE-A648-DEDFCBC93125}" name="Column8798"/>
    <tableColumn id="8801" xr3:uid="{721B34BD-53F6-494A-B7A6-0B3D78FE2E88}" name="Column8799"/>
    <tableColumn id="8802" xr3:uid="{F524BD30-B4D1-4244-AFD5-F0B0ADFFF11E}" name="Column8800"/>
    <tableColumn id="8803" xr3:uid="{5FF7C22A-2A14-4D64-9194-DB0174A44B0F}" name="Column8801"/>
    <tableColumn id="8804" xr3:uid="{6CFA8D89-C318-437E-9685-3ACF5EEA4266}" name="Column8802"/>
    <tableColumn id="8805" xr3:uid="{269E2B64-5236-4EF5-AB94-7E9500B1AB3A}" name="Column8803"/>
    <tableColumn id="8806" xr3:uid="{311A1240-4330-470A-A60E-94954C3B8C27}" name="Column8804"/>
    <tableColumn id="8807" xr3:uid="{7C079A7F-8D0B-473F-9E4D-7C64100B58DE}" name="Column8805"/>
    <tableColumn id="8808" xr3:uid="{EAD55D37-2F03-4D4E-818F-284A17A1174B}" name="Column8806"/>
    <tableColumn id="8809" xr3:uid="{592CE0FB-45AA-406C-867A-DBD7F6263240}" name="Column8807"/>
    <tableColumn id="8810" xr3:uid="{870302DB-35DD-491D-BEC5-5827D7B7BE62}" name="Column8808"/>
    <tableColumn id="8811" xr3:uid="{1B228628-AEE7-43CD-931F-AC8260A32724}" name="Column8809"/>
    <tableColumn id="8812" xr3:uid="{A9ADA84D-3F12-4F67-8876-D200BE627F5D}" name="Column8810"/>
    <tableColumn id="8813" xr3:uid="{02729290-EA48-425C-A9B7-52AE16F05C62}" name="Column8811"/>
    <tableColumn id="8814" xr3:uid="{E4F74336-062E-45D0-88F1-8B272FC1F1A5}" name="Column8812"/>
    <tableColumn id="8815" xr3:uid="{495A5FF3-7446-4EDE-9A52-DFC4B4EA3935}" name="Column8813"/>
    <tableColumn id="8816" xr3:uid="{F65F839C-5E3A-47E5-ADAB-663B2F916805}" name="Column8814"/>
    <tableColumn id="8817" xr3:uid="{B596D790-2829-4DF1-9F26-D978909258FB}" name="Column8815"/>
    <tableColumn id="8818" xr3:uid="{81907FD5-717B-45CD-BEFF-A41857967F12}" name="Column8816"/>
    <tableColumn id="8819" xr3:uid="{2E674596-BE38-41FE-98AE-7CA998FE56C9}" name="Column8817"/>
    <tableColumn id="8820" xr3:uid="{CC984ACC-B1DF-42BD-BD80-D8A3D2D4AEFE}" name="Column8818"/>
    <tableColumn id="8821" xr3:uid="{AC976214-2C3E-4444-A89F-D0B75B67E6B2}" name="Column8819"/>
    <tableColumn id="8822" xr3:uid="{F9384545-354F-4C2E-A278-627125CC7FC6}" name="Column8820"/>
    <tableColumn id="8823" xr3:uid="{57672C6A-F238-4F64-B3C1-2D35B88D0E1A}" name="Column8821"/>
    <tableColumn id="8824" xr3:uid="{20E833C7-E8A0-4D3E-8285-E8D063F40019}" name="Column8822"/>
    <tableColumn id="8825" xr3:uid="{2CCBD247-68B0-4096-B266-A41B43A2B0B0}" name="Column8823"/>
    <tableColumn id="8826" xr3:uid="{C9008BDE-3116-4E6C-9920-EC43781699EF}" name="Column8824"/>
    <tableColumn id="8827" xr3:uid="{B1308948-F3E7-4269-97E6-90E57F647516}" name="Column8825"/>
    <tableColumn id="8828" xr3:uid="{FE68F2BD-1376-459C-89D6-4BAAA424B146}" name="Column8826"/>
    <tableColumn id="8829" xr3:uid="{AFB2C644-F746-4DAC-9668-CA2E537319A7}" name="Column8827"/>
    <tableColumn id="8830" xr3:uid="{0C861D83-A008-4EEA-ABF2-C7AB8A40DFCB}" name="Column8828"/>
    <tableColumn id="8831" xr3:uid="{9366BD76-96FF-4622-8E9A-2486BF2A1897}" name="Column8829"/>
    <tableColumn id="8832" xr3:uid="{7162929B-5098-45C0-ACC4-151A7FAA124F}" name="Column8830"/>
    <tableColumn id="8833" xr3:uid="{414C0E75-14DC-4A5C-9F50-F7C0B73EC75B}" name="Column8831"/>
    <tableColumn id="8834" xr3:uid="{AFF8CA7B-B6F8-46E1-B7A6-E7A15E3F2C64}" name="Column8832"/>
    <tableColumn id="8835" xr3:uid="{C0A8B658-58AB-45D1-9CC6-D8935FDD8C3D}" name="Column8833"/>
    <tableColumn id="8836" xr3:uid="{7541CAA0-D6E7-4D6F-B8BD-B765AB05FA3F}" name="Column8834"/>
    <tableColumn id="8837" xr3:uid="{9C75FB01-B0DD-4A4A-A55E-8D003C255B1E}" name="Column8835"/>
    <tableColumn id="8838" xr3:uid="{15786386-DE6A-4E8B-AB78-5E26399A5D3A}" name="Column8836"/>
    <tableColumn id="8839" xr3:uid="{8D2DC813-4389-47FC-9EE6-5B7BE39808FD}" name="Column8837"/>
    <tableColumn id="8840" xr3:uid="{2291F7AE-4A31-499F-A1AC-68A3693127CD}" name="Column8838"/>
    <tableColumn id="8841" xr3:uid="{B1BCAA09-BBDD-4F2D-AFD4-3D73E8106278}" name="Column8839"/>
    <tableColumn id="8842" xr3:uid="{87D18F58-A058-4B3E-9755-F54238B97272}" name="Column8840"/>
    <tableColumn id="8843" xr3:uid="{94BA6489-6EF9-488F-8221-1F69FACFDD66}" name="Column8841"/>
    <tableColumn id="8844" xr3:uid="{ED46AB05-8616-4CE9-8762-060ED4A35653}" name="Column8842"/>
    <tableColumn id="8845" xr3:uid="{5A14F300-C8E4-4134-A401-AAFFD3038E18}" name="Column8843"/>
    <tableColumn id="8846" xr3:uid="{0DEA3F7F-C873-4037-B45C-8FA5038FD187}" name="Column8844"/>
    <tableColumn id="8847" xr3:uid="{8AA1F4FB-C210-4745-B8EA-CFFCAC0E80B5}" name="Column8845"/>
    <tableColumn id="8848" xr3:uid="{2C6D4E09-DA15-45F8-96D8-7DFC975BEE9E}" name="Column8846"/>
    <tableColumn id="8849" xr3:uid="{4DCE3926-371C-4119-A6E1-8B66657F687C}" name="Column8847"/>
    <tableColumn id="8850" xr3:uid="{53E62EBE-ED30-4962-BCFC-907A04BD1DAB}" name="Column8848"/>
    <tableColumn id="8851" xr3:uid="{C97F977C-3699-4A60-8AF2-96C72EF3E814}" name="Column8849"/>
    <tableColumn id="8852" xr3:uid="{823FE84D-3D52-4D03-BA71-223269B607E7}" name="Column8850"/>
    <tableColumn id="8853" xr3:uid="{3FCD726C-A1D4-43BE-A1B8-1F604FAC95F4}" name="Column8851"/>
    <tableColumn id="8854" xr3:uid="{C9477350-BAA2-4F69-9386-A908D0FFB380}" name="Column8852"/>
    <tableColumn id="8855" xr3:uid="{00011915-3329-4707-9EAB-2493BE39BDEA}" name="Column8853"/>
    <tableColumn id="8856" xr3:uid="{6F2D517B-0E98-40BF-BA94-4F6381C1CE1F}" name="Column8854"/>
    <tableColumn id="8857" xr3:uid="{4D6647CF-60CD-4D7B-BD71-D6A94842B946}" name="Column8855"/>
    <tableColumn id="8858" xr3:uid="{AEF887AE-7B42-4356-8789-55D340661410}" name="Column8856"/>
    <tableColumn id="8859" xr3:uid="{12537C33-EF9A-46CB-BE2E-D103E4034F7B}" name="Column8857"/>
    <tableColumn id="8860" xr3:uid="{E11EE143-2AC4-4257-A0E5-9ADE4F815780}" name="Column8858"/>
    <tableColumn id="8861" xr3:uid="{3ECC7CAC-BE5A-4A15-8897-D11ECC3EB157}" name="Column8859"/>
    <tableColumn id="8862" xr3:uid="{123D4E24-2272-4210-8233-9E1FF696AAF1}" name="Column8860"/>
    <tableColumn id="8863" xr3:uid="{6D33C29B-2FD1-4E60-A84B-13477C96ED08}" name="Column8861"/>
    <tableColumn id="8864" xr3:uid="{1A2E363B-249E-474A-9DC1-2FF4C6BE48B4}" name="Column8862"/>
    <tableColumn id="8865" xr3:uid="{DBAE900F-6F13-498A-9F8B-DE1430E4941D}" name="Column8863"/>
    <tableColumn id="8866" xr3:uid="{BA196EF3-7834-4572-BF28-3CB207578D70}" name="Column8864"/>
    <tableColumn id="8867" xr3:uid="{5A7027E1-6040-42CA-AB10-0E9BF5C3ADFF}" name="Column8865"/>
    <tableColumn id="8868" xr3:uid="{261021FC-0E26-4521-B02F-E8CE7A224F75}" name="Column8866"/>
    <tableColumn id="8869" xr3:uid="{3EC6A0F4-FF84-4C68-BA62-B1AE61A86C5E}" name="Column8867"/>
    <tableColumn id="8870" xr3:uid="{98F6632E-502A-457B-9540-C636B3C14910}" name="Column8868"/>
    <tableColumn id="8871" xr3:uid="{5CDB73C1-3E52-4367-91BC-3A9971E2FA70}" name="Column8869"/>
    <tableColumn id="8872" xr3:uid="{EBD0E678-18F9-4898-B75D-0E8066153277}" name="Column8870"/>
    <tableColumn id="8873" xr3:uid="{6F653B55-A552-4C11-B079-64E2B1D7976B}" name="Column8871"/>
    <tableColumn id="8874" xr3:uid="{C6C87DC9-19E7-4CB0-AE76-659DA7FE2F2E}" name="Column8872"/>
    <tableColumn id="8875" xr3:uid="{5E046FC3-4272-4B4C-B78A-577B37D7AF98}" name="Column8873"/>
    <tableColumn id="8876" xr3:uid="{81D3E2A6-80F8-44DB-8564-7E30DD07B14D}" name="Column8874"/>
    <tableColumn id="8877" xr3:uid="{854324E7-919D-4CB4-ABA5-1177EBA2E87C}" name="Column8875"/>
    <tableColumn id="8878" xr3:uid="{15DF84A4-E51F-4EAF-A0F8-E4A48F360FED}" name="Column8876"/>
    <tableColumn id="8879" xr3:uid="{EF0413C0-6F3F-41C6-BEAF-9B69978228C1}" name="Column8877"/>
    <tableColumn id="8880" xr3:uid="{64F2538C-4F03-4E3F-9590-FD72AC4DB6C3}" name="Column8878"/>
    <tableColumn id="8881" xr3:uid="{F4525E02-37AD-4CF3-A880-8C69E7C41E68}" name="Column8879"/>
    <tableColumn id="8882" xr3:uid="{F026B776-5190-447A-A5D9-D7A9468ADC8B}" name="Column8880"/>
    <tableColumn id="8883" xr3:uid="{07F564FB-BA00-4F54-9FB1-84C5396B06CD}" name="Column8881"/>
    <tableColumn id="8884" xr3:uid="{440F20E3-EBD1-4CC4-824A-AAADC88AB2FA}" name="Column8882"/>
    <tableColumn id="8885" xr3:uid="{F2D10CCD-B11F-4003-AB4C-9EC041E1159E}" name="Column8883"/>
    <tableColumn id="8886" xr3:uid="{2CAD97CA-D268-4929-A713-1CDA38E5070E}" name="Column8884"/>
    <tableColumn id="8887" xr3:uid="{D25E9685-A976-4557-9A3F-9BE219A8EB42}" name="Column8885"/>
    <tableColumn id="8888" xr3:uid="{7D721606-9F06-405A-81DC-084DB9F67686}" name="Column8886"/>
    <tableColumn id="8889" xr3:uid="{97AC4E55-E3B2-45B9-8666-35D603056677}" name="Column8887"/>
    <tableColumn id="8890" xr3:uid="{628F27E5-93BB-4303-A745-77971769F30D}" name="Column8888"/>
    <tableColumn id="8891" xr3:uid="{EAC466A2-54FE-48A7-B03C-28B56833F2E3}" name="Column8889"/>
    <tableColumn id="8892" xr3:uid="{E7DB1775-AC35-4D69-B0D7-B027469DBA4D}" name="Column8890"/>
    <tableColumn id="8893" xr3:uid="{F3E1B721-3666-4B91-B82D-45D4CA4219F9}" name="Column8891"/>
    <tableColumn id="8894" xr3:uid="{11341578-6BEC-449A-8C0A-F46F11B3CD9D}" name="Column8892"/>
    <tableColumn id="8895" xr3:uid="{0D705C55-4F61-46A3-A8D0-00FB345F3CCB}" name="Column8893"/>
    <tableColumn id="8896" xr3:uid="{65D85064-DEC7-4E22-92F3-05D0EB620068}" name="Column8894"/>
    <tableColumn id="8897" xr3:uid="{8CD6D38B-7FB2-40EE-A6E4-53275A72C5C4}" name="Column8895"/>
    <tableColumn id="8898" xr3:uid="{8388CC05-D39F-42D7-9FC5-958A5228970A}" name="Column8896"/>
    <tableColumn id="8899" xr3:uid="{62639C73-2887-4639-A92F-84DDF260B48F}" name="Column8897"/>
    <tableColumn id="8900" xr3:uid="{FA976345-A38B-4B43-AFA6-3C5ACE7CA6C7}" name="Column8898"/>
    <tableColumn id="8901" xr3:uid="{6EDDDE6A-53B5-48C1-87D1-0803197C4526}" name="Column8899"/>
    <tableColumn id="8902" xr3:uid="{EACD96E9-58F6-4D4B-9A8C-E180FAABBA38}" name="Column8900"/>
    <tableColumn id="8903" xr3:uid="{F1CE6C7D-ED7B-4017-929F-488F346513BF}" name="Column8901"/>
    <tableColumn id="8904" xr3:uid="{EDFCD82F-1B8E-4E16-B222-8E8829018C85}" name="Column8902"/>
    <tableColumn id="8905" xr3:uid="{0ADE3AA2-91CA-4305-910C-9AD5596CA253}" name="Column8903"/>
    <tableColumn id="8906" xr3:uid="{2992D0F6-44CC-44EE-8D65-A48A98A38C09}" name="Column8904"/>
    <tableColumn id="8907" xr3:uid="{ED6228D5-B334-4D36-A0FC-A7A812E7D9E3}" name="Column8905"/>
    <tableColumn id="8908" xr3:uid="{A639E841-890F-4C55-90B1-5A4FEA89AC69}" name="Column8906"/>
    <tableColumn id="8909" xr3:uid="{AEF7FBF0-A0E4-476D-AF0F-6331028F7877}" name="Column8907"/>
    <tableColumn id="8910" xr3:uid="{C9FE6B17-7C3E-4CDE-90E6-A05BC2989801}" name="Column8908"/>
    <tableColumn id="8911" xr3:uid="{B25690B1-3519-408B-86EE-ECC63DB8E104}" name="Column8909"/>
    <tableColumn id="8912" xr3:uid="{D43B31DA-0B1B-4BF6-A463-1473B4C6F7DF}" name="Column8910"/>
    <tableColumn id="8913" xr3:uid="{D0722A99-EBFE-4249-9F8B-574CAC9E5C6B}" name="Column8911"/>
    <tableColumn id="8914" xr3:uid="{8B90C407-FC57-442E-89E9-E18A51C40BBD}" name="Column8912"/>
    <tableColumn id="8915" xr3:uid="{D119DDC1-043E-414A-8779-3889D00C0E1F}" name="Column8913"/>
    <tableColumn id="8916" xr3:uid="{1D15A028-1415-479E-8B8C-98AEF80F02FC}" name="Column8914"/>
    <tableColumn id="8917" xr3:uid="{0AECA8D8-3C1A-4E8A-AB72-969DDE88C77D}" name="Column8915"/>
    <tableColumn id="8918" xr3:uid="{AC395D8A-C305-4F64-B6E6-259B70070772}" name="Column8916"/>
    <tableColumn id="8919" xr3:uid="{5A5AE112-1CBF-47BF-9E78-EF525EA59C2F}" name="Column8917"/>
    <tableColumn id="8920" xr3:uid="{6A8B5B54-C821-413A-B1D3-4BB4B3D20E64}" name="Column8918"/>
    <tableColumn id="8921" xr3:uid="{87E62C5C-9ADE-4F8F-B76B-69D3432308C9}" name="Column8919"/>
    <tableColumn id="8922" xr3:uid="{B4DA4361-7F3E-40D6-A8FC-87EA06467D4C}" name="Column8920"/>
    <tableColumn id="8923" xr3:uid="{94EEC54D-E2F4-4039-8147-D8F060F078AC}" name="Column8921"/>
    <tableColumn id="8924" xr3:uid="{9D8F4B2D-F444-482A-A9FF-EF4B50093C78}" name="Column8922"/>
    <tableColumn id="8925" xr3:uid="{3B09EF97-6D9B-4176-9DBD-19F469E68821}" name="Column8923"/>
    <tableColumn id="8926" xr3:uid="{189D1EB7-49D7-4CC1-AE9A-F6BD26A75A88}" name="Column8924"/>
    <tableColumn id="8927" xr3:uid="{3FBDF800-FDBE-4879-BB7C-35AACF8FB7D1}" name="Column8925"/>
    <tableColumn id="8928" xr3:uid="{17F2AD73-77D5-4C7E-ACC7-925986A47B42}" name="Column8926"/>
    <tableColumn id="8929" xr3:uid="{814B543A-0157-4568-9595-F7DB030F7E5D}" name="Column8927"/>
    <tableColumn id="8930" xr3:uid="{36CF867D-055F-43BF-A1CA-AE2088F3F27F}" name="Column8928"/>
    <tableColumn id="8931" xr3:uid="{C8A66CB3-5D5F-4FF5-B91C-0C284FFF270D}" name="Column8929"/>
    <tableColumn id="8932" xr3:uid="{E928B552-400A-4325-90D6-A16FA2925673}" name="Column8930"/>
    <tableColumn id="8933" xr3:uid="{6F2022A4-DEF9-4CFB-BC55-C0169E72F5DC}" name="Column8931"/>
    <tableColumn id="8934" xr3:uid="{16940D3B-2A95-4FCC-BA72-2CC3513AFBE4}" name="Column8932"/>
    <tableColumn id="8935" xr3:uid="{B3A82900-4CC2-429B-A1D3-C80B3B349943}" name="Column8933"/>
    <tableColumn id="8936" xr3:uid="{548DEFD0-4B62-4969-ACEC-FE7D5A392261}" name="Column8934"/>
    <tableColumn id="8937" xr3:uid="{ACF83D31-3771-4F3A-938C-3DE90204AD38}" name="Column8935"/>
    <tableColumn id="8938" xr3:uid="{FCC8B642-EE1F-492F-B98B-EC147148CE7D}" name="Column8936"/>
    <tableColumn id="8939" xr3:uid="{91996645-C139-461C-A4C3-584A297E1E00}" name="Column8937"/>
    <tableColumn id="8940" xr3:uid="{1B5EA11D-CEDC-4F0D-83CF-0BAD418C4A50}" name="Column8938"/>
    <tableColumn id="8941" xr3:uid="{D35E72D3-798B-4D6E-9CBB-E9A67CD8DFC1}" name="Column8939"/>
    <tableColumn id="8942" xr3:uid="{80855F5B-C0F4-4FD2-9290-D57DBF76328C}" name="Column8940"/>
    <tableColumn id="8943" xr3:uid="{CC7EB44A-6605-43F8-BD7F-19AF68725D66}" name="Column8941"/>
    <tableColumn id="8944" xr3:uid="{B65F5DAB-6E1F-4D05-BD16-8BC8844F3089}" name="Column8942"/>
    <tableColumn id="8945" xr3:uid="{DCC2F6D6-D4B2-4320-AA47-2C4B71A42F5F}" name="Column8943"/>
    <tableColumn id="8946" xr3:uid="{E1A9B0E6-5C70-4B1F-9B00-515BB391137B}" name="Column8944"/>
    <tableColumn id="8947" xr3:uid="{56FF4DFE-E6D3-4DC3-9D2F-B4B1E69AA2D1}" name="Column8945"/>
    <tableColumn id="8948" xr3:uid="{456103D9-D1B8-47F4-8996-68BC03FBBF4A}" name="Column8946"/>
    <tableColumn id="8949" xr3:uid="{B7FFD327-768C-4115-BE13-1F63131C2D7A}" name="Column8947"/>
    <tableColumn id="8950" xr3:uid="{D93FC71E-CEEA-4704-A5A9-231B43812DE5}" name="Column8948"/>
    <tableColumn id="8951" xr3:uid="{F307EFB8-3119-46B1-8FCB-C6BCCD683CC3}" name="Column8949"/>
    <tableColumn id="8952" xr3:uid="{32E6D281-880E-4F76-9019-55347A0898E6}" name="Column8950"/>
    <tableColumn id="8953" xr3:uid="{88B27902-C5F1-48F0-A554-662D3846EE10}" name="Column8951"/>
    <tableColumn id="8954" xr3:uid="{AAF6EB60-D4B9-4F7D-931D-E3B54510539A}" name="Column8952"/>
    <tableColumn id="8955" xr3:uid="{7D3B40D1-AA34-48EC-B23A-3E749C23BC88}" name="Column8953"/>
    <tableColumn id="8956" xr3:uid="{0C03AAD4-F03D-479F-A518-1DC3EF03947C}" name="Column8954"/>
    <tableColumn id="8957" xr3:uid="{0F8D59BB-AD4A-4C71-92CC-BDA78B45AD9C}" name="Column8955"/>
    <tableColumn id="8958" xr3:uid="{861E6E65-D0C6-4B96-810F-AEBC727A3A25}" name="Column8956"/>
    <tableColumn id="8959" xr3:uid="{5BB63E11-D201-4734-B200-EA87F47DF128}" name="Column8957"/>
    <tableColumn id="8960" xr3:uid="{16634F44-AF68-418D-8059-867542F97A0F}" name="Column8958"/>
    <tableColumn id="8961" xr3:uid="{64B542AD-0DF6-44AD-97EC-185E78A72617}" name="Column8959"/>
    <tableColumn id="8962" xr3:uid="{2081AF07-7D0A-4B11-948D-B32B3B637DEE}" name="Column8960"/>
    <tableColumn id="8963" xr3:uid="{EDBC08ED-9FBF-4C54-A6D4-095636C39F07}" name="Column8961"/>
    <tableColumn id="8964" xr3:uid="{E27BF9D8-C180-4FBD-BE00-4E521D12E0CC}" name="Column8962"/>
    <tableColumn id="8965" xr3:uid="{EEDA5D12-0023-4210-898C-9758CFA63249}" name="Column8963"/>
    <tableColumn id="8966" xr3:uid="{7F52FFD2-8980-45B5-836C-8C80E0ED1F72}" name="Column8964"/>
    <tableColumn id="8967" xr3:uid="{BF70AE08-C6B5-4A43-A456-D5946E91B4DD}" name="Column8965"/>
    <tableColumn id="8968" xr3:uid="{640DF447-9331-4F39-866B-2F4E15C85666}" name="Column8966"/>
    <tableColumn id="8969" xr3:uid="{2F4DDBBC-5F7C-459F-B697-208226F94FD8}" name="Column8967"/>
    <tableColumn id="8970" xr3:uid="{53A6BB0E-C2AE-4498-9056-1F38E423A008}" name="Column8968"/>
    <tableColumn id="8971" xr3:uid="{F6A9944E-0AF9-4F43-9CF7-E53A316EDDA8}" name="Column8969"/>
    <tableColumn id="8972" xr3:uid="{6FF07332-F14B-4D51-A55D-4266A7927F74}" name="Column8970"/>
    <tableColumn id="8973" xr3:uid="{C3F29F66-5EC4-4F1B-9F18-A1F5621AAD87}" name="Column8971"/>
    <tableColumn id="8974" xr3:uid="{9089CF4C-72E1-451D-964D-AFE80B05E0A7}" name="Column8972"/>
    <tableColumn id="8975" xr3:uid="{818A8C47-0FF3-4640-A235-D834FC2988E2}" name="Column8973"/>
    <tableColumn id="8976" xr3:uid="{03D2711C-E1DA-4553-979C-61E32A523FBD}" name="Column8974"/>
    <tableColumn id="8977" xr3:uid="{C5C7F6CB-08C6-419A-BF5F-B056C6A0758B}" name="Column8975"/>
    <tableColumn id="8978" xr3:uid="{80920DA8-1AA9-4972-93D3-596FAB1468F3}" name="Column8976"/>
    <tableColumn id="8979" xr3:uid="{CDBEB0CF-A6E8-4082-A4F1-F8152E82CD5A}" name="Column8977"/>
    <tableColumn id="8980" xr3:uid="{5BA87FC1-683A-4A45-8578-F5D0D4029668}" name="Column8978"/>
    <tableColumn id="8981" xr3:uid="{E5777AD6-0BC4-4189-81C2-D540F6A92E6C}" name="Column8979"/>
    <tableColumn id="8982" xr3:uid="{8277D5E0-81AC-4531-83EF-4867A04AA7BD}" name="Column8980"/>
    <tableColumn id="8983" xr3:uid="{600DCD0B-D394-4836-8C2E-CBFC6EB05279}" name="Column8981"/>
    <tableColumn id="8984" xr3:uid="{B7664B3D-60FB-46BA-9491-4BB74241C17B}" name="Column8982"/>
    <tableColumn id="8985" xr3:uid="{015669EF-8E46-4995-8A00-5A8F050C413F}" name="Column8983"/>
    <tableColumn id="8986" xr3:uid="{F1B7FE65-D540-456C-9BCF-97F2FFA20BE6}" name="Column8984"/>
    <tableColumn id="8987" xr3:uid="{15FB6C93-E695-4269-B8F6-F2D5EEBBC5EC}" name="Column8985"/>
    <tableColumn id="8988" xr3:uid="{022A6A21-1D9C-4244-AF2D-0071ACA0C58A}" name="Column8986"/>
    <tableColumn id="8989" xr3:uid="{427B16E6-B4FD-466C-9773-0DFD6A4BD0FD}" name="Column8987"/>
    <tableColumn id="8990" xr3:uid="{1C45500B-B9EA-4CBE-A8E7-B7EBA52FC505}" name="Column8988"/>
    <tableColumn id="8991" xr3:uid="{EC4C5D5B-5A28-4E36-9B8A-E94ED71D8A7C}" name="Column8989"/>
    <tableColumn id="8992" xr3:uid="{F4E57863-528C-4BE1-A25B-1E51425C9B45}" name="Column8990"/>
    <tableColumn id="8993" xr3:uid="{56F17F9F-01B2-43F7-BF8B-B5F465A2F153}" name="Column8991"/>
    <tableColumn id="8994" xr3:uid="{04BEB0E2-8BC1-409C-8058-536CC3888752}" name="Column8992"/>
    <tableColumn id="8995" xr3:uid="{C500A44C-5D29-4238-B475-5EF130BD5B3F}" name="Column8993"/>
    <tableColumn id="8996" xr3:uid="{1FF32D9B-3CDB-4131-89C3-AC7FB2DC6CAE}" name="Column8994"/>
    <tableColumn id="8997" xr3:uid="{71A571C6-9473-4FA1-BE03-34EB84699D1D}" name="Column8995"/>
    <tableColumn id="8998" xr3:uid="{796C5C35-D4B5-4BD5-BF9E-D1F5F0FD404B}" name="Column8996"/>
    <tableColumn id="8999" xr3:uid="{4E0FD7AD-3184-469F-8D7E-C2E7C24A5C57}" name="Column8997"/>
    <tableColumn id="9000" xr3:uid="{AB80C331-17D0-437A-9415-8B76812FC417}" name="Column8998"/>
    <tableColumn id="9001" xr3:uid="{1CD9C02A-7897-4F76-92BD-4DC43288E584}" name="Column8999"/>
    <tableColumn id="9002" xr3:uid="{0EDF5DFF-F8D2-45C4-B988-A1FD2E07C63E}" name="Column9000"/>
    <tableColumn id="9003" xr3:uid="{50AE3878-1925-4D79-8C2A-CE6B8B0740BF}" name="Column9001"/>
    <tableColumn id="9004" xr3:uid="{B1DD2FEA-18DC-4AED-BA75-622278D2BCF9}" name="Column9002"/>
    <tableColumn id="9005" xr3:uid="{1F7FDC02-4BF8-4CCB-B7E7-A809AB0C37EB}" name="Column9003"/>
    <tableColumn id="9006" xr3:uid="{888DAA6C-1D51-4340-8AA9-7CC1AFFE2D97}" name="Column9004"/>
    <tableColumn id="9007" xr3:uid="{0F29EF36-04F7-4FEF-9344-91830996E8A4}" name="Column9005"/>
    <tableColumn id="9008" xr3:uid="{D1FC453E-804F-4C56-A636-ED7812649C78}" name="Column9006"/>
    <tableColumn id="9009" xr3:uid="{149D16E2-7E4E-4998-8B8B-12665D41BADF}" name="Column9007"/>
    <tableColumn id="9010" xr3:uid="{312623D3-CEA1-46E7-8FC9-B1D57EF38194}" name="Column9008"/>
    <tableColumn id="9011" xr3:uid="{02FE4B11-4CBD-4161-82F1-511F02E39285}" name="Column9009"/>
    <tableColumn id="9012" xr3:uid="{C535C262-DE51-4ED4-B571-8FC13DE8D39B}" name="Column9010"/>
    <tableColumn id="9013" xr3:uid="{2ADC79BB-9136-4A33-A504-66030C34997D}" name="Column9011"/>
    <tableColumn id="9014" xr3:uid="{F9F5A577-6D60-4EEB-8177-48683FF34E5F}" name="Column9012"/>
    <tableColumn id="9015" xr3:uid="{D56B794D-69E2-47F0-B6AA-279CB81E55C7}" name="Column9013"/>
    <tableColumn id="9016" xr3:uid="{03C61F86-CF47-463B-84AB-CA757F8A5322}" name="Column9014"/>
    <tableColumn id="9017" xr3:uid="{3F85EBD0-99A0-4DA7-93A5-A7B59C732638}" name="Column9015"/>
    <tableColumn id="9018" xr3:uid="{F59B1D4F-BFA1-45AE-84E9-27C3B5054145}" name="Column9016"/>
    <tableColumn id="9019" xr3:uid="{FCEA6D7B-3992-4126-88DB-EFE6A8D597EB}" name="Column9017"/>
    <tableColumn id="9020" xr3:uid="{1D1DA504-EC5E-46B2-A362-22445566AF85}" name="Column9018"/>
    <tableColumn id="9021" xr3:uid="{A9C6DE6E-9ED0-4BF7-A414-67E73DF16809}" name="Column9019"/>
    <tableColumn id="9022" xr3:uid="{5409846A-B602-4E7E-B6C3-FC4129D39737}" name="Column9020"/>
    <tableColumn id="9023" xr3:uid="{3338B443-BAA6-464C-9845-99C807644C5C}" name="Column9021"/>
    <tableColumn id="9024" xr3:uid="{708439B6-B402-40E2-8DA4-3019401F7F8C}" name="Column9022"/>
    <tableColumn id="9025" xr3:uid="{68D09C73-2C86-4971-BD0D-765E806689D6}" name="Column9023"/>
    <tableColumn id="9026" xr3:uid="{7C298AC5-FF2F-4966-934C-C10489EA8B46}" name="Column9024"/>
    <tableColumn id="9027" xr3:uid="{8AA38918-3F8B-475E-B1DF-A9B2DA82189D}" name="Column9025"/>
    <tableColumn id="9028" xr3:uid="{371E3B5E-EDD6-4FDB-9785-C896790F48AE}" name="Column9026"/>
    <tableColumn id="9029" xr3:uid="{FDAE46C5-2B62-4CB6-8EC0-60A34CBD70AB}" name="Column9027"/>
    <tableColumn id="9030" xr3:uid="{46E9094B-A647-48FC-AF31-F5AD6D067E16}" name="Column9028"/>
    <tableColumn id="9031" xr3:uid="{99520586-4935-4A4C-BC5D-BFC40293A75E}" name="Column9029"/>
    <tableColumn id="9032" xr3:uid="{8DADA42F-DCF3-4749-94EF-0E33C4BCF8E1}" name="Column9030"/>
    <tableColumn id="9033" xr3:uid="{0F67503E-DD4A-4A2D-9FD3-C24B7E71FB5D}" name="Column9031"/>
    <tableColumn id="9034" xr3:uid="{F66269A2-16E7-473A-BE48-A703BBE2655C}" name="Column9032"/>
    <tableColumn id="9035" xr3:uid="{76EAA6F9-690B-496E-A15C-407ED0427206}" name="Column9033"/>
    <tableColumn id="9036" xr3:uid="{8693566C-B805-4CF5-83E1-A5CDC06D37AE}" name="Column9034"/>
    <tableColumn id="9037" xr3:uid="{EC86EC13-131E-4C9A-BAF7-FB370A6A2A80}" name="Column9035"/>
    <tableColumn id="9038" xr3:uid="{AA03E6F3-3B64-4C75-BE0B-2B193FAA64F3}" name="Column9036"/>
    <tableColumn id="9039" xr3:uid="{CECCA23A-D833-47BF-910D-56658D31F577}" name="Column9037"/>
    <tableColumn id="9040" xr3:uid="{1EE23C67-521C-4B4C-AB9F-7A93DF5ABF03}" name="Column9038"/>
    <tableColumn id="9041" xr3:uid="{ACE38483-7875-44F4-ABDD-12BAFF46AC00}" name="Column9039"/>
    <tableColumn id="9042" xr3:uid="{6BA935B5-8187-4A2C-B8E2-D74DF0390B52}" name="Column9040"/>
    <tableColumn id="9043" xr3:uid="{3A3DAE2D-837B-4941-B2CB-45247EEF2CED}" name="Column9041"/>
    <tableColumn id="9044" xr3:uid="{3F8D0000-AB16-4374-918C-BF5CF140A20B}" name="Column9042"/>
    <tableColumn id="9045" xr3:uid="{0DDA9AAA-3EC5-4831-A2EB-CA6C1543B6C2}" name="Column9043"/>
    <tableColumn id="9046" xr3:uid="{665CEBDD-9B20-4212-BF8C-F6999BFB8717}" name="Column9044"/>
    <tableColumn id="9047" xr3:uid="{0F48AE37-1D5C-48D0-90FE-AA2C4C5FB0C1}" name="Column9045"/>
    <tableColumn id="9048" xr3:uid="{AC74BDE6-42A2-4388-A088-B346F8227E36}" name="Column9046"/>
    <tableColumn id="9049" xr3:uid="{F26EAE71-B6E8-4A01-BCA4-8A35774DDD0D}" name="Column9047"/>
    <tableColumn id="9050" xr3:uid="{66996396-E423-42D5-B65A-6F59AC343CD0}" name="Column9048"/>
    <tableColumn id="9051" xr3:uid="{776B001D-CD99-4F18-B10C-A0387C997358}" name="Column9049"/>
    <tableColumn id="9052" xr3:uid="{F24009B7-65B8-498C-A008-9FE91B06D01B}" name="Column9050"/>
    <tableColumn id="9053" xr3:uid="{2ED12C5C-B399-4331-9DBB-C89C26B668F6}" name="Column9051"/>
    <tableColumn id="9054" xr3:uid="{22D17F61-93BE-4935-A028-B646C4205677}" name="Column9052"/>
    <tableColumn id="9055" xr3:uid="{C08B8503-CBF6-42FA-BBB8-5BEB64AEA97E}" name="Column9053"/>
    <tableColumn id="9056" xr3:uid="{D171C338-130C-43D9-82C4-6A164CF5CBF4}" name="Column9054"/>
    <tableColumn id="9057" xr3:uid="{BB7B9119-8FC6-4906-8528-55C75C8D953A}" name="Column9055"/>
    <tableColumn id="9058" xr3:uid="{F009A658-4C96-4755-BF5F-560462494B78}" name="Column9056"/>
    <tableColumn id="9059" xr3:uid="{3382065F-A0E2-4C04-82C6-5E59E7899905}" name="Column9057"/>
    <tableColumn id="9060" xr3:uid="{3C446F56-01B7-4783-BC60-996F630507E4}" name="Column9058"/>
    <tableColumn id="9061" xr3:uid="{DA56B416-B19B-46C9-A82D-8C1DA39B7B60}" name="Column9059"/>
    <tableColumn id="9062" xr3:uid="{2A713701-9521-470F-9188-93AABDEE9CDF}" name="Column9060"/>
    <tableColumn id="9063" xr3:uid="{666C489F-3A55-4340-9351-BD773883CB70}" name="Column9061"/>
    <tableColumn id="9064" xr3:uid="{2B853CF9-FE52-49A0-AC0B-E460C312ABE7}" name="Column9062"/>
    <tableColumn id="9065" xr3:uid="{A50E3384-5AAF-46CE-B7CF-D218BA9B3FF4}" name="Column9063"/>
    <tableColumn id="9066" xr3:uid="{372BB07A-0F70-40D4-A9D1-0CA7CF55A373}" name="Column9064"/>
    <tableColumn id="9067" xr3:uid="{B4C4D66D-0EE1-437A-8E54-8367DF676DDB}" name="Column9065"/>
    <tableColumn id="9068" xr3:uid="{148BB39A-036E-418A-B39D-7259750FA6F2}" name="Column9066"/>
    <tableColumn id="9069" xr3:uid="{4F5FE964-B951-42B3-BA87-F733E6A99874}" name="Column9067"/>
    <tableColumn id="9070" xr3:uid="{F34F1E9A-E7BC-4902-A71D-8C7F10A22044}" name="Column9068"/>
    <tableColumn id="9071" xr3:uid="{EEBB004E-4666-4434-9BB1-57E1DC8EDFA5}" name="Column9069"/>
    <tableColumn id="9072" xr3:uid="{8E4188D4-2E93-4A49-B328-311E1D047541}" name="Column9070"/>
    <tableColumn id="9073" xr3:uid="{084E406F-48F7-410C-BE63-675AC5F2E53E}" name="Column9071"/>
    <tableColumn id="9074" xr3:uid="{8FC86FAD-3150-45AF-9908-323EB790EB71}" name="Column9072"/>
    <tableColumn id="9075" xr3:uid="{9D545957-B0EF-44E5-B46F-D484161D4363}" name="Column9073"/>
    <tableColumn id="9076" xr3:uid="{6986807B-09B5-4643-81B5-7CF7D121A8C9}" name="Column9074"/>
    <tableColumn id="9077" xr3:uid="{340BB34C-863E-418D-8CD3-32F8A23623B6}" name="Column9075"/>
    <tableColumn id="9078" xr3:uid="{3C1CFB9D-CAE4-4623-B175-B5C1B1AE2C34}" name="Column9076"/>
    <tableColumn id="9079" xr3:uid="{8F8B094A-45C8-40C2-B033-0E00639C8719}" name="Column9077"/>
    <tableColumn id="9080" xr3:uid="{DF60345B-9E88-4C1B-8837-CED4195495BC}" name="Column9078"/>
    <tableColumn id="9081" xr3:uid="{EA448D17-8823-4A1F-AF45-1D526DE6163C}" name="Column9079"/>
    <tableColumn id="9082" xr3:uid="{B277FA9D-2593-4B09-AEF5-C0308BC6441B}" name="Column9080"/>
    <tableColumn id="9083" xr3:uid="{04BC9949-66E5-4ADC-9136-25E027C1ABEC}" name="Column9081"/>
    <tableColumn id="9084" xr3:uid="{646F5717-DA23-4362-AAD4-8EB6976716B1}" name="Column9082"/>
    <tableColumn id="9085" xr3:uid="{F193E90E-D790-4D79-8116-0193FB3754D5}" name="Column9083"/>
    <tableColumn id="9086" xr3:uid="{123EFDFE-72DD-4EE8-984C-05B981ABB4DA}" name="Column9084"/>
    <tableColumn id="9087" xr3:uid="{4E31B20F-93F8-4C99-8280-F736FD92E133}" name="Column9085"/>
    <tableColumn id="9088" xr3:uid="{9ED678F4-B6A4-4612-9800-C238CD67D1BD}" name="Column9086"/>
    <tableColumn id="9089" xr3:uid="{8FF5B803-B277-4FAA-9FF7-A9422385C4B1}" name="Column9087"/>
    <tableColumn id="9090" xr3:uid="{7E09C841-6D4A-499F-BDC7-2EADEEAD8A63}" name="Column9088"/>
    <tableColumn id="9091" xr3:uid="{C7EE63CD-9F33-4883-BDD1-9D148B1CC740}" name="Column9089"/>
    <tableColumn id="9092" xr3:uid="{97EE417A-4666-4129-A9F8-3301A63A259F}" name="Column9090"/>
    <tableColumn id="9093" xr3:uid="{0CFE3E8E-45FA-4EA9-BAB7-26C511943E32}" name="Column9091"/>
    <tableColumn id="9094" xr3:uid="{24302A94-0BA0-4218-9316-DBA402608CAC}" name="Column9092"/>
    <tableColumn id="9095" xr3:uid="{B2DF789C-9697-4AE9-BF47-335B45B3B876}" name="Column9093"/>
    <tableColumn id="9096" xr3:uid="{062FEF56-D8B3-43A2-9D19-2739819B94BB}" name="Column9094"/>
    <tableColumn id="9097" xr3:uid="{C9F2B038-DCF4-4385-910D-ACD28913A29A}" name="Column9095"/>
    <tableColumn id="9098" xr3:uid="{832651FD-E7C4-4C89-A9A6-FDD161A7EB68}" name="Column9096"/>
    <tableColumn id="9099" xr3:uid="{24C43AC8-D79A-4056-9F19-A4A13C160459}" name="Column9097"/>
    <tableColumn id="9100" xr3:uid="{055D5B2D-19EC-487B-851E-C1A2C3DA311D}" name="Column9098"/>
    <tableColumn id="9101" xr3:uid="{40EB56DF-52DA-47D3-91D9-AEC28104714E}" name="Column9099"/>
    <tableColumn id="9102" xr3:uid="{242A7A48-89CA-4692-949E-34ACBBCB1D66}" name="Column9100"/>
    <tableColumn id="9103" xr3:uid="{5B15A170-C175-45A2-9DEE-58A5DE4E3F29}" name="Column9101"/>
    <tableColumn id="9104" xr3:uid="{36860388-31A1-461C-9AF1-1D2DF7BAB900}" name="Column9102"/>
    <tableColumn id="9105" xr3:uid="{41DC22A0-4541-49C9-90E8-D938302DEC8F}" name="Column9103"/>
    <tableColumn id="9106" xr3:uid="{C6126AB7-B274-45CC-9A51-E0DEAE313548}" name="Column9104"/>
    <tableColumn id="9107" xr3:uid="{3EBD19BF-C466-4847-B75A-20C777C927D5}" name="Column9105"/>
    <tableColumn id="9108" xr3:uid="{9E31780F-D350-4BA9-8F5D-1FE6A9DBBD3A}" name="Column9106"/>
    <tableColumn id="9109" xr3:uid="{454889BD-CAD6-47FE-9A45-7A2CFE9806A7}" name="Column9107"/>
    <tableColumn id="9110" xr3:uid="{3563740B-A934-4D9A-B4F5-3B08E2A564A2}" name="Column9108"/>
    <tableColumn id="9111" xr3:uid="{AA13CE12-5E6E-4AE6-B8E5-69752D6A5C12}" name="Column9109"/>
    <tableColumn id="9112" xr3:uid="{ECCF84A0-7E85-4C98-8FB8-9C32D928C084}" name="Column9110"/>
    <tableColumn id="9113" xr3:uid="{18043B91-D380-4067-96EB-624DD85B399B}" name="Column9111"/>
    <tableColumn id="9114" xr3:uid="{D89E1468-3F53-43D0-99AD-FFAF346D1457}" name="Column9112"/>
    <tableColumn id="9115" xr3:uid="{428F37D6-99B0-43AC-80BA-DFA5AC729BD4}" name="Column9113"/>
    <tableColumn id="9116" xr3:uid="{A735E181-1560-4E83-A4BD-F8A99CF4BA3B}" name="Column9114"/>
    <tableColumn id="9117" xr3:uid="{4C047AD0-2EE9-462F-BC4F-DDBA708D5C4A}" name="Column9115"/>
    <tableColumn id="9118" xr3:uid="{528A52EB-8489-411B-A918-ED170A65C935}" name="Column9116"/>
    <tableColumn id="9119" xr3:uid="{2694130C-4C00-472A-A537-F52F82492558}" name="Column9117"/>
    <tableColumn id="9120" xr3:uid="{A40575BA-ADBD-437E-9BE3-D630AC69C264}" name="Column9118"/>
    <tableColumn id="9121" xr3:uid="{255C97CD-177D-4C77-8061-1DD3C8259B51}" name="Column9119"/>
    <tableColumn id="9122" xr3:uid="{0C1A5C25-335C-43B4-9A5C-570E615278CE}" name="Column9120"/>
    <tableColumn id="9123" xr3:uid="{3C802AF6-2020-4C41-BD2D-BE0FBC45CB21}" name="Column9121"/>
    <tableColumn id="9124" xr3:uid="{9D9CE0E4-239F-47E7-AB0B-47B81886C2A5}" name="Column9122"/>
    <tableColumn id="9125" xr3:uid="{8292804D-5D71-4712-96F6-57E998C5446D}" name="Column9123"/>
    <tableColumn id="9126" xr3:uid="{8665E78F-366B-4EB1-8DA3-2C6EA3370962}" name="Column9124"/>
    <tableColumn id="9127" xr3:uid="{D6C6EABC-CB2C-4F59-A3FA-54219548D3B5}" name="Column9125"/>
    <tableColumn id="9128" xr3:uid="{C9C1A87D-37F5-471B-AED9-8A61EDB181A5}" name="Column9126"/>
    <tableColumn id="9129" xr3:uid="{AD168625-FF4D-454B-84CF-D2EB1A5CD404}" name="Column9127"/>
    <tableColumn id="9130" xr3:uid="{DD6A7A99-D999-458B-9787-8FCDB64A6BD4}" name="Column9128"/>
    <tableColumn id="9131" xr3:uid="{D7A3EC5B-2309-4750-9D7D-D1AD529B5628}" name="Column9129"/>
    <tableColumn id="9132" xr3:uid="{B3E922C7-175C-4815-98F0-F2627754FDEE}" name="Column9130"/>
    <tableColumn id="9133" xr3:uid="{1DAAEFA8-5727-4584-9EFC-08927A71FCCB}" name="Column9131"/>
    <tableColumn id="9134" xr3:uid="{6BA7BF94-9088-40CA-8390-851AA2F713D6}" name="Column9132"/>
    <tableColumn id="9135" xr3:uid="{D1B5E170-027F-44AD-9031-4D789D518970}" name="Column9133"/>
    <tableColumn id="9136" xr3:uid="{BFCF22A5-864E-4A28-89EE-361F68D53D04}" name="Column9134"/>
    <tableColumn id="9137" xr3:uid="{41ADBD41-2ED9-4CAC-BC51-4A24A1703BC7}" name="Column9135"/>
    <tableColumn id="9138" xr3:uid="{480D8C5F-D3EC-4864-8120-83A2D10919A5}" name="Column9136"/>
    <tableColumn id="9139" xr3:uid="{90705910-E00F-4D74-9FE0-0FE9B5A7E1AF}" name="Column9137"/>
    <tableColumn id="9140" xr3:uid="{70D7FD84-7D15-4A09-A6F9-7226995DA86A}" name="Column9138"/>
    <tableColumn id="9141" xr3:uid="{DA75569A-54A6-4BD7-B273-A5A3BBF3AD25}" name="Column9139"/>
    <tableColumn id="9142" xr3:uid="{15F0BC8B-2D8E-4638-AE8D-F97F2D3E9768}" name="Column9140"/>
    <tableColumn id="9143" xr3:uid="{4A06C37C-90FF-4A9E-89F7-1FCFE2AD0E63}" name="Column9141"/>
    <tableColumn id="9144" xr3:uid="{33ACC1AC-4C52-4C85-B2E4-B03218E663B1}" name="Column9142"/>
    <tableColumn id="9145" xr3:uid="{2C4518BF-4180-4722-A5EA-F5F7896D93F5}" name="Column9143"/>
    <tableColumn id="9146" xr3:uid="{00DDFE40-98D1-40AA-81D8-E67B0BDB272D}" name="Column9144"/>
    <tableColumn id="9147" xr3:uid="{EFE82BA1-4F7E-4B35-A369-5CCBBC9C97F5}" name="Column9145"/>
    <tableColumn id="9148" xr3:uid="{E739FE1C-0FF9-46BB-A095-59D386ECA95F}" name="Column9146"/>
    <tableColumn id="9149" xr3:uid="{DD176D41-EB88-4B86-8E9C-D0F9914BE6BC}" name="Column9147"/>
    <tableColumn id="9150" xr3:uid="{C184F506-5E10-43A8-B3C4-BB3509011720}" name="Column9148"/>
    <tableColumn id="9151" xr3:uid="{6A174277-1F68-4E99-893A-926F0A75F659}" name="Column9149"/>
    <tableColumn id="9152" xr3:uid="{05F74C17-6326-4869-A304-CAC3D11D3322}" name="Column9150"/>
    <tableColumn id="9153" xr3:uid="{92434449-2175-4565-8DCD-BA2D4038DF88}" name="Column9151"/>
    <tableColumn id="9154" xr3:uid="{9EB139A1-BB9A-47A7-9520-8160EB3DD4CC}" name="Column9152"/>
    <tableColumn id="9155" xr3:uid="{F03FA74A-B399-4E2E-A93A-20B83AC385E1}" name="Column9153"/>
    <tableColumn id="9156" xr3:uid="{AAA2DEC2-9914-4F9A-A6CD-010C881404DE}" name="Column9154"/>
    <tableColumn id="9157" xr3:uid="{88885871-14FB-48AA-BAC1-EC21B00BC600}" name="Column9155"/>
    <tableColumn id="9158" xr3:uid="{F481B0AA-D7CE-4EFB-A4E9-E89BB65CD5C3}" name="Column9156"/>
    <tableColumn id="9159" xr3:uid="{45E1D7FC-5A43-4F9B-8F4F-83594869B63F}" name="Column9157"/>
    <tableColumn id="9160" xr3:uid="{5194D211-31D5-4E91-918D-76E827473FF1}" name="Column9158"/>
    <tableColumn id="9161" xr3:uid="{2FC7D082-276B-4E3A-8566-4722CC716620}" name="Column9159"/>
    <tableColumn id="9162" xr3:uid="{2D7FF6C6-CD0A-4945-AFC6-32EC32469F4C}" name="Column9160"/>
    <tableColumn id="9163" xr3:uid="{C558D2BB-F0F4-454D-AF26-98CBBCCD98F8}" name="Column9161"/>
    <tableColumn id="9164" xr3:uid="{A103FE90-D643-4C02-9A26-FD7E73C27A91}" name="Column9162"/>
    <tableColumn id="9165" xr3:uid="{EB0DBC95-19F2-424E-A4D0-9774C6DDED8C}" name="Column9163"/>
    <tableColumn id="9166" xr3:uid="{0603E1D4-DC52-4715-8072-BF75D97096D6}" name="Column9164"/>
    <tableColumn id="9167" xr3:uid="{74BDDCE3-06C7-4BCE-A21A-EB6DEA406AA0}" name="Column9165"/>
    <tableColumn id="9168" xr3:uid="{9B5D7DBF-3CDD-437C-9B9C-FC8C265B1DB8}" name="Column9166"/>
    <tableColumn id="9169" xr3:uid="{D19137F9-79EA-41F3-ABB8-855055AB49B0}" name="Column9167"/>
    <tableColumn id="9170" xr3:uid="{F80DD6D5-C269-499B-8769-E7819C895295}" name="Column9168"/>
    <tableColumn id="9171" xr3:uid="{C4879894-2928-45AD-8695-54D2D9E0050A}" name="Column9169"/>
    <tableColumn id="9172" xr3:uid="{A5EA769E-C9E1-4BB7-A172-41914C175B90}" name="Column9170"/>
    <tableColumn id="9173" xr3:uid="{DAEDE921-140F-4510-803F-3D81035954A4}" name="Column9171"/>
    <tableColumn id="9174" xr3:uid="{B6F7CEC7-C84D-46BD-89CC-1BC9C3A08B5C}" name="Column9172"/>
    <tableColumn id="9175" xr3:uid="{B9D36AA4-9102-41AA-80F6-723E17B725E4}" name="Column9173"/>
    <tableColumn id="9176" xr3:uid="{755B11AC-23E1-4A03-A854-71FCBA1D70EC}" name="Column9174"/>
    <tableColumn id="9177" xr3:uid="{CC1DDD4C-22BD-48F8-BEF3-FC36BEE1C16F}" name="Column9175"/>
    <tableColumn id="9178" xr3:uid="{9D68DB30-80FE-4C6A-8806-48B609B050FD}" name="Column9176"/>
    <tableColumn id="9179" xr3:uid="{3C87BB93-7C01-4B9C-840C-F8CAC28516A9}" name="Column9177"/>
    <tableColumn id="9180" xr3:uid="{B0989EE8-E050-4982-97C5-4E363E5237E9}" name="Column9178"/>
    <tableColumn id="9181" xr3:uid="{3ECD5629-4307-4EBB-9B84-A9DAE71B7CAE}" name="Column9179"/>
    <tableColumn id="9182" xr3:uid="{608F087F-D49E-4221-BEEF-B61D5EDF2C7B}" name="Column9180"/>
    <tableColumn id="9183" xr3:uid="{88563BEE-BBDF-4A7E-92AF-DF514D9F97FB}" name="Column9181"/>
    <tableColumn id="9184" xr3:uid="{FAE573C3-FEB3-477B-8B91-694183C42A13}" name="Column9182"/>
    <tableColumn id="9185" xr3:uid="{DEEE912C-9B37-451E-948A-7E4DDD03FD53}" name="Column9183"/>
    <tableColumn id="9186" xr3:uid="{C0ABBCAB-56CC-4672-87DD-E09BBC828A32}" name="Column9184"/>
    <tableColumn id="9187" xr3:uid="{38DAAE8B-EC56-4158-9E44-2741AB4971D6}" name="Column9185"/>
    <tableColumn id="9188" xr3:uid="{2A3D7F7A-B19D-497B-BA80-AB89D5191E03}" name="Column9186"/>
    <tableColumn id="9189" xr3:uid="{5A2FA435-7EB3-4DBA-A8C3-1BFC41B8A8A2}" name="Column9187"/>
    <tableColumn id="9190" xr3:uid="{5B1F7AA4-653F-4125-A7F3-D7B15F289048}" name="Column9188"/>
    <tableColumn id="9191" xr3:uid="{A10874E4-41D9-4259-8D93-53FAE7AB1B10}" name="Column9189"/>
    <tableColumn id="9192" xr3:uid="{D246A6BA-1925-4AD8-8B24-7590D26C5476}" name="Column9190"/>
    <tableColumn id="9193" xr3:uid="{825CAFD4-934C-4320-9D70-9D4220288691}" name="Column9191"/>
    <tableColumn id="9194" xr3:uid="{7476FA9B-B6AA-4BB5-B619-957DA26E0504}" name="Column9192"/>
    <tableColumn id="9195" xr3:uid="{8B5F6395-99DC-4C19-BFA8-B944E0D3057C}" name="Column9193"/>
    <tableColumn id="9196" xr3:uid="{4F7E738A-50BF-4584-9EA1-901B80790482}" name="Column9194"/>
    <tableColumn id="9197" xr3:uid="{C15B8CDF-EC42-4F98-90CB-069662481256}" name="Column9195"/>
    <tableColumn id="9198" xr3:uid="{D8834B4B-C9F8-4F63-A165-F62D0BFAB3B9}" name="Column9196"/>
    <tableColumn id="9199" xr3:uid="{4BCAD3DA-D16E-40A6-AE41-715344242534}" name="Column9197"/>
    <tableColumn id="9200" xr3:uid="{C5387C11-EF73-4601-AF75-5E3D5A9AA258}" name="Column9198"/>
    <tableColumn id="9201" xr3:uid="{444BF77C-61AE-4742-8013-CA4A8C78D6E3}" name="Column9199"/>
    <tableColumn id="9202" xr3:uid="{C61DD49F-E9AA-4188-9085-144C1EF16CBE}" name="Column9200"/>
    <tableColumn id="9203" xr3:uid="{3EFCE4C6-242B-4C57-B836-46F6542C116C}" name="Column9201"/>
    <tableColumn id="9204" xr3:uid="{C4F46C07-7F70-4E33-81B4-2C528C7CCC78}" name="Column9202"/>
    <tableColumn id="9205" xr3:uid="{0EA2804A-46D2-42FD-9DFB-39036DDB3452}" name="Column9203"/>
    <tableColumn id="9206" xr3:uid="{2BFB54BC-BB61-433E-86C9-C1DE39D7C861}" name="Column9204"/>
    <tableColumn id="9207" xr3:uid="{30F1E377-39EA-448D-A034-E35342951D31}" name="Column9205"/>
    <tableColumn id="9208" xr3:uid="{427B493F-0C86-447F-AF43-D43B18279457}" name="Column9206"/>
    <tableColumn id="9209" xr3:uid="{9B707C53-B705-4C8B-9B11-32069968D3DD}" name="Column9207"/>
    <tableColumn id="9210" xr3:uid="{D428DD40-6E4B-41F5-9AD6-1EDC25111509}" name="Column9208"/>
    <tableColumn id="9211" xr3:uid="{E52D1CC2-F2E2-4C5B-8B23-F01A5D35C93D}" name="Column9209"/>
    <tableColumn id="9212" xr3:uid="{D39E55D2-BA39-44F8-8C43-B6DCCAD20C2E}" name="Column9210"/>
    <tableColumn id="9213" xr3:uid="{74836F9A-CB7A-4074-A915-18126DD6DCC3}" name="Column9211"/>
    <tableColumn id="9214" xr3:uid="{35B19FC0-5B65-41ED-B56F-B52588308A66}" name="Column9212"/>
    <tableColumn id="9215" xr3:uid="{BC95FB98-CD98-41B8-B593-3EF55D59E862}" name="Column9213"/>
    <tableColumn id="9216" xr3:uid="{FC0F8F0B-613A-453C-B650-12914C3ADA76}" name="Column9214"/>
    <tableColumn id="9217" xr3:uid="{2048BAF7-8A44-4B5F-9226-4F4BA65CC2F5}" name="Column9215"/>
    <tableColumn id="9218" xr3:uid="{552D6868-B5D6-4D39-8B53-6F69298D3518}" name="Column9216"/>
    <tableColumn id="9219" xr3:uid="{F2D89B61-2140-4482-9CB1-0E71FC5B96F6}" name="Column9217"/>
    <tableColumn id="9220" xr3:uid="{1CFD845E-927C-44F8-8DD3-4B2F711E664D}" name="Column9218"/>
    <tableColumn id="9221" xr3:uid="{58FF16E7-7AFE-4789-A9CD-96E2C585D645}" name="Column9219"/>
    <tableColumn id="9222" xr3:uid="{B2EBFD31-418F-4B90-BDA0-28E6A93DD908}" name="Column9220"/>
    <tableColumn id="9223" xr3:uid="{A74D88AF-1186-4E0A-AA7A-40B798D39965}" name="Column9221"/>
    <tableColumn id="9224" xr3:uid="{C196865D-A9E3-45EE-97CE-2F9C4D07B409}" name="Column9222"/>
    <tableColumn id="9225" xr3:uid="{1B8CE313-B12B-4AF9-84D7-C595C5ABFA7D}" name="Column9223"/>
    <tableColumn id="9226" xr3:uid="{EEB313E7-F232-4ECA-A3AC-790F58AA2DE2}" name="Column9224"/>
    <tableColumn id="9227" xr3:uid="{39853A30-1782-4AE8-A9C9-B5F3AC9D2EA1}" name="Column9225"/>
    <tableColumn id="9228" xr3:uid="{DB91D712-50FE-4930-82AB-8B5D6EB3EDC6}" name="Column9226"/>
    <tableColumn id="9229" xr3:uid="{7BB13599-AD89-4F62-8640-64E2CC38B460}" name="Column9227"/>
    <tableColumn id="9230" xr3:uid="{A41F1AF9-9C1E-4B91-A0BA-6BA28988C9BE}" name="Column9228"/>
    <tableColumn id="9231" xr3:uid="{0140DA8C-7366-4414-B8C3-DB6E88865F56}" name="Column9229"/>
    <tableColumn id="9232" xr3:uid="{78AD4AEE-C47E-47BC-A00D-AB165A677BB2}" name="Column9230"/>
    <tableColumn id="9233" xr3:uid="{4EA16357-7F20-405E-98DC-1C9E64E6A815}" name="Column9231"/>
    <tableColumn id="9234" xr3:uid="{B0C18F92-438F-49CC-8345-A35A71F8A8CD}" name="Column9232"/>
    <tableColumn id="9235" xr3:uid="{45F11899-8BC5-49E5-B6F0-3EF5C4FE06F1}" name="Column9233"/>
    <tableColumn id="9236" xr3:uid="{ABF7681C-6511-4A8E-9946-889A399DB297}" name="Column9234"/>
    <tableColumn id="9237" xr3:uid="{6AB5B36F-0519-430A-A643-E2E4EC36F71A}" name="Column9235"/>
    <tableColumn id="9238" xr3:uid="{65F9E6AD-3B41-4B2B-895E-EE3BD137A165}" name="Column9236"/>
    <tableColumn id="9239" xr3:uid="{36DE284B-32F4-4EBA-95F2-F44874F0A0A1}" name="Column9237"/>
    <tableColumn id="9240" xr3:uid="{499F38C3-A730-4CBC-92D8-B871334188D4}" name="Column9238"/>
    <tableColumn id="9241" xr3:uid="{50C5F2FD-614D-435A-A3C1-30CFDB6BECF9}" name="Column9239"/>
    <tableColumn id="9242" xr3:uid="{1CDCBDBB-8A5E-4727-9DEA-272DB08EDB15}" name="Column9240"/>
    <tableColumn id="9243" xr3:uid="{E08087AA-ADD0-4FA4-91B9-89303A123267}" name="Column9241"/>
    <tableColumn id="9244" xr3:uid="{25387C60-3574-4551-9C20-191CFAD3F636}" name="Column9242"/>
    <tableColumn id="9245" xr3:uid="{05AF5D7F-1E15-4A84-8E12-D6DC3124F2D2}" name="Column9243"/>
    <tableColumn id="9246" xr3:uid="{F7E8D361-429A-4D13-A07D-E67CDD97E9B6}" name="Column9244"/>
    <tableColumn id="9247" xr3:uid="{16568CB4-C00E-4829-A17B-83373AD8E48F}" name="Column9245"/>
    <tableColumn id="9248" xr3:uid="{2C81793D-3F10-4ED7-ADD1-C635E0F295C3}" name="Column9246"/>
    <tableColumn id="9249" xr3:uid="{7D5F013B-881C-4DFE-B989-0DC5C7C0C457}" name="Column9247"/>
    <tableColumn id="9250" xr3:uid="{6934CE59-0E3A-417A-BB3E-179E9B6A3B35}" name="Column9248"/>
    <tableColumn id="9251" xr3:uid="{6E0FCC7B-044E-4DF6-A305-A139B2CD1602}" name="Column9249"/>
    <tableColumn id="9252" xr3:uid="{5752A0BA-3F66-4AD1-92C5-58AC53C95048}" name="Column9250"/>
    <tableColumn id="9253" xr3:uid="{CF3712F2-7F28-43D8-8040-4803BC7BB634}" name="Column9251"/>
    <tableColumn id="9254" xr3:uid="{E6F8A81B-AE00-496A-9690-4EF7B840915D}" name="Column9252"/>
    <tableColumn id="9255" xr3:uid="{7AA3C42A-CEB3-4508-9988-D2B742B37D84}" name="Column9253"/>
    <tableColumn id="9256" xr3:uid="{783AEEDE-4820-4E17-8DC8-805037D708D1}" name="Column9254"/>
    <tableColumn id="9257" xr3:uid="{98F2F379-DD60-431E-83E0-23BD3269B881}" name="Column9255"/>
    <tableColumn id="9258" xr3:uid="{DE2199BE-C1AB-4CA4-9648-D6CC4068A477}" name="Column9256"/>
    <tableColumn id="9259" xr3:uid="{3013D059-341A-4306-9045-03A333919FD3}" name="Column9257"/>
    <tableColumn id="9260" xr3:uid="{62A4E1C4-5593-493B-A9FE-AD5034043041}" name="Column9258"/>
    <tableColumn id="9261" xr3:uid="{E0906DDF-4021-4B43-B501-03E93954EC4C}" name="Column9259"/>
    <tableColumn id="9262" xr3:uid="{1AFCC963-BFD7-49F0-BEF7-5546CE3AA7F7}" name="Column9260"/>
    <tableColumn id="9263" xr3:uid="{4285C178-510A-455F-B9F0-C06C2F5B6C08}" name="Column9261"/>
    <tableColumn id="9264" xr3:uid="{BAC33935-4CD7-4D3A-8B61-7E4AAB4CEFA1}" name="Column9262"/>
    <tableColumn id="9265" xr3:uid="{43E1A4AF-6252-4A2C-99B0-01DE4A68B8FD}" name="Column9263"/>
    <tableColumn id="9266" xr3:uid="{F940836F-D20F-44DF-8852-6A3A5419C543}" name="Column9264"/>
    <tableColumn id="9267" xr3:uid="{B4BDBF7F-F84E-4AB0-B409-C6D7747F4984}" name="Column9265"/>
    <tableColumn id="9268" xr3:uid="{9D13A26F-BFC6-478B-BFC7-47BFFFA6D065}" name="Column9266"/>
    <tableColumn id="9269" xr3:uid="{E129A0E0-A867-42C1-B245-A84A502A55C5}" name="Column9267"/>
    <tableColumn id="9270" xr3:uid="{2995792F-F1A5-4212-90CF-9A3E64926457}" name="Column9268"/>
    <tableColumn id="9271" xr3:uid="{835D87C1-168B-400E-A875-00AF8E760839}" name="Column9269"/>
    <tableColumn id="9272" xr3:uid="{EAF8F13D-5F4D-4363-9A6C-5869B6A241D8}" name="Column9270"/>
    <tableColumn id="9273" xr3:uid="{60CF9AFB-3664-4B4C-AD31-B0E3453C42C9}" name="Column9271"/>
    <tableColumn id="9274" xr3:uid="{D21F52B0-0250-4B39-8553-8118FD91C650}" name="Column9272"/>
    <tableColumn id="9275" xr3:uid="{0B4D528A-F7BE-47F8-B0C1-988F9AEBCDBF}" name="Column9273"/>
    <tableColumn id="9276" xr3:uid="{30F55A78-0B9E-4474-98D6-2466678AAFD1}" name="Column9274"/>
    <tableColumn id="9277" xr3:uid="{0040F001-1217-430B-9DF6-F6B87B1D513D}" name="Column9275"/>
    <tableColumn id="9278" xr3:uid="{28F497FD-0F5B-4C28-A034-7444B8BA99F9}" name="Column9276"/>
    <tableColumn id="9279" xr3:uid="{D8AE840A-8758-4548-9820-EDC58DAF553C}" name="Column9277"/>
    <tableColumn id="9280" xr3:uid="{BF66B745-3627-43BC-A116-7F6D70E07B78}" name="Column9278"/>
    <tableColumn id="9281" xr3:uid="{EDCF075A-F90E-4A58-80E6-CE5CFBAC7E89}" name="Column9279"/>
    <tableColumn id="9282" xr3:uid="{5D3F7C47-A49E-492C-81C1-3FF5EE0BEAE8}" name="Column9280"/>
    <tableColumn id="9283" xr3:uid="{68A0DCD4-D9FF-43BF-905E-075EED2B0A8C}" name="Column9281"/>
    <tableColumn id="9284" xr3:uid="{C6852FF9-B8B8-468E-9013-56643E0AB588}" name="Column9282"/>
    <tableColumn id="9285" xr3:uid="{9218223E-D86A-4275-8FCD-D32099360172}" name="Column9283"/>
    <tableColumn id="9286" xr3:uid="{4D1FDE2E-421F-45E8-8E7F-414471B6B56F}" name="Column9284"/>
    <tableColumn id="9287" xr3:uid="{C56208A3-BC32-4D2A-AAC3-8576DB23A24F}" name="Column9285"/>
    <tableColumn id="9288" xr3:uid="{61DD2081-EF53-451F-AFB7-230733667A38}" name="Column9286"/>
    <tableColumn id="9289" xr3:uid="{10F9E466-BD0E-4F40-B2A5-7A5E359AADEA}" name="Column9287"/>
    <tableColumn id="9290" xr3:uid="{3E7BA063-F015-4DE0-A5B0-B43682527877}" name="Column9288"/>
    <tableColumn id="9291" xr3:uid="{22F39C03-EE0B-4E5F-A349-32E470E1A121}" name="Column9289"/>
    <tableColumn id="9292" xr3:uid="{4FA03CF9-E395-4F50-9733-DE0D825231BC}" name="Column9290"/>
    <tableColumn id="9293" xr3:uid="{C99945C6-97C4-434F-8DF2-E992B730FFD4}" name="Column9291"/>
    <tableColumn id="9294" xr3:uid="{CAEFE11F-E365-4F15-B2D0-7303D91779C2}" name="Column9292"/>
    <tableColumn id="9295" xr3:uid="{A6F80111-61DD-4B06-9420-FE7D8A51E2BB}" name="Column9293"/>
    <tableColumn id="9296" xr3:uid="{4BC301F1-459A-4B13-8D9C-F391F3689F53}" name="Column9294"/>
    <tableColumn id="9297" xr3:uid="{D149712A-E837-4FE1-AAF7-1D7D8D28CD86}" name="Column9295"/>
    <tableColumn id="9298" xr3:uid="{CB9E4FD6-E7D7-4FC1-9FEA-C71EC9F67B39}" name="Column9296"/>
    <tableColumn id="9299" xr3:uid="{6FFD7416-AA79-4E8D-BB97-21BE7ADCA417}" name="Column9297"/>
    <tableColumn id="9300" xr3:uid="{D369D050-9D23-4FEA-AD18-6BDA48B3E0A4}" name="Column9298"/>
    <tableColumn id="9301" xr3:uid="{F0EBC755-4B7B-4A2B-90F4-1073C469370D}" name="Column9299"/>
    <tableColumn id="9302" xr3:uid="{17F21669-C2C7-41EC-A481-DEC9A14D4D74}" name="Column9300"/>
    <tableColumn id="9303" xr3:uid="{EB8A2B93-10B0-49E1-8D37-BD9856C2B01D}" name="Column9301"/>
    <tableColumn id="9304" xr3:uid="{8CB5DF06-C5B5-4A56-B117-5EF2D85FDAE9}" name="Column9302"/>
    <tableColumn id="9305" xr3:uid="{5B1680C9-AF04-45F1-A3AB-76196D140A53}" name="Column9303"/>
    <tableColumn id="9306" xr3:uid="{37332334-F327-4670-9063-3E0C9207E00E}" name="Column9304"/>
    <tableColumn id="9307" xr3:uid="{7F979C45-EADE-4CED-AEBB-8A2C9B90726C}" name="Column9305"/>
    <tableColumn id="9308" xr3:uid="{A76F60E0-64A6-4746-98F8-495D26F43FC6}" name="Column9306"/>
    <tableColumn id="9309" xr3:uid="{C5733A24-BE93-4A7E-8366-D3CB144479E5}" name="Column9307"/>
    <tableColumn id="9310" xr3:uid="{11E8B8D1-40EE-4E35-9750-F64768909996}" name="Column9308"/>
    <tableColumn id="9311" xr3:uid="{13CE96D2-4202-499E-9A8D-66ED0F93996F}" name="Column9309"/>
    <tableColumn id="9312" xr3:uid="{20F5FDFD-4AC8-4735-AA9F-6718C73B1182}" name="Column9310"/>
    <tableColumn id="9313" xr3:uid="{28AF50AD-63DF-4D87-8C63-C4DEC4AFD721}" name="Column9311"/>
    <tableColumn id="9314" xr3:uid="{398C7426-956E-4F35-A530-A30E62546C9E}" name="Column9312"/>
    <tableColumn id="9315" xr3:uid="{58F554C3-C948-4E28-8F22-1938924FC6FC}" name="Column9313"/>
    <tableColumn id="9316" xr3:uid="{718F3363-BB2D-450E-A059-02281F9E4BF6}" name="Column9314"/>
    <tableColumn id="9317" xr3:uid="{6F336CF0-711B-4C92-8E58-CAE834C8F1F2}" name="Column9315"/>
    <tableColumn id="9318" xr3:uid="{05914223-D722-4D3C-A9C3-EED9C1AC74B0}" name="Column9316"/>
    <tableColumn id="9319" xr3:uid="{E697207E-A955-4765-AA36-84799AA6B564}" name="Column9317"/>
    <tableColumn id="9320" xr3:uid="{4B03FBF9-4F93-4EF6-B0B9-D47A46AEE656}" name="Column9318"/>
    <tableColumn id="9321" xr3:uid="{250E3135-253E-4E31-AD45-83F9BAB703A5}" name="Column9319"/>
    <tableColumn id="9322" xr3:uid="{38EF0B14-2602-4A16-B78F-0FDED61FC89E}" name="Column9320"/>
    <tableColumn id="9323" xr3:uid="{E77AF325-AC7F-4FB3-9FDD-3EDB2E94240D}" name="Column9321"/>
    <tableColumn id="9324" xr3:uid="{1A2CBBB4-D13E-4A18-9BF3-CAAED1794EA2}" name="Column9322"/>
    <tableColumn id="9325" xr3:uid="{BB97AB26-040D-4989-B56F-B29294F82D20}" name="Column9323"/>
    <tableColumn id="9326" xr3:uid="{344801FE-FB3E-4B06-93ED-89304FA29B22}" name="Column9324"/>
    <tableColumn id="9327" xr3:uid="{C5EE1F2A-B219-44D3-A45B-9F2F63550874}" name="Column9325"/>
    <tableColumn id="9328" xr3:uid="{D7116DA2-A6CB-4E47-86EE-17B9FBC37CC4}" name="Column9326"/>
    <tableColumn id="9329" xr3:uid="{37E283FD-3A5B-4065-8DD8-2A83F85D7CAE}" name="Column9327"/>
    <tableColumn id="9330" xr3:uid="{477F4126-1BF4-4E7A-BF6F-0E93FCA3BF30}" name="Column9328"/>
    <tableColumn id="9331" xr3:uid="{A1400E81-F509-4C16-B5CE-8B386F46186C}" name="Column9329"/>
    <tableColumn id="9332" xr3:uid="{D9D08D02-E653-4C26-8B2E-1CA70CF5A877}" name="Column9330"/>
    <tableColumn id="9333" xr3:uid="{13F0B9A8-B743-4B8F-A9D8-5F708472E043}" name="Column9331"/>
    <tableColumn id="9334" xr3:uid="{9368259C-2F0A-4AB3-B2AC-05CAD55C7619}" name="Column9332"/>
    <tableColumn id="9335" xr3:uid="{17B55EAB-86E4-48E9-92DC-F4F271BD8B76}" name="Column9333"/>
    <tableColumn id="9336" xr3:uid="{ECDDB504-0D79-4245-9B25-EA74115D544E}" name="Column9334"/>
    <tableColumn id="9337" xr3:uid="{885916F6-C22B-433A-8666-F6DFED8FCC20}" name="Column9335"/>
    <tableColumn id="9338" xr3:uid="{F573AB6E-F598-4087-9755-885B64C7F88F}" name="Column9336"/>
    <tableColumn id="9339" xr3:uid="{2DAF335E-6245-4DE1-B899-2322B4A05EB4}" name="Column9337"/>
    <tableColumn id="9340" xr3:uid="{A8AA5FCB-2E03-44FD-A87E-8A73ECF683DC}" name="Column9338"/>
    <tableColumn id="9341" xr3:uid="{BFFAFB8A-64BA-404D-BBE4-A3EE9BB8F68B}" name="Column9339"/>
    <tableColumn id="9342" xr3:uid="{48A6E066-9477-4134-8EC3-560088CE7EA9}" name="Column9340"/>
    <tableColumn id="9343" xr3:uid="{E01C4F0B-CC7C-4FAC-B0F2-03E562710511}" name="Column9341"/>
    <tableColumn id="9344" xr3:uid="{A030517B-4A23-4245-A44E-C2CE2D72B58E}" name="Column9342"/>
    <tableColumn id="9345" xr3:uid="{141DAFF0-49DE-4399-9011-3BD23452BA0D}" name="Column9343"/>
    <tableColumn id="9346" xr3:uid="{4D4A80B8-075B-41FA-9255-1E1874411AE1}" name="Column9344"/>
    <tableColumn id="9347" xr3:uid="{F5D6B9C6-9A3B-4B29-9B01-DC8BF5A3D88C}" name="Column9345"/>
    <tableColumn id="9348" xr3:uid="{BF9DB948-F011-49D8-9FD6-20DF00254A16}" name="Column9346"/>
    <tableColumn id="9349" xr3:uid="{50D63BF5-2F6E-4981-9CE4-F24112883865}" name="Column9347"/>
    <tableColumn id="9350" xr3:uid="{70378DA4-9320-4C87-99C0-3ED621F5DBE6}" name="Column9348"/>
    <tableColumn id="9351" xr3:uid="{DC5272DB-EF2A-40EA-9928-F2D315ACD9BA}" name="Column9349"/>
    <tableColumn id="9352" xr3:uid="{A2717764-CBE2-4B91-BD65-7782564C31BC}" name="Column9350"/>
    <tableColumn id="9353" xr3:uid="{DB4014C6-78CD-4667-B0B8-F29DE916D636}" name="Column9351"/>
    <tableColumn id="9354" xr3:uid="{ADF42057-5FD8-42CD-84A3-0C25934EF950}" name="Column9352"/>
    <tableColumn id="9355" xr3:uid="{3EA4F3DE-7DEC-4243-96E5-7D0C1818FA74}" name="Column9353"/>
    <tableColumn id="9356" xr3:uid="{76FD1921-901C-4AC9-9F1F-02778925A696}" name="Column9354"/>
    <tableColumn id="9357" xr3:uid="{55B9F899-72B2-41AB-9485-F2B591E14836}" name="Column9355"/>
    <tableColumn id="9358" xr3:uid="{E514B14C-4B6A-4AD5-B258-0534CAE12614}" name="Column9356"/>
    <tableColumn id="9359" xr3:uid="{BFAB7B8A-3DA0-4669-87FC-FA836EA1F0F4}" name="Column9357"/>
    <tableColumn id="9360" xr3:uid="{1F4C89BF-A92E-48C6-9D61-1E74B9659ADD}" name="Column9358"/>
    <tableColumn id="9361" xr3:uid="{4F6556CE-C029-4A18-BF2F-9A2670C988AC}" name="Column9359"/>
    <tableColumn id="9362" xr3:uid="{B3424208-B2FA-4A8E-9DE3-E04EB7FE6375}" name="Column9360"/>
    <tableColumn id="9363" xr3:uid="{EAB4D14A-ACE2-437A-AA1A-6EFE59AE0116}" name="Column9361"/>
    <tableColumn id="9364" xr3:uid="{99C6B5A7-8D64-4325-9182-2C4DB6D521C3}" name="Column9362"/>
    <tableColumn id="9365" xr3:uid="{58D5C349-F292-4D46-A604-FE3D0C927DEE}" name="Column9363"/>
    <tableColumn id="9366" xr3:uid="{E6CB2561-3808-409A-A163-9CF841084FD0}" name="Column9364"/>
    <tableColumn id="9367" xr3:uid="{0616A234-09F5-438C-8D78-8F8694057582}" name="Column9365"/>
    <tableColumn id="9368" xr3:uid="{AA4592F5-018F-4B2E-987B-FD159C6B81B1}" name="Column9366"/>
    <tableColumn id="9369" xr3:uid="{D1906971-76E6-46A8-9B8F-093BD8B2286A}" name="Column9367"/>
    <tableColumn id="9370" xr3:uid="{1A4FDE4A-36E8-4DBB-9EEC-9B6473483C31}" name="Column9368"/>
    <tableColumn id="9371" xr3:uid="{228A86BD-AAB2-440D-B0C9-8C5EED916C23}" name="Column9369"/>
    <tableColumn id="9372" xr3:uid="{9131D74C-C1D2-4B40-9A8E-9FE03021631B}" name="Column9370"/>
    <tableColumn id="9373" xr3:uid="{5F217B89-1CFE-4471-968E-F8229BA5083C}" name="Column9371"/>
    <tableColumn id="9374" xr3:uid="{909C9C75-77BA-4AA1-AE9F-9BFBB86F0D07}" name="Column9372"/>
    <tableColumn id="9375" xr3:uid="{277232E1-F3AE-4EF7-8823-571D10D5EC62}" name="Column9373"/>
    <tableColumn id="9376" xr3:uid="{F7471135-4BA6-4950-9350-DB82EA37848B}" name="Column9374"/>
    <tableColumn id="9377" xr3:uid="{0F7E8601-EFB3-4CDF-9EDC-8879B41A2753}" name="Column9375"/>
    <tableColumn id="9378" xr3:uid="{69F17249-8509-4CF8-80D9-1A0BFBEBC8D3}" name="Column9376"/>
    <tableColumn id="9379" xr3:uid="{714E6FEC-5802-4E9F-83C9-5726327762F4}" name="Column9377"/>
    <tableColumn id="9380" xr3:uid="{F46ABDFE-E62E-4DA3-8FA6-BE4CE90B9EA4}" name="Column9378"/>
    <tableColumn id="9381" xr3:uid="{8C48F108-C090-4D94-93E3-0D64B9DBBE90}" name="Column9379"/>
    <tableColumn id="9382" xr3:uid="{2BB201B3-6E17-48E6-B642-E3E19D029032}" name="Column9380"/>
    <tableColumn id="9383" xr3:uid="{950D36A0-DDAB-498F-B1C2-A21D80EB46CA}" name="Column9381"/>
    <tableColumn id="9384" xr3:uid="{40244628-358A-4528-B673-E7DAF0412831}" name="Column9382"/>
    <tableColumn id="9385" xr3:uid="{18018923-1907-4415-9366-A5C17E9D292F}" name="Column9383"/>
    <tableColumn id="9386" xr3:uid="{5ABFCB1F-5F7E-40D6-9EA7-F5DD456FFCE0}" name="Column9384"/>
    <tableColumn id="9387" xr3:uid="{BFB42299-917B-4FEA-BA8A-EF7668E45155}" name="Column9385"/>
    <tableColumn id="9388" xr3:uid="{91D213A0-FB14-429E-9922-5E7AF2ADE498}" name="Column9386"/>
    <tableColumn id="9389" xr3:uid="{5F85F286-459F-4FBA-9A05-076B90C10D84}" name="Column9387"/>
    <tableColumn id="9390" xr3:uid="{41C94768-5F39-4166-838A-215638AFD6E8}" name="Column9388"/>
    <tableColumn id="9391" xr3:uid="{4D6092EC-4FE1-40F2-8C74-ACD36C5DFA5E}" name="Column9389"/>
    <tableColumn id="9392" xr3:uid="{16FBF88D-9030-465D-904D-BA13CEFD3261}" name="Column9390"/>
    <tableColumn id="9393" xr3:uid="{515B289F-BECC-4AB2-83D6-7C7A7DD89CD3}" name="Column9391"/>
    <tableColumn id="9394" xr3:uid="{DFCB9B7F-DC1C-4660-87A8-6DF515DAC797}" name="Column9392"/>
    <tableColumn id="9395" xr3:uid="{CE7310E1-FDEA-41AA-A375-D95BB17F1E88}" name="Column9393"/>
    <tableColumn id="9396" xr3:uid="{CF0E6865-78DD-4952-B6CC-22CF9F82659B}" name="Column9394"/>
    <tableColumn id="9397" xr3:uid="{89AE8C0E-5D18-4E86-BC39-669A35DB1E0A}" name="Column9395"/>
    <tableColumn id="9398" xr3:uid="{2515FEA1-3786-47E8-A522-8003C6AC95B6}" name="Column9396"/>
    <tableColumn id="9399" xr3:uid="{CF418DBA-67B1-41A1-B358-284546DC4E63}" name="Column9397"/>
    <tableColumn id="9400" xr3:uid="{48FC3EB4-8D34-4FB7-B8C4-6A41B643AB7D}" name="Column9398"/>
    <tableColumn id="9401" xr3:uid="{7DB0D7BC-5BEB-4065-A7CB-DA7D69D5A806}" name="Column9399"/>
    <tableColumn id="9402" xr3:uid="{1D7EEF1D-B073-4BDD-95D1-0F9EAA8AD55F}" name="Column9400"/>
    <tableColumn id="9403" xr3:uid="{10CBE02C-54B1-4FC5-8D07-55968742BCE7}" name="Column9401"/>
    <tableColumn id="9404" xr3:uid="{55FBDEAA-0A27-498F-9FED-8A86A9BF661A}" name="Column9402"/>
    <tableColumn id="9405" xr3:uid="{A105C715-92FA-4F0C-9CA8-B07AE78043AF}" name="Column9403"/>
    <tableColumn id="9406" xr3:uid="{ED12BCC2-86B0-4E0D-A815-434646156A5D}" name="Column9404"/>
    <tableColumn id="9407" xr3:uid="{78FA279B-063E-4E8C-8E6B-F56AD285F795}" name="Column9405"/>
    <tableColumn id="9408" xr3:uid="{07254925-93D5-40AA-A103-8463F3FCD0FF}" name="Column9406"/>
    <tableColumn id="9409" xr3:uid="{F81433C6-95EE-4395-B03F-73042CCA3036}" name="Column9407"/>
    <tableColumn id="9410" xr3:uid="{8A286EDC-4E98-49D1-87D2-FA9C2565B3AC}" name="Column9408"/>
    <tableColumn id="9411" xr3:uid="{64C94A3F-A333-4F6C-9A75-8FF861981BA2}" name="Column9409"/>
    <tableColumn id="9412" xr3:uid="{208B7923-FA2F-48D4-AA0E-DCCA7750578C}" name="Column9410"/>
    <tableColumn id="9413" xr3:uid="{D7181BC3-66E0-42DD-85F6-E94080F6ECCE}" name="Column9411"/>
    <tableColumn id="9414" xr3:uid="{8A5A234E-9809-428C-AA41-929C47244C7E}" name="Column9412"/>
    <tableColumn id="9415" xr3:uid="{6D948021-FE40-453D-8421-9B99530FA072}" name="Column9413"/>
    <tableColumn id="9416" xr3:uid="{7E5562B6-18C2-4892-A8C9-F31ADA989518}" name="Column9414"/>
    <tableColumn id="9417" xr3:uid="{B4E83879-DDA0-4B7E-8901-2C25C383FD4F}" name="Column9415"/>
    <tableColumn id="9418" xr3:uid="{E2820527-790D-46A2-959B-112A9000A7D8}" name="Column9416"/>
    <tableColumn id="9419" xr3:uid="{7A8C0E6E-4417-4DDF-B697-20297797B5E9}" name="Column9417"/>
    <tableColumn id="9420" xr3:uid="{C601C80A-5E8E-4E38-A43F-BE1C9781D903}" name="Column9418"/>
    <tableColumn id="9421" xr3:uid="{C34A0E51-211D-4CA2-AD82-DFFE0EC01A4B}" name="Column9419"/>
    <tableColumn id="9422" xr3:uid="{FACFC790-4D46-474A-89A8-2643C1E2B98B}" name="Column9420"/>
    <tableColumn id="9423" xr3:uid="{2A1BDE2C-D60A-4CF7-849A-1EAB2390735D}" name="Column9421"/>
    <tableColumn id="9424" xr3:uid="{8354D4D7-E1A1-4821-B75F-809A7C64990A}" name="Column9422"/>
    <tableColumn id="9425" xr3:uid="{B83812D0-3727-40F9-A7AD-08DC0FDE71B1}" name="Column9423"/>
    <tableColumn id="9426" xr3:uid="{DC6136FA-2D92-42AE-B242-F83D0C40F9E0}" name="Column9424"/>
    <tableColumn id="9427" xr3:uid="{B0F68748-1FD0-4934-8CDA-ECCD5A80678B}" name="Column9425"/>
    <tableColumn id="9428" xr3:uid="{CC1AFB58-1C32-4AA4-9813-8536CB0E4489}" name="Column9426"/>
    <tableColumn id="9429" xr3:uid="{4DEF0A2C-ED6F-4A78-BCEA-2E449AABFE04}" name="Column9427"/>
    <tableColumn id="9430" xr3:uid="{D2453588-F462-4480-8AFC-B5365E54409B}" name="Column9428"/>
    <tableColumn id="9431" xr3:uid="{5A558322-2033-4B57-9B03-6097AA63B0E5}" name="Column9429"/>
    <tableColumn id="9432" xr3:uid="{23EBADFC-5160-4341-B0CB-34FB7D9AE3F0}" name="Column9430"/>
    <tableColumn id="9433" xr3:uid="{8A2A5328-07EC-490B-98B1-92E3ECA9E981}" name="Column9431"/>
    <tableColumn id="9434" xr3:uid="{FCDA4BAC-5BA5-4F5D-8F70-21640E08F6DD}" name="Column9432"/>
    <tableColumn id="9435" xr3:uid="{06D8C96A-E6CE-4FFF-85FC-D281528442E5}" name="Column9433"/>
    <tableColumn id="9436" xr3:uid="{D07B9619-D602-47C8-A8A5-42E47D313957}" name="Column9434"/>
    <tableColumn id="9437" xr3:uid="{9B724631-3AC8-470A-9348-3DEC9F663518}" name="Column9435"/>
    <tableColumn id="9438" xr3:uid="{E84955F3-3619-43F5-822A-00632D62DE22}" name="Column9436"/>
    <tableColumn id="9439" xr3:uid="{B45C85B8-6A54-4205-A790-475EBABE15A7}" name="Column9437"/>
    <tableColumn id="9440" xr3:uid="{2AC8E2CB-03B0-4A10-B6CB-C7DA094362FB}" name="Column9438"/>
    <tableColumn id="9441" xr3:uid="{92B164AB-AC39-43CE-9E9B-52753D4DD898}" name="Column9439"/>
    <tableColumn id="9442" xr3:uid="{511A7767-826D-4C61-8676-A3ACC05621BB}" name="Column9440"/>
    <tableColumn id="9443" xr3:uid="{5542E636-EEF3-4D12-A63A-DFAA92F12C56}" name="Column9441"/>
    <tableColumn id="9444" xr3:uid="{6680D767-679A-432A-B218-A4D08BE77B77}" name="Column9442"/>
    <tableColumn id="9445" xr3:uid="{C27D1A3C-D0E1-493A-803E-9C8547D9868B}" name="Column9443"/>
    <tableColumn id="9446" xr3:uid="{39F261F8-B0B0-4B6F-AE52-2CCBDB9269E0}" name="Column9444"/>
    <tableColumn id="9447" xr3:uid="{FA95F6EC-FED4-410E-B29A-AE9B51E48DB7}" name="Column9445"/>
    <tableColumn id="9448" xr3:uid="{CD057661-4C63-40F2-87D7-154539E64E33}" name="Column9446"/>
    <tableColumn id="9449" xr3:uid="{74B43049-88BC-4ADD-AC97-57334D10E380}" name="Column9447"/>
    <tableColumn id="9450" xr3:uid="{3ADABD73-52F5-4FD6-8BE1-D68673F6E95F}" name="Column9448"/>
    <tableColumn id="9451" xr3:uid="{F7DD53FD-EC06-4900-862C-8EE9CFB2AEE6}" name="Column9449"/>
    <tableColumn id="9452" xr3:uid="{96C2FD5E-19CE-4304-9394-3299204BC68D}" name="Column9450"/>
    <tableColumn id="9453" xr3:uid="{80550554-1AB8-46B1-8E7B-F3C13EE4B2F5}" name="Column9451"/>
    <tableColumn id="9454" xr3:uid="{C248F774-1DF6-42D6-B930-FBBC2E9BCEDE}" name="Column9452"/>
    <tableColumn id="9455" xr3:uid="{80393768-80F9-4CA5-A7DA-2E17A1229399}" name="Column9453"/>
    <tableColumn id="9456" xr3:uid="{FD0B37C9-5400-4F3C-A116-D2ED36B1439A}" name="Column9454"/>
    <tableColumn id="9457" xr3:uid="{621D6C5E-EAE7-4716-A5B4-DA9E6FC14242}" name="Column9455"/>
    <tableColumn id="9458" xr3:uid="{782416BE-1D77-4B35-BD85-A3B3524B665D}" name="Column9456"/>
    <tableColumn id="9459" xr3:uid="{AF438258-A77B-4268-B7D3-9E8394D4E2FA}" name="Column9457"/>
    <tableColumn id="9460" xr3:uid="{2FB5BCAA-D98D-4158-90F1-7B5CBC336BDD}" name="Column9458"/>
    <tableColumn id="9461" xr3:uid="{A417339A-99D3-4EE3-98DD-EAD5D7DE0B67}" name="Column9459"/>
    <tableColumn id="9462" xr3:uid="{E1ABF434-4A22-4214-9989-F8A5C547E797}" name="Column9460"/>
    <tableColumn id="9463" xr3:uid="{28E959EE-2859-4EFE-9A83-104E7C4F4166}" name="Column9461"/>
    <tableColumn id="9464" xr3:uid="{8D03E95B-C117-42AD-A15E-8549BA0272BD}" name="Column9462"/>
    <tableColumn id="9465" xr3:uid="{794AEBE8-B29E-4406-B71B-345C6740C6D1}" name="Column9463"/>
    <tableColumn id="9466" xr3:uid="{DF4E0DF6-DDFF-4995-90E2-445E70B5BA95}" name="Column9464"/>
    <tableColumn id="9467" xr3:uid="{80F3C752-2E9C-4E53-A6A0-268A9891B0B3}" name="Column9465"/>
    <tableColumn id="9468" xr3:uid="{9AE4275F-8D6D-4354-958B-00EF53FE58B5}" name="Column9466"/>
    <tableColumn id="9469" xr3:uid="{DFDDF0F6-97E1-41E1-98B7-BD07DDEA6AF6}" name="Column9467"/>
    <tableColumn id="9470" xr3:uid="{89AA67CB-CD0B-464A-81E7-98461B36F439}" name="Column9468"/>
    <tableColumn id="9471" xr3:uid="{E4ECD6E8-DD3E-4F27-ACE7-BFC953AC08C9}" name="Column9469"/>
    <tableColumn id="9472" xr3:uid="{468D892F-0351-4055-B472-099983B6670F}" name="Column9470"/>
    <tableColumn id="9473" xr3:uid="{9FC02CB9-4551-410E-9B4D-50C198849303}" name="Column9471"/>
    <tableColumn id="9474" xr3:uid="{68517BAF-9AC6-470C-B30B-47EFE08A2562}" name="Column9472"/>
    <tableColumn id="9475" xr3:uid="{53EE1D45-40A9-4F6F-8405-C2B314CB68F7}" name="Column9473"/>
    <tableColumn id="9476" xr3:uid="{99762D58-8FF6-41F6-802D-9FBA3DCCB696}" name="Column9474"/>
    <tableColumn id="9477" xr3:uid="{5CE4147F-9D37-4690-BBB0-E252FDBA3D6A}" name="Column9475"/>
    <tableColumn id="9478" xr3:uid="{D1A5DCEB-E11A-499A-922B-11C41AAE7554}" name="Column9476"/>
    <tableColumn id="9479" xr3:uid="{96CEB761-C2BC-4F38-B8DB-CDB331509C8C}" name="Column9477"/>
    <tableColumn id="9480" xr3:uid="{32D2BAB8-D9F9-4364-B417-1DB8B0694AAF}" name="Column9478"/>
    <tableColumn id="9481" xr3:uid="{B4C6EF0D-1BD6-4145-8637-BCD76216EE63}" name="Column9479"/>
    <tableColumn id="9482" xr3:uid="{97A73596-A8BC-4FCE-A7DE-65126718B6D5}" name="Column9480"/>
    <tableColumn id="9483" xr3:uid="{E6D0397B-CC2A-4BDD-91AD-BC7D1493E4FA}" name="Column9481"/>
    <tableColumn id="9484" xr3:uid="{A4410FD3-442B-4635-9E26-BEBEC0C03668}" name="Column9482"/>
    <tableColumn id="9485" xr3:uid="{AD412171-D008-4C1B-B0A9-E0FB8975CD04}" name="Column9483"/>
    <tableColumn id="9486" xr3:uid="{964D3F31-17E5-4782-91D6-57D8FFA20AF7}" name="Column9484"/>
    <tableColumn id="9487" xr3:uid="{BB403BE9-C7A9-43B8-A97E-DC35F658727B}" name="Column9485"/>
    <tableColumn id="9488" xr3:uid="{F43CF163-90BC-4782-9550-D3DF5078E969}" name="Column9486"/>
    <tableColumn id="9489" xr3:uid="{B7BDCBF4-AD6A-4CE7-96C3-041D00900224}" name="Column9487"/>
    <tableColumn id="9490" xr3:uid="{9DBE9938-E2B9-453D-BE05-C8F714093499}" name="Column9488"/>
    <tableColumn id="9491" xr3:uid="{1014501D-E401-4794-ADB9-4F5B27231AA5}" name="Column9489"/>
    <tableColumn id="9492" xr3:uid="{A977B261-DA2A-4E28-9064-B1E3BDC2E181}" name="Column9490"/>
    <tableColumn id="9493" xr3:uid="{D81C06B7-3C4F-4CCD-8572-E209E32FB51B}" name="Column9491"/>
    <tableColumn id="9494" xr3:uid="{279BF42D-6B32-4EE9-9AF8-EB8C84A92626}" name="Column9492"/>
    <tableColumn id="9495" xr3:uid="{8E94465C-B6B9-4C78-836C-7F0C84BF3357}" name="Column9493"/>
    <tableColumn id="9496" xr3:uid="{78B9E1DD-4E30-49B4-9004-82385842E819}" name="Column9494"/>
    <tableColumn id="9497" xr3:uid="{5967C905-6BC0-4D93-9B07-7CED7C72671F}" name="Column9495"/>
    <tableColumn id="9498" xr3:uid="{E2A6829A-403A-4DF5-8F9B-8D00D861FBBA}" name="Column9496"/>
    <tableColumn id="9499" xr3:uid="{67D8EC1F-1B35-44CE-8ACD-D4A82C586E94}" name="Column9497"/>
    <tableColumn id="9500" xr3:uid="{0DA025DD-349F-4A74-AFD2-C68F7DAE8789}" name="Column9498"/>
    <tableColumn id="9501" xr3:uid="{F8CA5AEE-33AA-4363-8C8F-6B6A3711B74B}" name="Column9499"/>
    <tableColumn id="9502" xr3:uid="{AF81AD4D-E5E2-49E7-9141-CB3DF4C83C3A}" name="Column9500"/>
    <tableColumn id="9503" xr3:uid="{D39BA461-7DBA-4D00-883F-54CE1DA1E0DC}" name="Column9501"/>
    <tableColumn id="9504" xr3:uid="{2425B6C2-5827-4571-8DE6-CDA2EB7B1747}" name="Column9502"/>
    <tableColumn id="9505" xr3:uid="{C6D9E902-D332-4D5E-B99E-1B118148E01B}" name="Column9503"/>
    <tableColumn id="9506" xr3:uid="{CFA893F0-B2C9-4B4B-8913-E5D8354AD1EC}" name="Column9504"/>
    <tableColumn id="9507" xr3:uid="{D4D2F68D-2E5A-4193-9A8A-3F06D0B32E44}" name="Column9505"/>
    <tableColumn id="9508" xr3:uid="{AF1046A5-41DB-47EA-BAA5-FF0FC609E3D2}" name="Column9506"/>
    <tableColumn id="9509" xr3:uid="{A9CA3B59-B54C-4CE6-B8FD-C92376B4B48F}" name="Column9507"/>
    <tableColumn id="9510" xr3:uid="{0B2EDF46-FA56-4B32-A35D-8E6A454FBBBC}" name="Column9508"/>
    <tableColumn id="9511" xr3:uid="{282CCE11-122A-4315-BF0A-FC3D2A3A0F5A}" name="Column9509"/>
    <tableColumn id="9512" xr3:uid="{308AF1F7-FDF0-4F4A-8E79-4E64F5CE60BD}" name="Column9510"/>
    <tableColumn id="9513" xr3:uid="{2BA0AF8F-1318-413A-9637-B4D06A3998DA}" name="Column9511"/>
    <tableColumn id="9514" xr3:uid="{299870AB-F575-4C64-936C-7DC93935D1AB}" name="Column9512"/>
    <tableColumn id="9515" xr3:uid="{91D83474-C7EE-4BFE-992C-837A8E5E0117}" name="Column9513"/>
    <tableColumn id="9516" xr3:uid="{1BC9174D-A158-41CE-BE94-41E60F3CEB38}" name="Column9514"/>
    <tableColumn id="9517" xr3:uid="{ECFBB50D-E17D-4B4B-BDB2-2E0EA965B268}" name="Column9515"/>
    <tableColumn id="9518" xr3:uid="{1400B1F6-7A2A-4BEE-A859-4801E982CAC1}" name="Column9516"/>
    <tableColumn id="9519" xr3:uid="{CCC3C559-2358-404A-B637-A7FF9E764379}" name="Column9517"/>
    <tableColumn id="9520" xr3:uid="{827A272E-D272-4397-9F17-AD5D41BD9536}" name="Column9518"/>
    <tableColumn id="9521" xr3:uid="{FBF8563C-DEA4-4F95-93F7-2C2FEDD5CB5B}" name="Column9519"/>
    <tableColumn id="9522" xr3:uid="{F015B86D-653B-4EF6-B3EC-7EF42C58A0DC}" name="Column9520"/>
    <tableColumn id="9523" xr3:uid="{FDCCD9A2-FC18-4000-9206-0484314B992E}" name="Column9521"/>
    <tableColumn id="9524" xr3:uid="{B62FCE89-550E-47B9-8F29-F10D8A68A106}" name="Column9522"/>
    <tableColumn id="9525" xr3:uid="{E8A124DA-EB02-40C0-8604-61EF9195E319}" name="Column9523"/>
    <tableColumn id="9526" xr3:uid="{9F3E0369-7ADC-475E-BFB1-53E71F90BD36}" name="Column9524"/>
    <tableColumn id="9527" xr3:uid="{CF67A405-7692-4C24-9654-139C12D5B538}" name="Column9525"/>
    <tableColumn id="9528" xr3:uid="{B4C6F1BE-7165-409A-8811-541ED74A87AB}" name="Column9526"/>
    <tableColumn id="9529" xr3:uid="{ED0EC23A-D947-4635-A5DE-43A1DA0B67E3}" name="Column9527"/>
    <tableColumn id="9530" xr3:uid="{38E16BB3-D292-44EC-B27C-77E81A37D08D}" name="Column9528"/>
    <tableColumn id="9531" xr3:uid="{06A5F4DE-D28E-4EBE-B11C-07231FFACB27}" name="Column9529"/>
    <tableColumn id="9532" xr3:uid="{5DCD3C45-5EE1-4ED8-8FFA-DBFB187821F0}" name="Column9530"/>
    <tableColumn id="9533" xr3:uid="{1FF273EE-803A-44E4-9595-29C65462FE88}" name="Column9531"/>
    <tableColumn id="9534" xr3:uid="{BFD28752-9E40-469D-8964-4F1AD28636AB}" name="Column9532"/>
    <tableColumn id="9535" xr3:uid="{9C0723E3-D059-44AD-AE3F-418D03D55080}" name="Column9533"/>
    <tableColumn id="9536" xr3:uid="{3B25A76B-72D9-43B1-8884-4CCE470D7839}" name="Column9534"/>
    <tableColumn id="9537" xr3:uid="{BB4D6100-73C0-4474-83F3-17BB8E34531A}" name="Column9535"/>
    <tableColumn id="9538" xr3:uid="{DA111C00-23CB-4EA1-804E-0007FF30B5D5}" name="Column9536"/>
    <tableColumn id="9539" xr3:uid="{1712868D-55CE-4AE5-ADD2-45B7EFC5A4BA}" name="Column9537"/>
    <tableColumn id="9540" xr3:uid="{8C0E92B1-6949-4AEE-8B57-490545C68924}" name="Column9538"/>
    <tableColumn id="9541" xr3:uid="{4A98EB00-D9EC-4D18-A937-1981D2813E2A}" name="Column9539"/>
    <tableColumn id="9542" xr3:uid="{FE7F4ADD-527B-4390-B885-56EE03F14824}" name="Column9540"/>
    <tableColumn id="9543" xr3:uid="{98F7D524-8EB7-4269-A2A8-3F6BEB1CD201}" name="Column9541"/>
    <tableColumn id="9544" xr3:uid="{DC113007-8B99-4B74-B152-B39939FB840C}" name="Column9542"/>
    <tableColumn id="9545" xr3:uid="{643E91A3-3424-47A7-A34F-5CEA3160B784}" name="Column9543"/>
    <tableColumn id="9546" xr3:uid="{C0921DCC-9236-49F5-96D8-A84DE4F22905}" name="Column9544"/>
    <tableColumn id="9547" xr3:uid="{FDA3E880-B5A0-44C0-999A-8C27F2D49DE0}" name="Column9545"/>
    <tableColumn id="9548" xr3:uid="{A768C474-11E7-42C7-B554-0E3887679886}" name="Column9546"/>
    <tableColumn id="9549" xr3:uid="{A143D27A-633C-469A-B914-A0587DB1E7A8}" name="Column9547"/>
    <tableColumn id="9550" xr3:uid="{BC75C93E-3F7E-41E5-B943-CA260CA14FDA}" name="Column9548"/>
    <tableColumn id="9551" xr3:uid="{E025D185-7B98-4F4A-8405-91316B3A8F36}" name="Column9549"/>
    <tableColumn id="9552" xr3:uid="{01D4E29E-4720-40F6-881C-25D108566259}" name="Column9550"/>
    <tableColumn id="9553" xr3:uid="{57BA9366-CA01-4411-AA88-5DF9DB64247B}" name="Column9551"/>
    <tableColumn id="9554" xr3:uid="{37311C26-11C1-4F97-AAC7-A2B872E029D1}" name="Column9552"/>
    <tableColumn id="9555" xr3:uid="{35751A28-F232-4ADA-A6FB-551BB280D7CA}" name="Column9553"/>
    <tableColumn id="9556" xr3:uid="{3EEC9ADE-378F-4CE2-B3F6-7A86C37FF7D2}" name="Column9554"/>
    <tableColumn id="9557" xr3:uid="{521C93A8-CF2A-4395-84EA-3F5049170245}" name="Column9555"/>
    <tableColumn id="9558" xr3:uid="{39791910-15FF-4276-9117-7DC0DC6D3B36}" name="Column9556"/>
    <tableColumn id="9559" xr3:uid="{CC11296C-8121-44B8-AFE0-6EAA2DF1EEC6}" name="Column9557"/>
    <tableColumn id="9560" xr3:uid="{A1E42242-EA87-4D68-9382-59DCFCFB1696}" name="Column9558"/>
    <tableColumn id="9561" xr3:uid="{A1DA5322-256C-4D9D-8985-19186A9036AA}" name="Column9559"/>
    <tableColumn id="9562" xr3:uid="{79CF7D25-069D-4F8C-85DF-1FC9EB15EDB8}" name="Column9560"/>
    <tableColumn id="9563" xr3:uid="{E2820685-A816-4959-B3EB-56C1950F952F}" name="Column9561"/>
    <tableColumn id="9564" xr3:uid="{8CBF008E-6EEA-40FA-8C5F-5D647A4DF209}" name="Column9562"/>
    <tableColumn id="9565" xr3:uid="{10DAFD8A-ED3E-4E35-9000-48B783D19277}" name="Column9563"/>
    <tableColumn id="9566" xr3:uid="{440CAD73-5F76-4228-B29D-1B9D0E39C05D}" name="Column9564"/>
    <tableColumn id="9567" xr3:uid="{4F46D26A-0B5F-4EEE-828A-32B685547B08}" name="Column9565"/>
    <tableColumn id="9568" xr3:uid="{A2C3BE5B-D403-421A-89F1-81415770EAB3}" name="Column9566"/>
    <tableColumn id="9569" xr3:uid="{6EC6BBE3-08F3-41E7-9BD3-9F5C2F065FC3}" name="Column9567"/>
    <tableColumn id="9570" xr3:uid="{B7EB23AE-6536-4DFC-8841-D5AC9406006A}" name="Column9568"/>
    <tableColumn id="9571" xr3:uid="{103F8180-9CB6-4866-9AFD-909969344772}" name="Column9569"/>
    <tableColumn id="9572" xr3:uid="{FEB08976-89A3-4D39-A6C0-2BEE5B20B34B}" name="Column9570"/>
    <tableColumn id="9573" xr3:uid="{68A6EF90-85FD-4EB6-BE52-301284177898}" name="Column9571"/>
    <tableColumn id="9574" xr3:uid="{26B726A5-CAD7-4AD9-8B51-512052DFA93E}" name="Column9572"/>
    <tableColumn id="9575" xr3:uid="{C7A13A3E-1CE4-419C-A47A-55BFB38E19C0}" name="Column9573"/>
    <tableColumn id="9576" xr3:uid="{DF2AE396-51BC-416F-ABD7-0B415BBD0B79}" name="Column9574"/>
    <tableColumn id="9577" xr3:uid="{B6531E2E-9040-4D1E-9C9C-FB20F45AEA06}" name="Column9575"/>
    <tableColumn id="9578" xr3:uid="{E1340418-B6B6-43CB-9A6C-C2894FD35307}" name="Column9576"/>
    <tableColumn id="9579" xr3:uid="{C013FCB2-4F57-4231-A70F-E5EC77FA3429}" name="Column9577"/>
    <tableColumn id="9580" xr3:uid="{25C3534D-EBD8-4A91-BAFC-F20B705CB1EA}" name="Column9578"/>
    <tableColumn id="9581" xr3:uid="{3F12A777-AC9E-4FC5-BEDF-7CE20AEDF514}" name="Column9579"/>
    <tableColumn id="9582" xr3:uid="{413AABC6-E1C5-4968-A2B9-6B56E0BAFF6E}" name="Column9580"/>
    <tableColumn id="9583" xr3:uid="{EEFED189-8BF5-4A45-9059-BB08A243E420}" name="Column9581"/>
    <tableColumn id="9584" xr3:uid="{96F45979-503D-4A2D-88B6-82D6A45AB6D9}" name="Column9582"/>
    <tableColumn id="9585" xr3:uid="{CB4ED611-A55B-40AD-9482-BFAC8A3B1050}" name="Column9583"/>
    <tableColumn id="9586" xr3:uid="{0D9DB048-6DB7-4C22-93F8-6D142ADFCE89}" name="Column9584"/>
    <tableColumn id="9587" xr3:uid="{1A6A184D-4AFA-4B44-BE79-0945EA9452FA}" name="Column9585"/>
    <tableColumn id="9588" xr3:uid="{7DDBE29E-3EEA-4FF1-9A02-2B6BD7DA41D5}" name="Column9586"/>
    <tableColumn id="9589" xr3:uid="{0A4D76E4-F1FE-476A-B490-4B1514AB25E5}" name="Column9587"/>
    <tableColumn id="9590" xr3:uid="{6265100F-C564-44AB-A0BC-D31E34BCD933}" name="Column9588"/>
    <tableColumn id="9591" xr3:uid="{0DB5EE07-C59B-444D-BB8B-857571D3AC48}" name="Column9589"/>
    <tableColumn id="9592" xr3:uid="{2C42EECB-2EC5-4C05-93E1-61BD90CF0F00}" name="Column9590"/>
    <tableColumn id="9593" xr3:uid="{25DBAD75-8E30-4A6D-B8C2-87B66990B1F1}" name="Column9591"/>
    <tableColumn id="9594" xr3:uid="{0581DEDA-74B1-4127-8302-0EA2C648A056}" name="Column9592"/>
    <tableColumn id="9595" xr3:uid="{02971A33-7B52-44B2-88ED-0AFE9EE5D5F0}" name="Column9593"/>
    <tableColumn id="9596" xr3:uid="{3F5A0411-D187-45D9-AF47-121FB7ADFAE3}" name="Column9594"/>
    <tableColumn id="9597" xr3:uid="{29963842-99E2-4613-B1CD-A1C286037462}" name="Column9595"/>
    <tableColumn id="9598" xr3:uid="{BC41FC3D-29D1-4CB6-86E2-B38E150D318E}" name="Column9596"/>
    <tableColumn id="9599" xr3:uid="{E2360983-CFA1-46A5-A666-E26689BCA942}" name="Column9597"/>
    <tableColumn id="9600" xr3:uid="{4E581A10-59B3-417E-B865-6806C7E98553}" name="Column9598"/>
    <tableColumn id="9601" xr3:uid="{1D225C9E-2754-45B9-9F44-C43C3C9FE8FD}" name="Column9599"/>
    <tableColumn id="9602" xr3:uid="{C05339AD-97AD-4279-BF73-6BBF5A21C966}" name="Column9600"/>
    <tableColumn id="9603" xr3:uid="{BF702C83-0FCF-4834-B098-BB2B90C9D2FD}" name="Column9601"/>
    <tableColumn id="9604" xr3:uid="{27E21FC6-4A07-44C4-85CC-9BCB4DA1C177}" name="Column9602"/>
    <tableColumn id="9605" xr3:uid="{BF2A5908-C805-45D9-8224-9F517D79A185}" name="Column9603"/>
    <tableColumn id="9606" xr3:uid="{2A4E89E0-9EF9-495B-B6CB-35C6D0CA14CA}" name="Column9604"/>
    <tableColumn id="9607" xr3:uid="{57A6B839-4FF9-4C8B-80DA-EFC6117F0AFD}" name="Column9605"/>
    <tableColumn id="9608" xr3:uid="{1ABA61AD-A414-48BD-9C6B-3C0C0D78EEC1}" name="Column9606"/>
    <tableColumn id="9609" xr3:uid="{10B90E25-D102-4C12-9284-DC44CEEC7001}" name="Column9607"/>
    <tableColumn id="9610" xr3:uid="{7FD397E6-DFAD-4133-97DB-9A377FFE9F1E}" name="Column9608"/>
    <tableColumn id="9611" xr3:uid="{8FF48AEE-DED2-48B3-9E20-C48991EC32F5}" name="Column9609"/>
    <tableColumn id="9612" xr3:uid="{57F4AEC8-FDB3-429E-B528-D620DB1D2B55}" name="Column9610"/>
    <tableColumn id="9613" xr3:uid="{8EF3AE87-2086-430B-BB4B-2A9177878713}" name="Column9611"/>
    <tableColumn id="9614" xr3:uid="{61D3E6A7-3902-403D-96F5-CB70EFC4D69D}" name="Column9612"/>
    <tableColumn id="9615" xr3:uid="{ABE0A9B2-F6B9-4AD7-8491-33497BA12506}" name="Column9613"/>
    <tableColumn id="9616" xr3:uid="{902BF89D-12F4-4F81-9015-80743FB33E01}" name="Column9614"/>
    <tableColumn id="9617" xr3:uid="{531A2564-5F57-4C50-A4BF-9C871A9CC379}" name="Column9615"/>
    <tableColumn id="9618" xr3:uid="{5D7C461A-528F-474D-817B-B0802EDFF02C}" name="Column9616"/>
    <tableColumn id="9619" xr3:uid="{29C970DB-8639-48F2-9F30-AEF446B97F99}" name="Column9617"/>
    <tableColumn id="9620" xr3:uid="{A01EDE40-3DFF-43E1-BC73-53467E1FC7E4}" name="Column9618"/>
    <tableColumn id="9621" xr3:uid="{49A8A386-1AFC-4D3C-A0B9-178AE95129A1}" name="Column9619"/>
    <tableColumn id="9622" xr3:uid="{C9268DA3-33A4-4145-86EB-E3D963872031}" name="Column9620"/>
    <tableColumn id="9623" xr3:uid="{E68F996E-1337-46D4-BF45-79483E3D8527}" name="Column9621"/>
    <tableColumn id="9624" xr3:uid="{657A1357-C37F-4954-ADF8-2A8E77764632}" name="Column9622"/>
    <tableColumn id="9625" xr3:uid="{5B58AA90-57B2-45A4-8714-060D85CB9607}" name="Column9623"/>
    <tableColumn id="9626" xr3:uid="{734CDA93-323E-4210-8A1C-1C6D435F5CF8}" name="Column9624"/>
    <tableColumn id="9627" xr3:uid="{B0532EB2-32D3-4359-8752-E66991988889}" name="Column9625"/>
    <tableColumn id="9628" xr3:uid="{FE588EAF-432D-4FF8-A0ED-950240FD533C}" name="Column9626"/>
    <tableColumn id="9629" xr3:uid="{12500C7D-44A0-4E08-8406-D6D8D7BD67EA}" name="Column9627"/>
    <tableColumn id="9630" xr3:uid="{04C71B71-4626-42DD-AE9E-59E265736519}" name="Column9628"/>
    <tableColumn id="9631" xr3:uid="{0CB866D9-30DD-4B7A-9750-145C4BEF3BB7}" name="Column9629"/>
    <tableColumn id="9632" xr3:uid="{58AD18B6-AE47-4AEF-897D-A8D1CB4ED807}" name="Column9630"/>
    <tableColumn id="9633" xr3:uid="{149026B0-68EE-41C5-87C2-67DF8AE4E2F4}" name="Column9631"/>
    <tableColumn id="9634" xr3:uid="{FC53A53C-F1A4-4C67-A040-2060D8B1AE5F}" name="Column9632"/>
    <tableColumn id="9635" xr3:uid="{D28FF0F6-5423-4BFA-84BE-88A149DEF350}" name="Column9633"/>
    <tableColumn id="9636" xr3:uid="{CA222885-FBFC-4E7A-89D5-B3E70AE207C5}" name="Column9634"/>
    <tableColumn id="9637" xr3:uid="{EC30279D-4007-43A9-B8C5-FA034CDFFFD0}" name="Column9635"/>
    <tableColumn id="9638" xr3:uid="{0143A7D3-437D-488B-AF88-6F22B6F856AD}" name="Column9636"/>
    <tableColumn id="9639" xr3:uid="{9230B99B-704C-4D4E-AD71-0108F78E64F8}" name="Column9637"/>
    <tableColumn id="9640" xr3:uid="{DF4E163B-FAB0-4FB9-8EEA-F31C8F7F8AC7}" name="Column9638"/>
    <tableColumn id="9641" xr3:uid="{1627127A-15FE-4534-AE4A-B37AEE627CC8}" name="Column9639"/>
    <tableColumn id="9642" xr3:uid="{35A42C92-71F6-48D9-B2E3-5C3159B17199}" name="Column9640"/>
    <tableColumn id="9643" xr3:uid="{E0E270EA-BC36-42A0-BC19-63157DFBDBF0}" name="Column9641"/>
    <tableColumn id="9644" xr3:uid="{0CB26FE6-642A-4EEA-B969-0A697D63431C}" name="Column9642"/>
    <tableColumn id="9645" xr3:uid="{5E369C98-E957-4BD4-957F-9A5323122A7E}" name="Column9643"/>
    <tableColumn id="9646" xr3:uid="{1A6EF916-5DEF-4C44-B610-10AE04319D83}" name="Column9644"/>
    <tableColumn id="9647" xr3:uid="{C7F1FEE4-6247-41ED-823D-4BA7C26B44CE}" name="Column9645"/>
    <tableColumn id="9648" xr3:uid="{A68A4462-6D2D-449B-9EDA-43808047E83A}" name="Column9646"/>
    <tableColumn id="9649" xr3:uid="{9B0A95A5-254D-4F4C-804D-51BCE89BDF61}" name="Column9647"/>
    <tableColumn id="9650" xr3:uid="{5BF0E497-302B-4439-8C28-FA5078A0845D}" name="Column9648"/>
    <tableColumn id="9651" xr3:uid="{0458BBBB-F5E4-42BE-B4FF-269335F91853}" name="Column9649"/>
    <tableColumn id="9652" xr3:uid="{87921180-E8EF-4BB0-BBF9-A4B11291AE9B}" name="Column9650"/>
    <tableColumn id="9653" xr3:uid="{D8F8E5FD-0EF5-48CE-BB08-6470A7772499}" name="Column9651"/>
    <tableColumn id="9654" xr3:uid="{502A77B6-D63C-4B23-B740-F72A0E89FD2E}" name="Column9652"/>
    <tableColumn id="9655" xr3:uid="{9F4C17D4-75B4-44B0-B760-A7C6D79E3429}" name="Column9653"/>
    <tableColumn id="9656" xr3:uid="{46C0718F-28E5-4906-AE47-4F59EBE16CD5}" name="Column9654"/>
    <tableColumn id="9657" xr3:uid="{28AAF930-F8C3-4561-AE19-29829A133369}" name="Column9655"/>
    <tableColumn id="9658" xr3:uid="{258F0B60-3771-4F11-B5C2-250C1D0EE16A}" name="Column9656"/>
    <tableColumn id="9659" xr3:uid="{D7A45A14-F727-4ABF-BD2C-CBFF840CB053}" name="Column9657"/>
    <tableColumn id="9660" xr3:uid="{DB81A520-2418-4FB3-8220-BA06EE85DF2E}" name="Column9658"/>
    <tableColumn id="9661" xr3:uid="{4138372C-8C67-41B3-842B-E637900FAFBC}" name="Column9659"/>
    <tableColumn id="9662" xr3:uid="{FBA6F18E-27C0-44DA-BBF8-0CD6C7878487}" name="Column9660"/>
    <tableColumn id="9663" xr3:uid="{6047634D-3EAA-4307-B0DF-E11595A632D0}" name="Column9661"/>
    <tableColumn id="9664" xr3:uid="{44D2122C-239B-412E-A088-80F86F34F6BA}" name="Column9662"/>
    <tableColumn id="9665" xr3:uid="{B47C1268-BBD1-4356-9CEF-9BFF9C10F3C3}" name="Column9663"/>
    <tableColumn id="9666" xr3:uid="{35469490-AD9F-41DC-9E83-3F9E2A689788}" name="Column9664"/>
    <tableColumn id="9667" xr3:uid="{AABAFEA4-FD15-4482-88E4-BBB5BF5AE6EA}" name="Column9665"/>
    <tableColumn id="9668" xr3:uid="{9BE29B4A-6F6A-4B8A-A852-F1BCD6128003}" name="Column9666"/>
    <tableColumn id="9669" xr3:uid="{0FD37F55-5315-447D-B633-972DE7EB0861}" name="Column9667"/>
    <tableColumn id="9670" xr3:uid="{E4A83CBB-108E-4DBC-B1C8-8E8091FBEC3C}" name="Column9668"/>
    <tableColumn id="9671" xr3:uid="{FA0B49A7-A324-4ECB-80F9-578238430D4F}" name="Column9669"/>
    <tableColumn id="9672" xr3:uid="{FFFB490F-3EFB-42B0-8DFD-A982C9B2784A}" name="Column9670"/>
    <tableColumn id="9673" xr3:uid="{E51B9169-C132-43C4-87F5-315A9959E0C0}" name="Column9671"/>
    <tableColumn id="9674" xr3:uid="{3EECE760-FA78-487A-B858-3CCAD7F3AD8B}" name="Column9672"/>
    <tableColumn id="9675" xr3:uid="{01CF861A-96C0-47DA-93AD-A5392D3094FD}" name="Column9673"/>
    <tableColumn id="9676" xr3:uid="{1500B30E-DF10-4882-B0EE-A0DE54959602}" name="Column9674"/>
    <tableColumn id="9677" xr3:uid="{9B38158A-0DB7-4B7A-9C85-6CCCF9A758A2}" name="Column9675"/>
    <tableColumn id="9678" xr3:uid="{73FC586E-0C48-4977-A670-7CF9C39F35F7}" name="Column9676"/>
    <tableColumn id="9679" xr3:uid="{BE9501A5-8671-4DDC-8128-B6955B7E6641}" name="Column9677"/>
    <tableColumn id="9680" xr3:uid="{C0E41655-14B0-4080-8575-508B69493FC3}" name="Column9678"/>
    <tableColumn id="9681" xr3:uid="{EE90BC67-72BA-4E11-8BF7-8E6CE4AB586B}" name="Column9679"/>
    <tableColumn id="9682" xr3:uid="{2375257A-AEDD-4044-B30A-659D892D3400}" name="Column9680"/>
    <tableColumn id="9683" xr3:uid="{BC54C230-18D6-40D7-A58F-92F5A87727D1}" name="Column9681"/>
    <tableColumn id="9684" xr3:uid="{628581AB-8496-4576-89D2-FFEFA6D00BC0}" name="Column9682"/>
    <tableColumn id="9685" xr3:uid="{51D632EB-62FA-43E7-AACD-FCE4B24C21FC}" name="Column9683"/>
    <tableColumn id="9686" xr3:uid="{7DFE444D-F6DE-49F4-AC84-9C4AEEE00E5D}" name="Column9684"/>
    <tableColumn id="9687" xr3:uid="{01C9EEDE-215F-4DF9-981B-334C9D804383}" name="Column9685"/>
    <tableColumn id="9688" xr3:uid="{CA84AA24-F8BA-4F39-96B8-75E68E10C3DB}" name="Column9686"/>
    <tableColumn id="9689" xr3:uid="{9440EB31-87D8-4FD5-8EE5-F4DE444AF64B}" name="Column9687"/>
    <tableColumn id="9690" xr3:uid="{29482B85-FF37-41C8-9365-290CC5BD60AD}" name="Column9688"/>
    <tableColumn id="9691" xr3:uid="{117C4511-B363-427D-A8ED-78DF700F558A}" name="Column9689"/>
    <tableColumn id="9692" xr3:uid="{58E01069-83AD-4B09-946E-2C5EDFE68B8D}" name="Column9690"/>
    <tableColumn id="9693" xr3:uid="{722909D7-C051-4CBD-B0D6-126079CC0E9E}" name="Column9691"/>
    <tableColumn id="9694" xr3:uid="{B72A81A8-ACA5-4829-AD7C-0449DA1B40F2}" name="Column9692"/>
    <tableColumn id="9695" xr3:uid="{1FE33FD3-8FB1-43F5-B862-909C3F595766}" name="Column9693"/>
    <tableColumn id="9696" xr3:uid="{E4D47632-1268-4808-BF14-419F8CEDB9A1}" name="Column9694"/>
    <tableColumn id="9697" xr3:uid="{D93ACF99-A08C-4D97-800A-321F008C37BD}" name="Column9695"/>
    <tableColumn id="9698" xr3:uid="{7BA1BEC2-50CA-4C1C-8F4B-C94FC3267041}" name="Column9696"/>
    <tableColumn id="9699" xr3:uid="{7C07A778-FC32-433D-8DEA-C44640D61601}" name="Column9697"/>
    <tableColumn id="9700" xr3:uid="{430095F5-073B-4209-9C7E-82679AEC7CA0}" name="Column9698"/>
    <tableColumn id="9701" xr3:uid="{3FA09013-0823-4614-8BB4-96BDF280CFD8}" name="Column9699"/>
    <tableColumn id="9702" xr3:uid="{15B80DD0-55A7-45BD-A74D-00EC79CCEB43}" name="Column9700"/>
    <tableColumn id="9703" xr3:uid="{CEB71D75-2E50-451A-B592-2216ACF77CED}" name="Column9701"/>
    <tableColumn id="9704" xr3:uid="{75C9F5D7-DA9C-4CD3-BE75-00239007357D}" name="Column9702"/>
    <tableColumn id="9705" xr3:uid="{9EDDFE96-3874-45A9-99CF-502EAAB51814}" name="Column9703"/>
    <tableColumn id="9706" xr3:uid="{DA57E93B-9A11-42B3-B4FB-4291114856C8}" name="Column9704"/>
    <tableColumn id="9707" xr3:uid="{8BD4CA18-032B-4F71-B12C-E8114C07FCD7}" name="Column9705"/>
    <tableColumn id="9708" xr3:uid="{E679817E-08EE-4DCE-BF82-F4435645F66A}" name="Column9706"/>
    <tableColumn id="9709" xr3:uid="{2F628B21-D1DB-43F0-ADF7-31EADAC25BB0}" name="Column9707"/>
    <tableColumn id="9710" xr3:uid="{C1D3E596-19CF-4651-B71C-AE84BA838C71}" name="Column9708"/>
    <tableColumn id="9711" xr3:uid="{73B3B94E-5524-467C-950D-61428E9E3AE7}" name="Column9709"/>
    <tableColumn id="9712" xr3:uid="{A724E53C-EE2D-40D9-ABD6-992E0A050263}" name="Column9710"/>
    <tableColumn id="9713" xr3:uid="{AF82BBDB-8D31-46B0-9D43-2D9AE4373AE7}" name="Column9711"/>
    <tableColumn id="9714" xr3:uid="{45038DD3-A07A-44D9-836B-19179A7C5686}" name="Column9712"/>
    <tableColumn id="9715" xr3:uid="{75E80B68-77C4-4268-85C2-E8143D3063E9}" name="Column9713"/>
    <tableColumn id="9716" xr3:uid="{C5ACE263-1F44-4322-B774-4F36EB4E9DE2}" name="Column9714"/>
    <tableColumn id="9717" xr3:uid="{86E15015-C118-4039-97D6-B18AC8546F88}" name="Column9715"/>
    <tableColumn id="9718" xr3:uid="{78A56592-6AC3-4DD7-95DC-69EAC1DD2094}" name="Column9716"/>
    <tableColumn id="9719" xr3:uid="{46BA3515-900A-4F80-8150-516027B24C78}" name="Column9717"/>
    <tableColumn id="9720" xr3:uid="{576B7DD6-551E-45C5-8AC3-A4D102895D94}" name="Column9718"/>
    <tableColumn id="9721" xr3:uid="{CF0D6E1E-5FB5-4B61-85D4-538322D7905E}" name="Column9719"/>
    <tableColumn id="9722" xr3:uid="{5452E8E4-2E3F-46D6-ADEF-4BFB0B84B85F}" name="Column9720"/>
    <tableColumn id="9723" xr3:uid="{ED77D2C0-FA5D-4709-9458-F002B2E90C17}" name="Column9721"/>
    <tableColumn id="9724" xr3:uid="{9E275C6D-BBD4-4E73-A844-A315AAB05AC4}" name="Column9722"/>
    <tableColumn id="9725" xr3:uid="{60C74A67-6CC0-419B-8C2B-DE6A31CB112B}" name="Column9723"/>
    <tableColumn id="9726" xr3:uid="{09A86B4A-3DF8-41F9-ADD4-BD52132C2671}" name="Column9724"/>
    <tableColumn id="9727" xr3:uid="{B4D63C61-09EF-407E-90BE-F69BE015B90D}" name="Column9725"/>
    <tableColumn id="9728" xr3:uid="{2D01CEDF-3BEA-4F73-AFBC-4D5C6A873B59}" name="Column9726"/>
    <tableColumn id="9729" xr3:uid="{7073BCED-60A7-4B61-BBF6-8F6133744EEC}" name="Column9727"/>
    <tableColumn id="9730" xr3:uid="{B36339DB-0DF6-43E6-B518-686D2D7E7608}" name="Column9728"/>
    <tableColumn id="9731" xr3:uid="{B0A5D1BC-DCAC-4E78-8743-9794B74194B9}" name="Column9729"/>
    <tableColumn id="9732" xr3:uid="{78AEA7D0-D91D-471C-AAC7-19636893DC3C}" name="Column9730"/>
    <tableColumn id="9733" xr3:uid="{71B41A3F-CDAE-4845-94A2-84C7B614568C}" name="Column9731"/>
    <tableColumn id="9734" xr3:uid="{6C844143-2EAD-413C-AF67-D8B7FEDBF42D}" name="Column9732"/>
    <tableColumn id="9735" xr3:uid="{A64F3893-52F3-41AC-A4C0-01B7855B7A15}" name="Column9733"/>
    <tableColumn id="9736" xr3:uid="{AB238092-989D-4D5D-BC7F-FE3D8703C684}" name="Column9734"/>
    <tableColumn id="9737" xr3:uid="{AA488DFC-8DD9-4002-9075-BDB1F8B9725B}" name="Column9735"/>
    <tableColumn id="9738" xr3:uid="{3C2B3A4F-FC5C-405C-95DB-287867121D2A}" name="Column9736"/>
    <tableColumn id="9739" xr3:uid="{1B476F8E-8CB9-4032-AC3A-39E21113F338}" name="Column9737"/>
    <tableColumn id="9740" xr3:uid="{9B0FE290-C7A3-4900-9AF9-11FA5042C925}" name="Column9738"/>
    <tableColumn id="9741" xr3:uid="{5389B97C-2081-46A0-A84D-7C5753F84851}" name="Column9739"/>
    <tableColumn id="9742" xr3:uid="{EE302365-6099-4274-8904-59B8B9727058}" name="Column9740"/>
    <tableColumn id="9743" xr3:uid="{414A1660-2791-4998-9E79-669238966640}" name="Column9741"/>
    <tableColumn id="9744" xr3:uid="{410ECC86-82E0-4252-B283-67CF6197A4A6}" name="Column9742"/>
    <tableColumn id="9745" xr3:uid="{9FF79470-2F3C-4FE3-9D98-B3F66D032DF4}" name="Column9743"/>
    <tableColumn id="9746" xr3:uid="{C98889C9-4525-4DA6-807D-6BCAB0767194}" name="Column9744"/>
    <tableColumn id="9747" xr3:uid="{C65E81D4-9C99-4FEA-ACF4-B11DE5EA8B37}" name="Column9745"/>
    <tableColumn id="9748" xr3:uid="{118BA89D-019C-463C-9FA1-14AEA7710946}" name="Column9746"/>
    <tableColumn id="9749" xr3:uid="{1864E7D6-4715-4CB9-9AAE-4C457533CC26}" name="Column9747"/>
    <tableColumn id="9750" xr3:uid="{4D36865B-5C4D-43E5-BA0F-0A8D88CDAF5D}" name="Column9748"/>
    <tableColumn id="9751" xr3:uid="{C99CB89B-2926-4B4D-941D-330BFBD349AB}" name="Column9749"/>
    <tableColumn id="9752" xr3:uid="{9BDA7020-F9EC-4D2E-8C6A-3DD57A68BC68}" name="Column9750"/>
    <tableColumn id="9753" xr3:uid="{6AB70CA2-EB82-40C3-B0EB-66147751EB8A}" name="Column9751"/>
    <tableColumn id="9754" xr3:uid="{4D89179B-12F4-45C7-AE53-B362BB10777F}" name="Column9752"/>
    <tableColumn id="9755" xr3:uid="{FF24FFC0-E24C-4A51-8701-3C9AABC3E44D}" name="Column9753"/>
    <tableColumn id="9756" xr3:uid="{05292D35-92EC-44FA-B75D-20A560B4F056}" name="Column9754"/>
    <tableColumn id="9757" xr3:uid="{3C0B500D-AF94-4610-B7F4-C4546DC2E192}" name="Column9755"/>
    <tableColumn id="9758" xr3:uid="{4D33BEB1-B7BF-4DD6-836F-E9AC140577B4}" name="Column9756"/>
    <tableColumn id="9759" xr3:uid="{6FE27CDD-4209-4E01-B266-BB0586629603}" name="Column9757"/>
    <tableColumn id="9760" xr3:uid="{1755C27A-42A6-435C-AD9B-72F304D8C3D6}" name="Column9758"/>
    <tableColumn id="9761" xr3:uid="{FDA84571-276D-43F0-BF1D-FA24A20051BB}" name="Column9759"/>
    <tableColumn id="9762" xr3:uid="{4F9F4F41-E596-4926-A2F8-F5E196FF6F8A}" name="Column9760"/>
    <tableColumn id="9763" xr3:uid="{A0CCD868-7D05-4DFB-847D-351A9CA46E9E}" name="Column9761"/>
    <tableColumn id="9764" xr3:uid="{97CDB9FF-5C6A-4324-92BC-CDE5BDBA5D32}" name="Column9762"/>
    <tableColumn id="9765" xr3:uid="{1C0701B3-C162-4C16-9FBE-9E39D27DC5DE}" name="Column9763"/>
    <tableColumn id="9766" xr3:uid="{1F77D0F6-37E9-4426-B361-0DF0826A457A}" name="Column9764"/>
    <tableColumn id="9767" xr3:uid="{E11DA096-5785-47B5-8CA9-4D253C596751}" name="Column9765"/>
    <tableColumn id="9768" xr3:uid="{D968ECD4-78E2-466F-ABBF-9E21FC4F04AF}" name="Column9766"/>
    <tableColumn id="9769" xr3:uid="{4130F2A2-36F6-4515-95E5-5AADC7249EFE}" name="Column9767"/>
    <tableColumn id="9770" xr3:uid="{14ADC21C-FB60-4863-B9F2-65A95A1C9C25}" name="Column9768"/>
    <tableColumn id="9771" xr3:uid="{A9853ACA-C0ED-4B89-A3FB-BE478C0A55E5}" name="Column9769"/>
    <tableColumn id="9772" xr3:uid="{AB9EBD07-0372-499D-A619-09D6097B48C4}" name="Column9770"/>
    <tableColumn id="9773" xr3:uid="{2D49AB05-34E9-4721-BFE4-08EE6D3CE9FD}" name="Column9771"/>
    <tableColumn id="9774" xr3:uid="{D696DB4F-A021-49EA-B67D-317C345A4EC3}" name="Column9772"/>
    <tableColumn id="9775" xr3:uid="{1E87994D-C1A8-4139-BD0D-C4EFDD969241}" name="Column9773"/>
    <tableColumn id="9776" xr3:uid="{933554EF-15DF-4B33-9CE7-3E8A6EC383DC}" name="Column9774"/>
    <tableColumn id="9777" xr3:uid="{36F749A2-E1E1-4663-8235-89A808A138DD}" name="Column9775"/>
    <tableColumn id="9778" xr3:uid="{58989A7D-C5AD-454C-95FD-4A202497FBE1}" name="Column9776"/>
    <tableColumn id="9779" xr3:uid="{F2143700-E2CC-4F2D-94C2-14BD251BDBB1}" name="Column9777"/>
    <tableColumn id="9780" xr3:uid="{DF0F4CC6-6A4D-46AA-9484-C0F8EFFAF229}" name="Column9778"/>
    <tableColumn id="9781" xr3:uid="{B9241B17-4B3E-41E9-A755-625AA3A6BA29}" name="Column9779"/>
    <tableColumn id="9782" xr3:uid="{5D6CA898-AF93-4269-A7F9-E56085397043}" name="Column9780"/>
    <tableColumn id="9783" xr3:uid="{BFE77FF5-B2C0-45EC-9331-B5F1FE59A356}" name="Column9781"/>
    <tableColumn id="9784" xr3:uid="{A0579915-BB7A-4CD8-AD5C-7681532C2C4D}" name="Column9782"/>
    <tableColumn id="9785" xr3:uid="{867158FC-1239-41EF-95E4-EE6098381B27}" name="Column9783"/>
    <tableColumn id="9786" xr3:uid="{ED9E30EA-085F-445C-95B9-E50AA7476008}" name="Column9784"/>
    <tableColumn id="9787" xr3:uid="{6005E29B-9C68-4C95-AF8A-108283F61850}" name="Column9785"/>
    <tableColumn id="9788" xr3:uid="{744A6390-38E3-4D6E-8DC6-BF641B1DC4D9}" name="Column9786"/>
    <tableColumn id="9789" xr3:uid="{8619CD76-2487-4BEC-82EF-BCBFFB4DE18C}" name="Column9787"/>
    <tableColumn id="9790" xr3:uid="{A4381937-A41E-4032-92B8-1614CEDBB4AC}" name="Column9788"/>
    <tableColumn id="9791" xr3:uid="{8CC724C0-FA21-4D70-A734-81183B25959D}" name="Column9789"/>
    <tableColumn id="9792" xr3:uid="{F317AAA9-42B2-493C-97BA-E2F5F82CAE93}" name="Column9790"/>
    <tableColumn id="9793" xr3:uid="{02694AE4-57AD-4DD6-8343-117F2721071D}" name="Column9791"/>
    <tableColumn id="9794" xr3:uid="{911F6B79-AEB8-4256-8B42-63FFE803A8C1}" name="Column9792"/>
    <tableColumn id="9795" xr3:uid="{6B775FC5-EC42-413E-A2C1-496083B7D7A5}" name="Column9793"/>
    <tableColumn id="9796" xr3:uid="{8E4CB480-1F7B-4571-9935-DC68626B71CE}" name="Column9794"/>
    <tableColumn id="9797" xr3:uid="{2A20D316-AE79-4A3A-8A57-CDC88F5C77BA}" name="Column9795"/>
    <tableColumn id="9798" xr3:uid="{97874023-5A07-40C5-86BC-C7CFB493E3AF}" name="Column9796"/>
    <tableColumn id="9799" xr3:uid="{5FDEB2C8-3E43-4044-8CC1-8C841788BA1D}" name="Column9797"/>
    <tableColumn id="9800" xr3:uid="{04ADD40A-3D4D-4420-B045-3A4A78F5BDD0}" name="Column9798"/>
    <tableColumn id="9801" xr3:uid="{4FFD34AD-2817-4DD2-9CC8-0B66D90F54C4}" name="Column9799"/>
    <tableColumn id="9802" xr3:uid="{80AA37F4-89A5-4CA6-828B-AF2EA12932DF}" name="Column9800"/>
    <tableColumn id="9803" xr3:uid="{D6E39A5B-B45A-4F0F-894B-9D2369AE4C32}" name="Column9801"/>
    <tableColumn id="9804" xr3:uid="{9767A933-F7CB-46C8-9363-73D3D9A284F0}" name="Column9802"/>
    <tableColumn id="9805" xr3:uid="{1808B643-B271-478E-A873-90D87B9327DD}" name="Column9803"/>
    <tableColumn id="9806" xr3:uid="{7C035D99-198C-4773-8AA8-C7C1C0F0BF52}" name="Column9804"/>
    <tableColumn id="9807" xr3:uid="{6899003C-92FC-450C-B673-F9A4B66B7A2B}" name="Column9805"/>
    <tableColumn id="9808" xr3:uid="{31A7E4E2-395D-4D6D-82F3-208850B79D52}" name="Column9806"/>
    <tableColumn id="9809" xr3:uid="{506671F6-E883-441E-A524-E675191CFEB8}" name="Column9807"/>
    <tableColumn id="9810" xr3:uid="{821D9F85-98C4-4815-A200-A3B90B225B4C}" name="Column9808"/>
    <tableColumn id="9811" xr3:uid="{7271B409-5E17-49F6-AEE9-66E94A05A005}" name="Column9809"/>
    <tableColumn id="9812" xr3:uid="{69E713F4-9A71-41FB-A6B5-A188EFB1D5C6}" name="Column9810"/>
    <tableColumn id="9813" xr3:uid="{6A57D63A-67F5-4E49-9E50-27B4A3637857}" name="Column9811"/>
    <tableColumn id="9814" xr3:uid="{A1014021-D5C8-414E-B901-CF57D5024081}" name="Column9812"/>
    <tableColumn id="9815" xr3:uid="{4C3E2292-0FE7-4399-BE2B-797648E0A6C2}" name="Column9813"/>
    <tableColumn id="9816" xr3:uid="{431C9A1F-C21F-4504-9B94-7CE6994380B1}" name="Column9814"/>
    <tableColumn id="9817" xr3:uid="{9410CB64-FEC4-4768-8917-7C6E39574065}" name="Column9815"/>
    <tableColumn id="9818" xr3:uid="{28DB383C-909B-4FBB-A36A-F6B6B3A20431}" name="Column9816"/>
    <tableColumn id="9819" xr3:uid="{281A6AE7-4A0C-4C6B-92E5-C9866312EAE1}" name="Column9817"/>
    <tableColumn id="9820" xr3:uid="{4E984DC4-EBE4-490D-AB80-5425BCB1205A}" name="Column9818"/>
    <tableColumn id="9821" xr3:uid="{B26EE939-F373-4D30-9416-6A648FA3482D}" name="Column9819"/>
    <tableColumn id="9822" xr3:uid="{F1FBBF1C-873A-4DE9-8CED-5F3B0C136F93}" name="Column9820"/>
    <tableColumn id="9823" xr3:uid="{EBDCADE0-90E0-4497-9AE4-1B789F1C5970}" name="Column9821"/>
    <tableColumn id="9824" xr3:uid="{02191081-7546-4A72-986F-2C91BF17DD5A}" name="Column9822"/>
    <tableColumn id="9825" xr3:uid="{C8E496D5-11CA-4415-AA58-1C42C2C0F0C0}" name="Column9823"/>
    <tableColumn id="9826" xr3:uid="{28AE2138-3088-4605-9F9A-8CDDA259AF05}" name="Column9824"/>
    <tableColumn id="9827" xr3:uid="{68E50C75-0E93-4C1D-8BFB-C20043CA558A}" name="Column9825"/>
    <tableColumn id="9828" xr3:uid="{2A6AFA3C-D764-4751-87AC-DB640B60185C}" name="Column9826"/>
    <tableColumn id="9829" xr3:uid="{4CF8094C-FB21-4A48-81E3-341B6BE0CFEA}" name="Column9827"/>
    <tableColumn id="9830" xr3:uid="{6C9DA905-A97D-4915-A4D2-1EED5A0D5003}" name="Column9828"/>
    <tableColumn id="9831" xr3:uid="{F152C205-5383-465A-B4E3-CC1AC5C5219C}" name="Column9829"/>
    <tableColumn id="9832" xr3:uid="{F9EE1E24-FF41-4AD2-963F-0695E0B35794}" name="Column9830"/>
    <tableColumn id="9833" xr3:uid="{58EB8CF8-0A09-4AAC-8939-77C0C891C9FB}" name="Column9831"/>
    <tableColumn id="9834" xr3:uid="{5C6452AA-918D-44CC-80E4-2888E4C769B5}" name="Column9832"/>
    <tableColumn id="9835" xr3:uid="{225DF022-CF6A-4A5E-BE52-C0449F125ACF}" name="Column9833"/>
    <tableColumn id="9836" xr3:uid="{ABE422F0-8592-4D95-9FE6-472F33A3E3AA}" name="Column9834"/>
    <tableColumn id="9837" xr3:uid="{A8659091-6492-4D4D-9370-EE75552EFEAE}" name="Column9835"/>
    <tableColumn id="9838" xr3:uid="{D1247DE9-4C88-4B21-A975-A0AB08DB9443}" name="Column9836"/>
    <tableColumn id="9839" xr3:uid="{E9141C06-46C1-4183-8CC3-289DBC5767E8}" name="Column9837"/>
    <tableColumn id="9840" xr3:uid="{9616B25C-DAD7-47AA-9EE5-AA24CF215D2B}" name="Column9838"/>
    <tableColumn id="9841" xr3:uid="{455C5405-0014-4677-B17E-18771711EC12}" name="Column9839"/>
    <tableColumn id="9842" xr3:uid="{571DBCCC-5341-4E72-8930-FC49671102E4}" name="Column9840"/>
    <tableColumn id="9843" xr3:uid="{68EA656A-3657-446E-8F40-5A65689AFBF1}" name="Column9841"/>
    <tableColumn id="9844" xr3:uid="{764A79BC-EAB4-4E8D-975A-2CB197EC0264}" name="Column9842"/>
    <tableColumn id="9845" xr3:uid="{AEF646A9-15B3-4D43-9A41-F4E1FD8F62C3}" name="Column9843"/>
    <tableColumn id="9846" xr3:uid="{20381477-893B-4DF4-AE6E-6FFCBDA38317}" name="Column9844"/>
    <tableColumn id="9847" xr3:uid="{8E52131F-4409-4D9E-9714-4CD1FB37F127}" name="Column9845"/>
    <tableColumn id="9848" xr3:uid="{56C0B931-3446-4727-8110-5791DB5117A5}" name="Column9846"/>
    <tableColumn id="9849" xr3:uid="{44D05125-50AE-44EB-A3BE-2C81AF97081D}" name="Column9847"/>
    <tableColumn id="9850" xr3:uid="{10B9AF6C-0EC6-47F7-9BB8-0DB99CFD6F55}" name="Column9848"/>
    <tableColumn id="9851" xr3:uid="{245521BD-4472-4744-A7AC-A03C16E2AEB7}" name="Column9849"/>
    <tableColumn id="9852" xr3:uid="{B04C326A-9840-45D4-8AA2-E9178398C1CD}" name="Column9850"/>
    <tableColumn id="9853" xr3:uid="{2E5643F6-FB71-4D97-9E2B-5CF9A653DD50}" name="Column9851"/>
    <tableColumn id="9854" xr3:uid="{8022634D-E6D1-4A67-9105-F4AC50F3E0C9}" name="Column9852"/>
    <tableColumn id="9855" xr3:uid="{0FC06D54-BE33-4B08-AE60-20B9F935917F}" name="Column9853"/>
    <tableColumn id="9856" xr3:uid="{D09B2FD5-7570-4DD4-B3B3-28469D7C5329}" name="Column9854"/>
    <tableColumn id="9857" xr3:uid="{55A86E31-51C6-40CA-9959-6891A5C6586F}" name="Column9855"/>
    <tableColumn id="9858" xr3:uid="{A996732A-6DBE-4ED0-BDDF-04F6DD67BBB3}" name="Column9856"/>
    <tableColumn id="9859" xr3:uid="{47058682-2F8A-45F8-9E11-0FD0ECD89F9C}" name="Column9857"/>
    <tableColumn id="9860" xr3:uid="{0582E694-0778-4B23-A340-5C3E21F187C9}" name="Column9858"/>
    <tableColumn id="9861" xr3:uid="{69556319-0960-4002-B38A-F53A1BE1BA55}" name="Column9859"/>
    <tableColumn id="9862" xr3:uid="{F9C50C4A-7F93-4885-8567-DCD0472645D7}" name="Column9860"/>
    <tableColumn id="9863" xr3:uid="{CDF7A91A-7E35-4F7B-AC51-7FFB3CC7561D}" name="Column9861"/>
    <tableColumn id="9864" xr3:uid="{BDA299AE-1B94-49AD-8083-F1D3D25FC0BA}" name="Column9862"/>
    <tableColumn id="9865" xr3:uid="{22D2F36D-3579-49AC-B6B1-C458E1A68F5F}" name="Column9863"/>
    <tableColumn id="9866" xr3:uid="{C58AF373-5C37-4A8D-9D84-C94D0A79CD16}" name="Column9864"/>
    <tableColumn id="9867" xr3:uid="{B13E6EC5-86BE-4753-9185-BD86092AF3A5}" name="Column9865"/>
    <tableColumn id="9868" xr3:uid="{A97E5654-182D-4F64-A0AD-45D6353E8D27}" name="Column9866"/>
    <tableColumn id="9869" xr3:uid="{AE82D2BF-8327-43FF-BE59-20EA3E31B726}" name="Column9867"/>
    <tableColumn id="9870" xr3:uid="{C2391514-818C-4C5E-ACCD-FCC4F2DEAB08}" name="Column9868"/>
    <tableColumn id="9871" xr3:uid="{92E06798-23E1-4A90-AF68-28714E5F3C91}" name="Column9869"/>
    <tableColumn id="9872" xr3:uid="{9A01A29F-D923-4737-9F3D-3E93F80F8EC6}" name="Column9870"/>
    <tableColumn id="9873" xr3:uid="{12467B0E-54A7-4AD6-AFA1-E96E814F6A53}" name="Column9871"/>
    <tableColumn id="9874" xr3:uid="{E07E67FC-2F11-43D0-A043-AB31A9763981}" name="Column9872"/>
    <tableColumn id="9875" xr3:uid="{A1140ED5-2288-4929-9B35-66273274B68E}" name="Column9873"/>
    <tableColumn id="9876" xr3:uid="{1FCE00D1-3C36-465E-B6F5-F18BBF410AEB}" name="Column9874"/>
    <tableColumn id="9877" xr3:uid="{534F422D-1807-47AC-AB15-D5B707C97F34}" name="Column9875"/>
    <tableColumn id="9878" xr3:uid="{043CE9C6-5A40-47C3-B442-3B2A09DED97B}" name="Column9876"/>
    <tableColumn id="9879" xr3:uid="{666E9899-96D3-4B69-AA63-41D01D965912}" name="Column9877"/>
    <tableColumn id="9880" xr3:uid="{8781B37B-D3BB-42DF-BC16-E4D38BD5E8A3}" name="Column9878"/>
    <tableColumn id="9881" xr3:uid="{91F20B09-1AD5-4453-88AC-73C104C9439E}" name="Column9879"/>
    <tableColumn id="9882" xr3:uid="{074D7995-2A9A-4E86-9FC8-CB2A2C16C22B}" name="Column9880"/>
    <tableColumn id="9883" xr3:uid="{14D5F13D-1927-4B63-8DDB-4A3151B34317}" name="Column9881"/>
    <tableColumn id="9884" xr3:uid="{3A9DA23A-2BFB-4D52-988A-287B43E3E298}" name="Column9882"/>
    <tableColumn id="9885" xr3:uid="{1C5C5271-C016-4EF1-A1D8-4DE79E54882E}" name="Column9883"/>
    <tableColumn id="9886" xr3:uid="{8FFB1A2B-60C4-493B-B09F-25C5FA6A4441}" name="Column9884"/>
    <tableColumn id="9887" xr3:uid="{F4B2A528-DD6D-483E-B50E-54A5FB15059C}" name="Column9885"/>
    <tableColumn id="9888" xr3:uid="{D19C1403-8C69-42FD-B766-4AC2EC7A33B9}" name="Column9886"/>
    <tableColumn id="9889" xr3:uid="{F6C90FDB-2F9E-4B1E-B632-6FB8F11B53B3}" name="Column9887"/>
    <tableColumn id="9890" xr3:uid="{40065375-86CE-4F30-8F64-88EDA3F7B881}" name="Column9888"/>
    <tableColumn id="9891" xr3:uid="{B87B5068-6732-4D2F-A3E3-54DF897D29F8}" name="Column9889"/>
    <tableColumn id="9892" xr3:uid="{AF91EF73-11DE-45E1-A435-238545CB8C23}" name="Column9890"/>
    <tableColumn id="9893" xr3:uid="{1D8F6E92-AB96-444E-822D-ED7AC357B1C0}" name="Column9891"/>
    <tableColumn id="9894" xr3:uid="{E25544F6-8F2B-4275-A4C3-98BDB336958A}" name="Column9892"/>
    <tableColumn id="9895" xr3:uid="{BEA45F97-1653-42B8-8CBE-9B85E60E53ED}" name="Column9893"/>
    <tableColumn id="9896" xr3:uid="{8B10EB2C-175A-4464-92A2-98D07B1DC431}" name="Column9894"/>
    <tableColumn id="9897" xr3:uid="{895C2F2C-D222-44B7-AFAA-AF6931FF578E}" name="Column9895"/>
    <tableColumn id="9898" xr3:uid="{3D6ED27E-520E-4B2F-87DD-9C367D5154BE}" name="Column9896"/>
    <tableColumn id="9899" xr3:uid="{CE26C2E7-5143-4C17-9243-D18A4F020DEC}" name="Column9897"/>
    <tableColumn id="9900" xr3:uid="{7863F654-6D51-41D2-BD07-6B1E968B2D8F}" name="Column9898"/>
    <tableColumn id="9901" xr3:uid="{7F910AE4-1B70-4650-BB38-6A7EFB9A4788}" name="Column9899"/>
    <tableColumn id="9902" xr3:uid="{10845848-5286-4D52-8776-DFCCBAF488FC}" name="Column9900"/>
    <tableColumn id="9903" xr3:uid="{7D73544F-B334-4FA1-995F-5B7B1CFCAB2E}" name="Column9901"/>
    <tableColumn id="9904" xr3:uid="{71AAD540-EBDB-4DEA-9378-127659D6B9CD}" name="Column9902"/>
    <tableColumn id="9905" xr3:uid="{4D7202F9-B5C7-4248-975B-53DBF44BEEAC}" name="Column9903"/>
    <tableColumn id="9906" xr3:uid="{07A0FFBC-4EFC-4F74-A3BA-D98EE8B90639}" name="Column9904"/>
    <tableColumn id="9907" xr3:uid="{2AAC46C1-D820-4A03-B7A7-C0958C5FA80D}" name="Column9905"/>
    <tableColumn id="9908" xr3:uid="{14C7E280-5D50-4779-A815-AE707F15B09C}" name="Column9906"/>
    <tableColumn id="9909" xr3:uid="{F6895AA5-B4C9-410A-9AC3-954AFFBC2399}" name="Column9907"/>
    <tableColumn id="9910" xr3:uid="{3013FC71-F419-4281-876C-65D1CAEC81FD}" name="Column9908"/>
    <tableColumn id="9911" xr3:uid="{14900252-FCDC-415D-BD98-58AF10EEC836}" name="Column9909"/>
    <tableColumn id="9912" xr3:uid="{F477E520-2361-4787-8AA8-D3B2C0717C6C}" name="Column9910"/>
    <tableColumn id="9913" xr3:uid="{B6B159A4-06D7-4C56-A567-9066F03DA8FF}" name="Column9911"/>
    <tableColumn id="9914" xr3:uid="{528FA9AB-70F1-4896-AE73-3C381EEBF4F2}" name="Column9912"/>
    <tableColumn id="9915" xr3:uid="{8DC33E91-6F5A-464B-B031-E05F49EE863F}" name="Column9913"/>
    <tableColumn id="9916" xr3:uid="{C983B958-88B7-4D31-A5C8-9A5DAB829AB5}" name="Column9914"/>
    <tableColumn id="9917" xr3:uid="{A8891A53-29C3-4DF0-BB3D-BC11860F1CCA}" name="Column9915"/>
    <tableColumn id="9918" xr3:uid="{E160C70A-F4AB-450F-8800-94FA8115161B}" name="Column9916"/>
    <tableColumn id="9919" xr3:uid="{17A6F9F3-269F-4C74-8E9E-DD3B2EC27EC0}" name="Column9917"/>
    <tableColumn id="9920" xr3:uid="{711939F9-B3B8-4772-BD42-1B4AC726E719}" name="Column9918"/>
    <tableColumn id="9921" xr3:uid="{41E6BC75-7AC7-48A8-ABD0-9E62B7888917}" name="Column9919"/>
    <tableColumn id="9922" xr3:uid="{FB57F75A-EF43-47FD-8DFD-60B7DB1EFDD7}" name="Column9920"/>
    <tableColumn id="9923" xr3:uid="{2D84E0D8-E8AC-40FF-9280-C50FBABD35C2}" name="Column9921"/>
    <tableColumn id="9924" xr3:uid="{DB918FE3-08BF-4456-AEFF-14A929200089}" name="Column9922"/>
    <tableColumn id="9925" xr3:uid="{AD29F282-42F8-433F-A899-87854A09EBAD}" name="Column9923"/>
    <tableColumn id="9926" xr3:uid="{9FC33925-4639-4064-950C-21860C351E8F}" name="Column9924"/>
    <tableColumn id="9927" xr3:uid="{B6A18DF9-2169-48F7-9C1A-3D4AA3CE98ED}" name="Column9925"/>
    <tableColumn id="9928" xr3:uid="{68D02136-A2C0-4E9C-A51C-2D1B31D516B6}" name="Column9926"/>
    <tableColumn id="9929" xr3:uid="{E64DFE4F-9C08-43F4-9AA7-F392607EF4DC}" name="Column9927"/>
    <tableColumn id="9930" xr3:uid="{5A20DC41-1DCB-4209-86D1-70419D6D865A}" name="Column9928"/>
    <tableColumn id="9931" xr3:uid="{CE008136-E389-4A02-9402-0FCF3ACBB828}" name="Column9929"/>
    <tableColumn id="9932" xr3:uid="{14FC67B7-375A-4976-A50D-56C3CA16E999}" name="Column9930"/>
    <tableColumn id="9933" xr3:uid="{8E047A01-F77C-417B-AFCF-6FF71422AF22}" name="Column9931"/>
    <tableColumn id="9934" xr3:uid="{1C4ABEFC-C98D-4540-BF43-75A313594ABE}" name="Column9932"/>
    <tableColumn id="9935" xr3:uid="{7AD3CB8C-A79A-43A1-9F4C-1215126CDDE8}" name="Column9933"/>
    <tableColumn id="9936" xr3:uid="{D510E6C5-5636-4344-A402-32E18B6B1ABB}" name="Column9934"/>
    <tableColumn id="9937" xr3:uid="{D716AD8A-EF63-4ED0-901D-6EF720F87B01}" name="Column9935"/>
    <tableColumn id="9938" xr3:uid="{B45B31BC-02D0-471A-A71C-BDD0FE6CCD04}" name="Column9936"/>
    <tableColumn id="9939" xr3:uid="{2888F7D8-E343-4708-8EDD-9EA0C1966658}" name="Column9937"/>
    <tableColumn id="9940" xr3:uid="{28558033-AF04-412F-8890-8F97E374E997}" name="Column9938"/>
    <tableColumn id="9941" xr3:uid="{81F1D9A7-1308-4C04-A705-2DADC5450DE4}" name="Column9939"/>
    <tableColumn id="9942" xr3:uid="{156EA665-D91F-4230-8C47-78D90779913A}" name="Column9940"/>
    <tableColumn id="9943" xr3:uid="{55287C1D-2941-4B97-98C7-549228DE12B5}" name="Column9941"/>
    <tableColumn id="9944" xr3:uid="{C3741F19-250F-47BF-BF60-D18131243F45}" name="Column9942"/>
    <tableColumn id="9945" xr3:uid="{9182EC34-A567-42F5-BD3C-052061360DC5}" name="Column9943"/>
    <tableColumn id="9946" xr3:uid="{86EA8D21-0E68-4EA7-BA42-C9E30117E7F5}" name="Column9944"/>
    <tableColumn id="9947" xr3:uid="{7F932F14-0905-45D9-BA7D-9AF569542C6F}" name="Column9945"/>
    <tableColumn id="9948" xr3:uid="{50877CF2-9B77-4140-97C0-22B4C986329B}" name="Column9946"/>
    <tableColumn id="9949" xr3:uid="{2BB95356-B76A-463B-B91B-9C74526DAD50}" name="Column9947"/>
    <tableColumn id="9950" xr3:uid="{DC1397B5-45DA-43AA-A0CB-B4DD883C124C}" name="Column9948"/>
    <tableColumn id="9951" xr3:uid="{B2EF34D2-BF4A-45A1-96EB-11EA76559961}" name="Column9949"/>
    <tableColumn id="9952" xr3:uid="{7CC05BDA-E1DC-4FF8-B59D-322165523F54}" name="Column9950"/>
    <tableColumn id="9953" xr3:uid="{DA86C8F9-79C7-4405-9696-A5DBC701CB4D}" name="Column9951"/>
    <tableColumn id="9954" xr3:uid="{D3F25E21-23FC-46E3-B67C-56CA6EDBD5A0}" name="Column9952"/>
    <tableColumn id="9955" xr3:uid="{6BF4790F-3378-4347-ABCE-CCBC4C608762}" name="Column9953"/>
    <tableColumn id="9956" xr3:uid="{AF2F8A4A-8244-492B-83A4-7350B57D86F7}" name="Column9954"/>
    <tableColumn id="9957" xr3:uid="{AD4C6914-F7FB-4E13-AC5C-65109140C500}" name="Column9955"/>
    <tableColumn id="9958" xr3:uid="{C29D8074-CC4F-4AA5-9C27-FBDA01CA6913}" name="Column9956"/>
    <tableColumn id="9959" xr3:uid="{6E69CD0A-7CFE-493A-9A8B-8C7850496A4F}" name="Column9957"/>
    <tableColumn id="9960" xr3:uid="{7CEEE44C-E5D5-473D-BCC6-FD11101DA4CA}" name="Column9958"/>
    <tableColumn id="9961" xr3:uid="{EC24E70B-B3C6-4858-B3F6-DB2F6505856F}" name="Column9959"/>
    <tableColumn id="9962" xr3:uid="{B3490C7F-CCAF-487E-873A-B9FAC4C516AD}" name="Column9960"/>
    <tableColumn id="9963" xr3:uid="{59132449-4C46-42EE-96F3-2BEBDFFCE1AB}" name="Column9961"/>
    <tableColumn id="9964" xr3:uid="{CB03C5F6-8191-46AF-91B4-F9C76C4F8A34}" name="Column9962"/>
    <tableColumn id="9965" xr3:uid="{88F75078-1F1F-4DBF-9B5F-1A38D7861F2A}" name="Column9963"/>
    <tableColumn id="9966" xr3:uid="{9F367BF9-D9D1-405D-9D1E-44DF9F534C40}" name="Column9964"/>
    <tableColumn id="9967" xr3:uid="{D8E35916-B0B4-4DDA-BDE3-4EFA35F02E9C}" name="Column9965"/>
    <tableColumn id="9968" xr3:uid="{8D9EA993-CFB6-4C63-95A3-E3979283C3AF}" name="Column9966"/>
    <tableColumn id="9969" xr3:uid="{AD13CA25-B8D9-4D98-93D8-B29B24F663E1}" name="Column9967"/>
    <tableColumn id="9970" xr3:uid="{726D146B-CDA8-46A8-B918-BF796755A6AC}" name="Column9968"/>
    <tableColumn id="9971" xr3:uid="{D83FE519-C4CA-44E6-8C2C-B4DE082D5DE0}" name="Column9969"/>
    <tableColumn id="9972" xr3:uid="{D08AAF12-AA82-4623-9351-03B2067B0ABE}" name="Column9970"/>
    <tableColumn id="9973" xr3:uid="{D2E99AA0-FB8D-4A12-A150-A53FDC737308}" name="Column9971"/>
    <tableColumn id="9974" xr3:uid="{51037AE9-C21D-47DF-B6A4-0C4D9A81D4DC}" name="Column9972"/>
    <tableColumn id="9975" xr3:uid="{B2209653-A021-4025-9360-592B09533051}" name="Column9973"/>
    <tableColumn id="9976" xr3:uid="{82A7FAC8-048B-4DF3-8866-C25BC6A01664}" name="Column9974"/>
    <tableColumn id="9977" xr3:uid="{E06A2175-E311-45A6-AE07-99E8D79A0D72}" name="Column9975"/>
    <tableColumn id="9978" xr3:uid="{77A12128-66F6-4AD5-BB71-BCFB0A08D8B2}" name="Column9976"/>
    <tableColumn id="9979" xr3:uid="{DB682270-BC6D-484B-B568-2DFF103D6D4F}" name="Column9977"/>
    <tableColumn id="9980" xr3:uid="{521BE025-14ED-41B3-8B00-DB313C16D2C0}" name="Column9978"/>
    <tableColumn id="9981" xr3:uid="{1A616CD7-4154-4CE5-9514-E47D3F0931F3}" name="Column9979"/>
    <tableColumn id="9982" xr3:uid="{60945FB2-6EDD-493C-A4B4-C981CC772763}" name="Column9980"/>
    <tableColumn id="9983" xr3:uid="{FE74D6BB-F410-44F4-A89F-76B937C906DA}" name="Column9981"/>
    <tableColumn id="9984" xr3:uid="{26D6BA04-CE9A-4688-BD4B-1D5FC826155C}" name="Column9982"/>
    <tableColumn id="9985" xr3:uid="{E1C14463-52E8-4ED0-A5B1-2E063D9A1081}" name="Column9983"/>
    <tableColumn id="9986" xr3:uid="{1F98B136-37C5-4D2D-B755-86870D4CA68F}" name="Column9984"/>
    <tableColumn id="9987" xr3:uid="{096893AA-BF16-4460-BDB7-97CF3881A7DC}" name="Column9985"/>
    <tableColumn id="9988" xr3:uid="{813A6270-04A3-4988-BFDB-D7EF4E36B5D6}" name="Column9986"/>
    <tableColumn id="9989" xr3:uid="{82FC27A2-542B-4915-8A7C-15AAE50C7C7D}" name="Column9987"/>
    <tableColumn id="9990" xr3:uid="{42174F59-84AE-4BB8-A684-B7FC3C423F32}" name="Column9988"/>
    <tableColumn id="9991" xr3:uid="{6CE8DCF2-0E7A-447E-B61B-DA0D49868809}" name="Column9989"/>
    <tableColumn id="9992" xr3:uid="{A495DDC9-56B0-4B79-AEAD-E12B000B3FCE}" name="Column9990"/>
    <tableColumn id="9993" xr3:uid="{486C8C8F-11AD-422C-98ED-22AAA81C2463}" name="Column9991"/>
    <tableColumn id="9994" xr3:uid="{D5F8F64B-A25D-4470-8721-5B7E0AFB37ED}" name="Column9992"/>
    <tableColumn id="9995" xr3:uid="{8F70CEDC-E09D-47A9-BE8A-2F46228A8EE6}" name="Column9993"/>
    <tableColumn id="9996" xr3:uid="{D6AE2157-16C1-4F98-8AB2-7FAECA6B5F8E}" name="Column9994"/>
    <tableColumn id="9997" xr3:uid="{92DF5DBE-E4B9-4769-B6A5-83C66D572674}" name="Column9995"/>
    <tableColumn id="9998" xr3:uid="{7961548D-4300-48D2-844F-2350A300EBFB}" name="Column9996"/>
    <tableColumn id="9999" xr3:uid="{567C2A94-8F44-4A58-A8EF-B97EACAC684D}" name="Column9997"/>
    <tableColumn id="10000" xr3:uid="{CA5AD932-1A85-41F6-8934-1E7F660DA889}" name="Column9998"/>
    <tableColumn id="10001" xr3:uid="{FDAC11DB-02C3-4625-BCC8-DBC1B0A2210C}" name="Column9999"/>
    <tableColumn id="10002" xr3:uid="{B07F3B64-D13E-44E0-853C-32B8A62D32F6}" name="Column10000"/>
    <tableColumn id="10003" xr3:uid="{CD554CD9-8C7B-470C-B72D-B626CC1C3873}" name="Column10001"/>
    <tableColumn id="10004" xr3:uid="{55C8FFFC-4304-4760-9CD7-E30D98A013B2}" name="Column10002"/>
    <tableColumn id="10005" xr3:uid="{9C35DD74-D47A-43A3-A7F6-6A92F5FEFEB3}" name="Column10003"/>
    <tableColumn id="10006" xr3:uid="{361A4C43-6E09-4125-9AB3-E15A8A03AE20}" name="Column10004"/>
    <tableColumn id="10007" xr3:uid="{41C87D9A-1B53-4DC8-9A85-6029F835972B}" name="Column10005"/>
    <tableColumn id="10008" xr3:uid="{0DF03D6E-AD70-4B75-B217-CF2222C55166}" name="Column10006"/>
    <tableColumn id="10009" xr3:uid="{3EF14B7F-6D68-4CF0-B88F-EA58FF46FADF}" name="Column10007"/>
    <tableColumn id="10010" xr3:uid="{16DFDCBF-2D12-4BC7-8CC0-255FBCC3556E}" name="Column10008"/>
    <tableColumn id="10011" xr3:uid="{C05D944C-5A8E-4CFF-9DD0-BE8592CC3BA0}" name="Column10009"/>
    <tableColumn id="10012" xr3:uid="{50065B99-AEDA-43E2-81A1-F443A4F2EAF2}" name="Column10010"/>
    <tableColumn id="10013" xr3:uid="{D7A53B98-E2F8-40C6-A6B1-C58C3F07A28F}" name="Column10011"/>
    <tableColumn id="10014" xr3:uid="{2CF434B1-B669-4B0E-A065-6CF22CA1AB5D}" name="Column10012"/>
    <tableColumn id="10015" xr3:uid="{24A7EE38-8EFA-42D7-A372-517A3A7E7F02}" name="Column10013"/>
    <tableColumn id="10016" xr3:uid="{489D57CF-7E70-44D1-A0B1-F90B2120EFFD}" name="Column10014"/>
    <tableColumn id="10017" xr3:uid="{BC4FD8BD-BA3A-4AB3-940A-8AB046294E65}" name="Column10015"/>
    <tableColumn id="10018" xr3:uid="{A3A12356-6634-4012-B93F-3D3CFE1B32B9}" name="Column10016"/>
    <tableColumn id="10019" xr3:uid="{BB06021E-0423-4E5C-8DFD-25B57D388F09}" name="Column10017"/>
    <tableColumn id="10020" xr3:uid="{CA7AF2AD-619C-4C3D-ABCA-9E660D23C384}" name="Column10018"/>
    <tableColumn id="10021" xr3:uid="{9E381BA6-F5D5-43EA-B01F-67AB64E53986}" name="Column10019"/>
    <tableColumn id="10022" xr3:uid="{C2EC8409-18BF-4FAC-9915-8C0D3B8AFA72}" name="Column10020"/>
    <tableColumn id="10023" xr3:uid="{F6616BE1-54B1-4C2F-940A-1DCEC832201A}" name="Column10021"/>
    <tableColumn id="10024" xr3:uid="{FB6C2487-DFE6-4610-9080-2C0488FD71F0}" name="Column10022"/>
    <tableColumn id="10025" xr3:uid="{986EDD25-DE9C-4B7D-B040-367C9393E700}" name="Column10023"/>
    <tableColumn id="10026" xr3:uid="{CA9805F1-2AF4-4739-8FBD-4877F7F3FE75}" name="Column10024"/>
    <tableColumn id="10027" xr3:uid="{24E2275B-5FEA-4A1A-AFDD-82A0B5475296}" name="Column10025"/>
    <tableColumn id="10028" xr3:uid="{4F927A82-DBF0-436E-AACF-AB08A3BE1AF6}" name="Column10026"/>
    <tableColumn id="10029" xr3:uid="{0D9906C6-1B09-4A66-8EC8-7EBC74FA42BA}" name="Column10027"/>
    <tableColumn id="10030" xr3:uid="{2C2C980C-9C18-4284-92DA-1C136C107427}" name="Column10028"/>
    <tableColumn id="10031" xr3:uid="{04DCD4A3-7DE0-40B2-BFD7-2020DB9D9AF2}" name="Column10029"/>
    <tableColumn id="10032" xr3:uid="{5C49EC05-A08E-4300-BD6D-9C3DCD63CE5A}" name="Column10030"/>
    <tableColumn id="10033" xr3:uid="{56CB9F14-3D89-4376-804F-0CEB3D91AA48}" name="Column10031"/>
    <tableColumn id="10034" xr3:uid="{E170A7D7-216F-497F-9E03-6A299ED2C52D}" name="Column10032"/>
    <tableColumn id="10035" xr3:uid="{A0AFC5E4-DC06-4CB0-9AAD-75659B5DEDBE}" name="Column10033"/>
    <tableColumn id="10036" xr3:uid="{D353782E-990B-4526-A869-7F2E581546C7}" name="Column10034"/>
    <tableColumn id="10037" xr3:uid="{57CC7DB1-5D6B-430A-B695-EB23E3222CA2}" name="Column10035"/>
    <tableColumn id="10038" xr3:uid="{4B376833-EDB5-4C64-849E-BF7AE9E3E151}" name="Column10036"/>
    <tableColumn id="10039" xr3:uid="{1DD54650-EF6B-48CC-8401-76D6BC230DE3}" name="Column10037"/>
    <tableColumn id="10040" xr3:uid="{2B5FB6AC-5011-42E6-854A-991FCEF1B7A0}" name="Column10038"/>
    <tableColumn id="10041" xr3:uid="{A0F9C279-F90B-4E64-A24B-7264E7AC6C07}" name="Column10039"/>
    <tableColumn id="10042" xr3:uid="{F65F37B7-27D9-4D7D-8ADE-29E65962BC60}" name="Column10040"/>
    <tableColumn id="10043" xr3:uid="{A87D7B5B-31F3-4641-8D5D-E86A140E16E4}" name="Column10041"/>
    <tableColumn id="10044" xr3:uid="{7DA9711D-2F37-4CDC-9C68-053E6A6D859D}" name="Column10042"/>
    <tableColumn id="10045" xr3:uid="{5B5B85CF-4819-4D9C-BDD5-DB88FAE4055C}" name="Column10043"/>
    <tableColumn id="10046" xr3:uid="{A698064D-4CE7-42D5-AAE7-4581B1D62195}" name="Column10044"/>
    <tableColumn id="10047" xr3:uid="{494C3438-B761-421B-80E0-AADE7CED5BEF}" name="Column10045"/>
    <tableColumn id="10048" xr3:uid="{1520143B-DF7A-483C-916B-82A0F97D5BFA}" name="Column10046"/>
    <tableColumn id="10049" xr3:uid="{0301EE4A-4F5B-4A5A-8217-B5F079DFB397}" name="Column10047"/>
    <tableColumn id="10050" xr3:uid="{43D4C1CC-170A-473E-A026-AAB4CB9CE0A0}" name="Column10048"/>
    <tableColumn id="10051" xr3:uid="{253F6D44-0A0A-49D7-A3A9-779DF11A450B}" name="Column10049"/>
    <tableColumn id="10052" xr3:uid="{915086D4-AE9E-4FBB-A40A-E0E353BC9FE7}" name="Column10050"/>
    <tableColumn id="10053" xr3:uid="{CCEF815A-CF74-4221-8077-82666AEE132C}" name="Column10051"/>
    <tableColumn id="10054" xr3:uid="{E1C07C44-7EE7-4345-A635-B7FD2052780C}" name="Column10052"/>
    <tableColumn id="10055" xr3:uid="{63771D1A-C3BA-42BC-87F0-F624867D3C07}" name="Column10053"/>
    <tableColumn id="10056" xr3:uid="{D61ADF31-C1F0-4C82-8D2E-3E0DD226683A}" name="Column10054"/>
    <tableColumn id="10057" xr3:uid="{21A93D7B-2D59-4CD7-9627-A6F3CB8035F4}" name="Column10055"/>
    <tableColumn id="10058" xr3:uid="{280199A9-7F0B-49AC-ACA0-BA2E01385DDF}" name="Column10056"/>
    <tableColumn id="10059" xr3:uid="{B08837BE-A494-424E-94C5-CB2491B529CC}" name="Column10057"/>
    <tableColumn id="10060" xr3:uid="{65359EF3-767F-4381-B0C0-556A7099ADD8}" name="Column10058"/>
    <tableColumn id="10061" xr3:uid="{B8F4D014-40AC-4BBF-BB47-DFC3472D07FB}" name="Column10059"/>
    <tableColumn id="10062" xr3:uid="{9776FC23-81F2-40F4-A05E-419482B61606}" name="Column10060"/>
    <tableColumn id="10063" xr3:uid="{07B353A5-FD45-43C2-B270-A1144CA01162}" name="Column10061"/>
    <tableColumn id="10064" xr3:uid="{FFD6B855-46A0-429C-BA4E-996D2EB22FD9}" name="Column10062"/>
    <tableColumn id="10065" xr3:uid="{67867E69-D9B1-4D76-9731-98C176F16C3B}" name="Column10063"/>
    <tableColumn id="10066" xr3:uid="{0CDFD4C6-D79A-4BB2-A121-B4C28BCA9789}" name="Column10064"/>
    <tableColumn id="10067" xr3:uid="{DBD9C140-1D5A-431B-ADD7-747AC7517206}" name="Column10065"/>
    <tableColumn id="10068" xr3:uid="{08060FC1-0885-4E54-8DB3-95B8EE4014A7}" name="Column10066"/>
    <tableColumn id="10069" xr3:uid="{A0C2782B-2A76-42AA-A64D-A806F072E9E5}" name="Column10067"/>
    <tableColumn id="10070" xr3:uid="{5F18F161-672B-41F6-8510-E3DB7EC520D0}" name="Column10068"/>
    <tableColumn id="10071" xr3:uid="{1EFD81BD-597D-4801-A05B-DDE03D82B4FF}" name="Column10069"/>
    <tableColumn id="10072" xr3:uid="{0D6CFDB3-6A35-4DB8-B585-9000076CAC9B}" name="Column10070"/>
    <tableColumn id="10073" xr3:uid="{4F873B61-731D-4F02-A580-17818E3904B5}" name="Column10071"/>
    <tableColumn id="10074" xr3:uid="{82CB3073-4C4D-4211-8A8A-B33979B0EC0A}" name="Column10072"/>
    <tableColumn id="10075" xr3:uid="{2F28D112-DAEE-40A0-943D-CF4BF108BB86}" name="Column10073"/>
    <tableColumn id="10076" xr3:uid="{6A35B710-FADE-433D-B99A-390BF533EAB2}" name="Column10074"/>
    <tableColumn id="10077" xr3:uid="{0AD63A06-9B19-4303-8CFD-C42DC279594C}" name="Column10075"/>
    <tableColumn id="10078" xr3:uid="{E6AF218E-A368-43AA-A399-C74F010ED519}" name="Column10076"/>
    <tableColumn id="10079" xr3:uid="{DD708B7E-9A47-4B3D-A128-5058BDDBBD81}" name="Column10077"/>
    <tableColumn id="10080" xr3:uid="{C3261418-68B7-45C0-B9FE-FE1E96CFDBDC}" name="Column10078"/>
    <tableColumn id="10081" xr3:uid="{403B0DE6-0254-453B-8AB2-EDEB605BDEDD}" name="Column10079"/>
    <tableColumn id="10082" xr3:uid="{C65D04DC-F061-4D59-BF5A-3F78B0277A3A}" name="Column10080"/>
    <tableColumn id="10083" xr3:uid="{481C23FA-C098-456B-9F61-BCC74F82B103}" name="Column10081"/>
    <tableColumn id="10084" xr3:uid="{B7E580E5-E138-49C6-8786-3174AFD36359}" name="Column10082"/>
    <tableColumn id="10085" xr3:uid="{DB6AC4C5-04DE-4036-A721-5CA59C5F0CC8}" name="Column10083"/>
    <tableColumn id="10086" xr3:uid="{06899CC7-AE3B-4D07-83B4-3778CBCB7AD8}" name="Column10084"/>
    <tableColumn id="10087" xr3:uid="{DD3DE9AE-FAB2-4122-B08C-465FD1B3E7CF}" name="Column10085"/>
    <tableColumn id="10088" xr3:uid="{E73A5CC2-F340-4577-8AC6-5D93893022D3}" name="Column10086"/>
    <tableColumn id="10089" xr3:uid="{04ACD348-81AC-4A3D-B5B0-A008B8E08FB0}" name="Column10087"/>
    <tableColumn id="10090" xr3:uid="{46A3D61D-2485-46BA-AFCB-2DD5E4879965}" name="Column10088"/>
    <tableColumn id="10091" xr3:uid="{9CB8F587-C40B-47E7-9005-065672E6F371}" name="Column10089"/>
    <tableColumn id="10092" xr3:uid="{8CF39DA5-D9D0-4495-BE97-5A9B65673D5A}" name="Column10090"/>
    <tableColumn id="10093" xr3:uid="{BCC5ABFE-F59E-4F8D-9C3E-7155A4AB0E69}" name="Column10091"/>
    <tableColumn id="10094" xr3:uid="{2DD70DBB-F2D7-4F77-BD45-9A7E1576C7AC}" name="Column10092"/>
    <tableColumn id="10095" xr3:uid="{37BC433D-0F77-4EE2-BBDB-DFA56ED40C0D}" name="Column10093"/>
    <tableColumn id="10096" xr3:uid="{D25B4FEC-D3F6-4622-8CB0-611F5B7E926F}" name="Column10094"/>
    <tableColumn id="10097" xr3:uid="{0E5EB43E-EA21-4741-A7B4-4B425F04ACF4}" name="Column10095"/>
    <tableColumn id="10098" xr3:uid="{0E0E7090-F0AD-413F-8871-FC21E6413EAC}" name="Column10096"/>
    <tableColumn id="10099" xr3:uid="{2816FDB5-224D-4F66-A0C0-E9FDA96F767E}" name="Column10097"/>
    <tableColumn id="10100" xr3:uid="{024ACD3F-BCBD-40CA-87D6-F6B6F6BEF3E3}" name="Column10098"/>
    <tableColumn id="10101" xr3:uid="{72FA18D7-5E95-4A71-8821-7AD7C6198494}" name="Column10099"/>
    <tableColumn id="10102" xr3:uid="{DBE2CA84-3FC3-4A6E-8390-521834F1CAAA}" name="Column10100"/>
    <tableColumn id="10103" xr3:uid="{E899356F-ED8B-4AA8-9CE7-FEAA5EE0D7FC}" name="Column10101"/>
    <tableColumn id="10104" xr3:uid="{FE368F90-F80D-4572-8379-E46FF1109961}" name="Column10102"/>
    <tableColumn id="10105" xr3:uid="{86C01113-F768-4DE2-BDB4-8035E3CA1579}" name="Column10103"/>
    <tableColumn id="10106" xr3:uid="{05F4C922-9750-4B51-84FD-1B33480B4A9E}" name="Column10104"/>
    <tableColumn id="10107" xr3:uid="{06632010-CFA0-4748-9CF4-860C3DD1AFF4}" name="Column10105"/>
    <tableColumn id="10108" xr3:uid="{4BA1D746-1F28-4E54-9781-CFEC26B9606D}" name="Column10106"/>
    <tableColumn id="10109" xr3:uid="{E37BA20C-7415-456E-A79D-120A9F5FA28F}" name="Column10107"/>
    <tableColumn id="10110" xr3:uid="{B2BB0187-9675-41B3-8EAB-6083A2B513D8}" name="Column10108"/>
    <tableColumn id="10111" xr3:uid="{D3D545EE-3FD3-4FA1-BB0B-5D52F2950E85}" name="Column10109"/>
    <tableColumn id="10112" xr3:uid="{A594C05E-B1C8-443A-A279-D99702895FB5}" name="Column10110"/>
    <tableColumn id="10113" xr3:uid="{D0DD63CA-E570-408D-99A4-8510C0AF33C9}" name="Column10111"/>
    <tableColumn id="10114" xr3:uid="{349ECAFD-1EEF-4E4A-9741-782051D1781D}" name="Column10112"/>
    <tableColumn id="10115" xr3:uid="{9803BB3B-243A-49A9-8AD6-C6A6BE1D395B}" name="Column10113"/>
    <tableColumn id="10116" xr3:uid="{E9D0DDF3-C304-4D74-823D-92897EAC734D}" name="Column10114"/>
    <tableColumn id="10117" xr3:uid="{165D416B-06EF-4867-9538-049AA6E9B5C1}" name="Column10115"/>
    <tableColumn id="10118" xr3:uid="{6F06C226-702C-49B6-91B6-FB4DD62BDB71}" name="Column10116"/>
    <tableColumn id="10119" xr3:uid="{C925E202-36C4-4DCD-AB29-8F00B348F274}" name="Column10117"/>
    <tableColumn id="10120" xr3:uid="{A874D8A0-94FB-45D8-A4D4-B63AA226F77A}" name="Column10118"/>
    <tableColumn id="10121" xr3:uid="{AAE59614-BCBF-4B68-B93F-D55345A847BD}" name="Column10119"/>
    <tableColumn id="10122" xr3:uid="{BD7B2DCC-0567-4B26-8F40-32042C89D9E6}" name="Column10120"/>
    <tableColumn id="10123" xr3:uid="{BABD65F7-A212-4D21-AA9C-F7D1053A479C}" name="Column10121"/>
    <tableColumn id="10124" xr3:uid="{98B848A1-E7A9-4449-8EDB-23DC5242A39F}" name="Column10122"/>
    <tableColumn id="10125" xr3:uid="{32FF781D-FCF5-438D-8E9D-BC806EDF3CA8}" name="Column10123"/>
    <tableColumn id="10126" xr3:uid="{F394EEAA-2FE2-4642-99E4-9508DB213F34}" name="Column10124"/>
    <tableColumn id="10127" xr3:uid="{CC46B042-BF25-4D40-8DDA-0DEF959CF67C}" name="Column10125"/>
    <tableColumn id="10128" xr3:uid="{3C6EAB07-3307-44D1-AC25-D8BEE9210CFE}" name="Column10126"/>
    <tableColumn id="10129" xr3:uid="{0880371F-251E-49D1-8780-F92B87F4B3D0}" name="Column10127"/>
    <tableColumn id="10130" xr3:uid="{A880362E-5923-41E8-B886-C7235DDDB37C}" name="Column10128"/>
    <tableColumn id="10131" xr3:uid="{CED180A9-DA57-4A08-9C26-A7EAE374A348}" name="Column10129"/>
    <tableColumn id="10132" xr3:uid="{ABE76320-F4EA-4886-A0AF-87FA022FB1C1}" name="Column10130"/>
    <tableColumn id="10133" xr3:uid="{F3BE0ECA-665A-4C9F-A711-639EB185C484}" name="Column10131"/>
    <tableColumn id="10134" xr3:uid="{B1BAAC87-1156-4E0D-AF9E-9144848D9341}" name="Column10132"/>
    <tableColumn id="10135" xr3:uid="{C0B24DB0-B2A7-45D3-96DA-5B1DF712FD67}" name="Column10133"/>
    <tableColumn id="10136" xr3:uid="{4E343FE7-CA11-4B07-95A3-E626D28F190B}" name="Column10134"/>
    <tableColumn id="10137" xr3:uid="{0254049C-A957-484E-9EB1-3A575705E8D1}" name="Column10135"/>
    <tableColumn id="10138" xr3:uid="{7B888296-FC38-4016-BB90-DB6A8932DDAA}" name="Column10136"/>
    <tableColumn id="10139" xr3:uid="{7CB0EF48-0DEE-4B31-936B-5EFD0E3D49F8}" name="Column10137"/>
    <tableColumn id="10140" xr3:uid="{87221D04-BB2E-48FB-8CC3-88E2212F51D2}" name="Column10138"/>
    <tableColumn id="10141" xr3:uid="{F7634A6B-9BEC-4611-A258-A44374158020}" name="Column10139"/>
    <tableColumn id="10142" xr3:uid="{ED3E6096-5DA5-445F-A818-1897DF575F42}" name="Column10140"/>
    <tableColumn id="10143" xr3:uid="{7A37B88A-E269-4E3B-AA27-FCFA81273BBC}" name="Column10141"/>
    <tableColumn id="10144" xr3:uid="{FC9C8970-4997-4157-8B52-131A523B728D}" name="Column10142"/>
    <tableColumn id="10145" xr3:uid="{2E945971-1486-45BB-8C58-175408D0FBE1}" name="Column10143"/>
    <tableColumn id="10146" xr3:uid="{7C1668B2-91DE-458F-93E5-A152C79A3FB1}" name="Column10144"/>
    <tableColumn id="10147" xr3:uid="{382BFF0D-3FC8-491D-B540-48010E62EE15}" name="Column10145"/>
    <tableColumn id="10148" xr3:uid="{7B4B8434-2FF0-49FC-B2E9-F5438DCA2BFA}" name="Column10146"/>
    <tableColumn id="10149" xr3:uid="{FB14F594-A5DF-4EF5-8C19-C85DBAE7C456}" name="Column10147"/>
    <tableColumn id="10150" xr3:uid="{A38A1044-6234-41BE-9F11-4E1B4C435663}" name="Column10148"/>
    <tableColumn id="10151" xr3:uid="{2B2711AD-4244-49C5-85D5-678844C98095}" name="Column10149"/>
    <tableColumn id="10152" xr3:uid="{6CBBA4CD-BF14-408B-8E7D-5AF0118DE89F}" name="Column10150"/>
    <tableColumn id="10153" xr3:uid="{4AF63B36-F609-40D5-85C9-E46172139B3B}" name="Column10151"/>
    <tableColumn id="10154" xr3:uid="{5A238A59-FAE0-4CD4-9BBB-866AF7F78B19}" name="Column10152"/>
    <tableColumn id="10155" xr3:uid="{268541CA-CB36-4F34-B44B-627017A00016}" name="Column10153"/>
    <tableColumn id="10156" xr3:uid="{D74D4D73-48F9-47BF-ACCB-6C4AEC0BAE0B}" name="Column10154"/>
    <tableColumn id="10157" xr3:uid="{56DCE3F2-B097-4516-9AC8-FAFAEC9E53BE}" name="Column10155"/>
    <tableColumn id="10158" xr3:uid="{E71C6F5B-4A0D-4ACD-B5EA-DE7F7E884562}" name="Column10156"/>
    <tableColumn id="10159" xr3:uid="{7C53D279-08CF-4D66-AE67-4B571FA12DD5}" name="Column10157"/>
    <tableColumn id="10160" xr3:uid="{05EB5A77-4EC7-4066-AE67-8557E64A2307}" name="Column10158"/>
    <tableColumn id="10161" xr3:uid="{D90DEAD7-3D8C-4F25-AA5D-7045906008F4}" name="Column10159"/>
    <tableColumn id="10162" xr3:uid="{588708C9-D389-4DBB-AA98-259588A96C23}" name="Column10160"/>
    <tableColumn id="10163" xr3:uid="{E1B15ECE-FE12-4A4B-99BA-4649CE9D149A}" name="Column10161"/>
    <tableColumn id="10164" xr3:uid="{D25958B1-D288-4944-978A-63F063980433}" name="Column10162"/>
    <tableColumn id="10165" xr3:uid="{3577A647-359F-4E8B-BDE6-649018EA0849}" name="Column10163"/>
    <tableColumn id="10166" xr3:uid="{56B4A565-8FCE-4D8A-8060-A0712AE05598}" name="Column10164"/>
    <tableColumn id="10167" xr3:uid="{88163BAC-FDCF-4FDF-8624-D4D1A650BF04}" name="Column10165"/>
    <tableColumn id="10168" xr3:uid="{7C290CA5-BDB0-4E2D-B354-5A6AC7B8F13B}" name="Column10166"/>
    <tableColumn id="10169" xr3:uid="{3F732E58-D4A8-432C-AA69-D320284B5C51}" name="Column10167"/>
    <tableColumn id="10170" xr3:uid="{7A2B81FE-E630-478D-BDE4-23D335559DA8}" name="Column10168"/>
    <tableColumn id="10171" xr3:uid="{C61260A2-4DEB-4499-B6B3-5867E75CD6C9}" name="Column10169"/>
    <tableColumn id="10172" xr3:uid="{B9B4023A-FCAC-4789-9211-61C6DF18191A}" name="Column10170"/>
    <tableColumn id="10173" xr3:uid="{E9EEF895-09EC-4179-B257-12E6F7077ED6}" name="Column10171"/>
    <tableColumn id="10174" xr3:uid="{8797075E-C9BD-49D2-B8C6-F3D43CA57566}" name="Column10172"/>
    <tableColumn id="10175" xr3:uid="{17BD643C-D9C5-4C4A-B43D-7423B8A091BE}" name="Column10173"/>
    <tableColumn id="10176" xr3:uid="{CD774AE9-8F66-4BC1-A799-A41206976C10}" name="Column10174"/>
    <tableColumn id="10177" xr3:uid="{78C48D6A-FC85-4979-9E46-9C031A0AB7C8}" name="Column10175"/>
    <tableColumn id="10178" xr3:uid="{ED555B58-C3C8-4C4F-B5F5-92A8950247CB}" name="Column10176"/>
    <tableColumn id="10179" xr3:uid="{2C2C3A0C-C5E0-4071-B4F9-BC7102B2B6A4}" name="Column10177"/>
    <tableColumn id="10180" xr3:uid="{B5C4F106-4264-46B9-9D4D-1CE90F2DEA20}" name="Column10178"/>
    <tableColumn id="10181" xr3:uid="{FE1CF687-FD37-45CF-BFBC-BE7190F0DCEB}" name="Column10179"/>
    <tableColumn id="10182" xr3:uid="{54E70D27-3CE5-498C-875B-497606463494}" name="Column10180"/>
    <tableColumn id="10183" xr3:uid="{588F76F7-66CA-4D8E-BC5B-4272868BC2CE}" name="Column10181"/>
    <tableColumn id="10184" xr3:uid="{234806E5-A7A7-4D20-8272-87FEE2CCCE60}" name="Column10182"/>
    <tableColumn id="10185" xr3:uid="{5E36838E-A95E-467B-BA0C-C9E821125066}" name="Column10183"/>
    <tableColumn id="10186" xr3:uid="{60AC48FE-0DCA-4F80-AC83-CAD36DC185F0}" name="Column10184"/>
    <tableColumn id="10187" xr3:uid="{4D60D134-8D7A-4D69-9FCD-3D5A3380AAB7}" name="Column10185"/>
    <tableColumn id="10188" xr3:uid="{27483755-59F2-45EC-B046-D0BBC7CC52E8}" name="Column10186"/>
    <tableColumn id="10189" xr3:uid="{EDFA57D6-7FE4-486A-86C8-CD54D5292719}" name="Column10187"/>
    <tableColumn id="10190" xr3:uid="{90236B56-3AA3-418B-AE78-4902CF149A42}" name="Column10188"/>
    <tableColumn id="10191" xr3:uid="{2B3E6632-50BE-4D81-9690-6E3DEBE90BAD}" name="Column10189"/>
    <tableColumn id="10192" xr3:uid="{8335784E-5E0B-44A9-8357-13F4F08E8723}" name="Column10190"/>
    <tableColumn id="10193" xr3:uid="{C2228DF7-324A-4DD0-8DE4-DC940ADE8C13}" name="Column10191"/>
    <tableColumn id="10194" xr3:uid="{F29AFEDC-D666-4D91-B066-CE30A1894AAF}" name="Column10192"/>
    <tableColumn id="10195" xr3:uid="{FA274020-FB85-4311-97CB-BE5CB5CB35F3}" name="Column10193"/>
    <tableColumn id="10196" xr3:uid="{4B8B4754-6864-448C-B917-4519E6E632D4}" name="Column10194"/>
    <tableColumn id="10197" xr3:uid="{BA5C0AC9-C261-448C-8A07-FFD11FAEF475}" name="Column10195"/>
    <tableColumn id="10198" xr3:uid="{F046D449-8DAC-4957-B79A-63B811315EB7}" name="Column10196"/>
    <tableColumn id="10199" xr3:uid="{56C7D9AD-479F-498C-85C1-3F29C0816FE6}" name="Column10197"/>
    <tableColumn id="10200" xr3:uid="{770721F5-A93E-4861-90F8-31FCAFCC796D}" name="Column10198"/>
    <tableColumn id="10201" xr3:uid="{4C02EF63-1FAF-4388-B297-6095A8B1F02D}" name="Column10199"/>
    <tableColumn id="10202" xr3:uid="{BE61A54B-1FF9-4549-A176-F79AA256E528}" name="Column10200"/>
    <tableColumn id="10203" xr3:uid="{8A4CB65D-7774-47BC-A01B-B1874B0E3FF8}" name="Column10201"/>
    <tableColumn id="10204" xr3:uid="{4A4D44E9-B0DE-420C-A564-06D8D47DE97B}" name="Column10202"/>
    <tableColumn id="10205" xr3:uid="{86650BE1-72AF-4A3E-9DFF-332E3FBA57F4}" name="Column10203"/>
    <tableColumn id="10206" xr3:uid="{4632F464-E045-44AA-9A3F-49921AB5CDCF}" name="Column10204"/>
    <tableColumn id="10207" xr3:uid="{E93FF7A4-0327-4013-B29C-FF98874DFD66}" name="Column10205"/>
    <tableColumn id="10208" xr3:uid="{836A5336-20A8-4407-BFDE-62DF2E2E820D}" name="Column10206"/>
    <tableColumn id="10209" xr3:uid="{80295B87-6629-44F0-9361-3BF076118130}" name="Column10207"/>
    <tableColumn id="10210" xr3:uid="{54191F5C-813D-4500-89BD-9B99AB26EE30}" name="Column10208"/>
    <tableColumn id="10211" xr3:uid="{227500B5-004B-479F-8FBD-E126A65C491E}" name="Column10209"/>
    <tableColumn id="10212" xr3:uid="{96D97DA6-27DB-4302-88E0-451B72EBF970}" name="Column10210"/>
    <tableColumn id="10213" xr3:uid="{119B6F86-563E-42FC-9A2A-55BFE4B40D73}" name="Column10211"/>
    <tableColumn id="10214" xr3:uid="{C4B06683-D7C3-467F-832B-85C23A7088ED}" name="Column10212"/>
    <tableColumn id="10215" xr3:uid="{B6E323C9-54E5-42F1-9C00-4ED45BBCB5D0}" name="Column10213"/>
    <tableColumn id="10216" xr3:uid="{60042FB3-844B-4BD1-BBB6-E2B36E9ED8AA}" name="Column10214"/>
    <tableColumn id="10217" xr3:uid="{AB6C17B2-624B-4859-98EE-7A65D6445F82}" name="Column10215"/>
    <tableColumn id="10218" xr3:uid="{AEB76617-B694-4A1F-84F6-EA7B449A3D5B}" name="Column10216"/>
    <tableColumn id="10219" xr3:uid="{5B28910E-DB0B-4BB8-9177-4B132B004DB2}" name="Column10217"/>
    <tableColumn id="10220" xr3:uid="{F29BF250-A77E-456B-B056-C954F178FC64}" name="Column10218"/>
    <tableColumn id="10221" xr3:uid="{C67F1673-41A9-4656-AE47-2506AF8DBF90}" name="Column10219"/>
    <tableColumn id="10222" xr3:uid="{0766FE44-76FE-4E3C-9D8A-7D98485589F1}" name="Column10220"/>
    <tableColumn id="10223" xr3:uid="{21DB1610-BCAE-4FAC-8F08-4B13A6FBA18E}" name="Column10221"/>
    <tableColumn id="10224" xr3:uid="{9439C5EB-0828-426D-B417-B4FF12C818EF}" name="Column10222"/>
    <tableColumn id="10225" xr3:uid="{B05038D5-22FD-4D4D-9668-09C10FD22C26}" name="Column10223"/>
    <tableColumn id="10226" xr3:uid="{8A3DED5B-C292-406A-B74E-77F85DC3679D}" name="Column10224"/>
    <tableColumn id="10227" xr3:uid="{DECE6719-1DCF-479A-BB65-3937A119A714}" name="Column10225"/>
    <tableColumn id="10228" xr3:uid="{A2993BF7-C75D-44E8-8D24-3A11E0F2633D}" name="Column10226"/>
    <tableColumn id="10229" xr3:uid="{49CFF354-84FC-4DE3-9202-1587A7EC053A}" name="Column10227"/>
    <tableColumn id="10230" xr3:uid="{A0572B49-D38C-4AE1-B89A-F5B9769B2821}" name="Column10228"/>
    <tableColumn id="10231" xr3:uid="{DC9A95EF-5881-41B6-B7EF-99E7D51C7FA1}" name="Column10229"/>
    <tableColumn id="10232" xr3:uid="{0E9737C8-4DBC-4509-B201-60012654EC0F}" name="Column10230"/>
    <tableColumn id="10233" xr3:uid="{E3FD450B-7095-4980-BBC6-762A1229408B}" name="Column10231"/>
    <tableColumn id="10234" xr3:uid="{5173BA03-FA34-4975-8E5D-5529C718F93B}" name="Column10232"/>
    <tableColumn id="10235" xr3:uid="{6D89B135-15F0-4CBA-9D1C-74946821ACAB}" name="Column10233"/>
    <tableColumn id="10236" xr3:uid="{B0175219-7D83-4DB0-BED0-67E09D2638E1}" name="Column10234"/>
    <tableColumn id="10237" xr3:uid="{59A90339-7270-43E9-BB02-A41AD9F06CE2}" name="Column10235"/>
    <tableColumn id="10238" xr3:uid="{2A37BFA1-DF4E-40B5-BC1A-F7D3C44C630C}" name="Column10236"/>
    <tableColumn id="10239" xr3:uid="{002AC90F-89B5-473D-93F4-48E18E46B499}" name="Column10237"/>
    <tableColumn id="10240" xr3:uid="{75051283-157E-41BC-8DBC-A86D92EE97C0}" name="Column10238"/>
    <tableColumn id="10241" xr3:uid="{B0E16A3A-043E-4045-BF4E-E89134DACDC4}" name="Column10239"/>
    <tableColumn id="10242" xr3:uid="{DB747C47-31FD-4BE4-A42E-362565287E0C}" name="Column10240"/>
    <tableColumn id="10243" xr3:uid="{08C9F4D8-D77F-4EFA-9382-3EE4AADD9E1B}" name="Column10241"/>
    <tableColumn id="10244" xr3:uid="{E433575B-46D6-42BC-9626-C8652C7362E7}" name="Column10242"/>
    <tableColumn id="10245" xr3:uid="{B2A81217-D947-4DB9-AA6C-65B95ACA9164}" name="Column10243"/>
    <tableColumn id="10246" xr3:uid="{56DB48D9-FF8D-4F8E-9C7A-622403E2DAF0}" name="Column10244"/>
    <tableColumn id="10247" xr3:uid="{942FD893-CF07-4A1A-84EE-4D800FD9DA2B}" name="Column10245"/>
    <tableColumn id="10248" xr3:uid="{0BAD962E-4F8A-4DFE-9698-5CFD1914E962}" name="Column10246"/>
    <tableColumn id="10249" xr3:uid="{8076F0E7-3672-415D-92CC-3F48EB11AB6D}" name="Column10247"/>
    <tableColumn id="10250" xr3:uid="{A8AA4F7A-C8D2-4F64-8D47-4F0DACD4BFA0}" name="Column10248"/>
    <tableColumn id="10251" xr3:uid="{286BDC57-47A2-4D2A-B93C-D311CB47DBE0}" name="Column10249"/>
    <tableColumn id="10252" xr3:uid="{3B7C13FD-A32F-4C82-9F8B-09CEFE981627}" name="Column10250"/>
    <tableColumn id="10253" xr3:uid="{63496615-73D7-420A-999D-877198F0820F}" name="Column10251"/>
    <tableColumn id="10254" xr3:uid="{4ECC82FF-279B-4FE3-9FC2-276C9EB8DDFF}" name="Column10252"/>
    <tableColumn id="10255" xr3:uid="{4276395D-B41A-41D6-BF4F-6F2FEA0998BF}" name="Column10253"/>
    <tableColumn id="10256" xr3:uid="{F3BA7269-A11B-4507-895F-E605BF8ACCDD}" name="Column10254"/>
    <tableColumn id="10257" xr3:uid="{756AC682-5F1C-43E4-B4F7-1FC69FD4D12B}" name="Column10255"/>
    <tableColumn id="10258" xr3:uid="{F6383449-3749-45C3-85D0-94F83393183C}" name="Column10256"/>
    <tableColumn id="10259" xr3:uid="{A81DFF32-A8BA-4B04-B4F0-3D36D5E4B05D}" name="Column10257"/>
    <tableColumn id="10260" xr3:uid="{4B04EC09-EDC4-4326-925B-5016BBA7B565}" name="Column10258"/>
    <tableColumn id="10261" xr3:uid="{FC11D41E-8A1A-4A80-8F3C-B2A60FB0FD2B}" name="Column10259"/>
    <tableColumn id="10262" xr3:uid="{133C346D-55B4-4F7D-9FF5-E714783A0E53}" name="Column10260"/>
    <tableColumn id="10263" xr3:uid="{780A8E4D-3002-4E78-8EC8-838D471B4554}" name="Column10261"/>
    <tableColumn id="10264" xr3:uid="{33DEA9F2-56CB-4999-84DC-915D020CAE83}" name="Column10262"/>
    <tableColumn id="10265" xr3:uid="{57729615-42F6-4071-B09B-88AC4286FBD7}" name="Column10263"/>
    <tableColumn id="10266" xr3:uid="{51045A16-B53B-4295-938B-58950B204372}" name="Column10264"/>
    <tableColumn id="10267" xr3:uid="{75BACC32-38F4-4032-970D-79917E963323}" name="Column10265"/>
    <tableColumn id="10268" xr3:uid="{F3CE589A-727B-4239-9767-41F2C7D42D1A}" name="Column10266"/>
    <tableColumn id="10269" xr3:uid="{D5234DBB-01C0-4407-991A-572948E47FEA}" name="Column10267"/>
    <tableColumn id="10270" xr3:uid="{CE46BECB-D286-4A4B-B5C4-D83D34E8F66D}" name="Column10268"/>
    <tableColumn id="10271" xr3:uid="{EB129385-0050-444F-B0C8-3E4B92B8234E}" name="Column10269"/>
    <tableColumn id="10272" xr3:uid="{D6C5043A-A89D-4D75-96EE-2EB425AE6E79}" name="Column10270"/>
    <tableColumn id="10273" xr3:uid="{31730F4E-8941-424C-87B9-ACD98EF8DAA4}" name="Column10271"/>
    <tableColumn id="10274" xr3:uid="{E65FA4EA-2DE7-4FA5-BE69-021F974F1473}" name="Column10272"/>
    <tableColumn id="10275" xr3:uid="{D56D7251-4B96-4AB6-8664-59CD73D10079}" name="Column10273"/>
    <tableColumn id="10276" xr3:uid="{FEEEB91E-7CF2-493F-850D-0C8412615E9C}" name="Column10274"/>
    <tableColumn id="10277" xr3:uid="{6FBEACF5-08DC-42CA-9A67-466B59A6D7ED}" name="Column10275"/>
    <tableColumn id="10278" xr3:uid="{23F16F1F-FFCD-423E-83F1-73843637C771}" name="Column10276"/>
    <tableColumn id="10279" xr3:uid="{CD0837D5-3DCE-4AE2-A0A3-9FDB0CD2B549}" name="Column10277"/>
    <tableColumn id="10280" xr3:uid="{1F032463-B773-484A-A71A-FECD1F9211EA}" name="Column10278"/>
    <tableColumn id="10281" xr3:uid="{E86D23A2-106D-414A-8C94-E449AE6A59F7}" name="Column10279"/>
    <tableColumn id="10282" xr3:uid="{32F2BCE6-5744-49E9-AF0E-FB7D1755B347}" name="Column10280"/>
    <tableColumn id="10283" xr3:uid="{6796D4A8-87BA-4C91-B4A3-F4FF634D2672}" name="Column10281"/>
    <tableColumn id="10284" xr3:uid="{0C16A363-625A-4416-AA61-8DCEE1499808}" name="Column10282"/>
    <tableColumn id="10285" xr3:uid="{FD3279B4-E8B3-4A43-9A02-145696A06BF1}" name="Column10283"/>
    <tableColumn id="10286" xr3:uid="{53FB0E66-5A25-4A01-BB69-E818808A7620}" name="Column10284"/>
    <tableColumn id="10287" xr3:uid="{C621246A-B022-45B3-B301-362093712055}" name="Column10285"/>
    <tableColumn id="10288" xr3:uid="{EF41235A-CDE7-4A57-9A5E-0CD02E1C83C9}" name="Column10286"/>
    <tableColumn id="10289" xr3:uid="{E7A3BE88-5FE9-4517-A5FA-83CD10A2CDA9}" name="Column10287"/>
    <tableColumn id="10290" xr3:uid="{F8CA5A1F-BCB6-448F-8FE7-19A9C784042A}" name="Column10288"/>
    <tableColumn id="10291" xr3:uid="{25F1BEE5-9273-4FA7-9D37-FDB2054739ED}" name="Column10289"/>
    <tableColumn id="10292" xr3:uid="{EF8C9835-F6B1-4970-A83F-5CB790785899}" name="Column10290"/>
    <tableColumn id="10293" xr3:uid="{92F5E5D6-E55D-4F2F-BEF3-9F7CE2B223E0}" name="Column10291"/>
    <tableColumn id="10294" xr3:uid="{B3415B23-BA0E-48C6-8D8E-6D2BCFF16DBE}" name="Column10292"/>
    <tableColumn id="10295" xr3:uid="{0C9CF8FC-999F-4592-A6EF-FBA5367FACA6}" name="Column10293"/>
    <tableColumn id="10296" xr3:uid="{E471B98F-5BFC-41AF-B90A-5276B0F9B1F0}" name="Column10294"/>
    <tableColumn id="10297" xr3:uid="{5F29CCD7-63D9-46DC-A421-4750BE64E024}" name="Column10295"/>
    <tableColumn id="10298" xr3:uid="{D9D8EBFC-1DA0-4D5A-9732-8E51F42AB806}" name="Column10296"/>
    <tableColumn id="10299" xr3:uid="{0E1D2C1F-628F-4D62-A90A-E98722DF5FD5}" name="Column10297"/>
    <tableColumn id="10300" xr3:uid="{3EADE710-7EF5-4688-9021-59C4025B5633}" name="Column10298"/>
    <tableColumn id="10301" xr3:uid="{4797CC3D-E905-4C5F-AFDD-42154174CD64}" name="Column10299"/>
    <tableColumn id="10302" xr3:uid="{33BBDD95-CC1D-4DA3-8572-6303952AB66A}" name="Column10300"/>
    <tableColumn id="10303" xr3:uid="{509D7407-8570-4C3E-8187-5F58F1D82637}" name="Column10301"/>
    <tableColumn id="10304" xr3:uid="{BFBC3A0E-750D-4C58-8915-9C86F54E90F3}" name="Column10302"/>
    <tableColumn id="10305" xr3:uid="{1E7C4827-C1B4-4DCE-998B-ABA9E7991C9F}" name="Column10303"/>
    <tableColumn id="10306" xr3:uid="{5A704662-1C96-42C9-AFA1-8B5EF7AEA905}" name="Column10304"/>
    <tableColumn id="10307" xr3:uid="{440A518A-9160-42C0-B87E-AC19E714CD47}" name="Column10305"/>
    <tableColumn id="10308" xr3:uid="{0C8DC849-7B8A-4CDD-96DA-808EDB835D06}" name="Column10306"/>
    <tableColumn id="10309" xr3:uid="{3285790C-42C9-4332-8A83-42613DB1588E}" name="Column10307"/>
    <tableColumn id="10310" xr3:uid="{638671CC-DA55-41B7-AB07-E0CE06E7176A}" name="Column10308"/>
    <tableColumn id="10311" xr3:uid="{1DE49361-A35B-4003-8E62-C48C446A074A}" name="Column10309"/>
    <tableColumn id="10312" xr3:uid="{C18D410F-65D4-46F2-9714-052E9579B511}" name="Column10310"/>
    <tableColumn id="10313" xr3:uid="{912CEB0B-C2DC-48E7-9182-5272D0F5208D}" name="Column10311"/>
    <tableColumn id="10314" xr3:uid="{8C1E7A88-0010-4CC5-9011-B2F70B6FCFDF}" name="Column10312"/>
    <tableColumn id="10315" xr3:uid="{624D1AC4-5A71-4B53-BB54-97D2FC214618}" name="Column10313"/>
    <tableColumn id="10316" xr3:uid="{8EE469BC-104C-4682-AD2D-8A3A070A6DC1}" name="Column10314"/>
    <tableColumn id="10317" xr3:uid="{138C50A6-E56A-40C6-A9C1-0957A6CE57DB}" name="Column10315"/>
    <tableColumn id="10318" xr3:uid="{D9D12802-8B0C-4E54-BF6D-F6C38F7815A3}" name="Column10316"/>
    <tableColumn id="10319" xr3:uid="{20BA0524-8D91-46C4-9C0F-2610AFF79971}" name="Column10317"/>
    <tableColumn id="10320" xr3:uid="{C27252FE-9517-490A-9085-23976B36204F}" name="Column10318"/>
    <tableColumn id="10321" xr3:uid="{497AEE99-F915-49F9-8BD0-88B6733E5B0D}" name="Column10319"/>
    <tableColumn id="10322" xr3:uid="{B28627FB-46DE-4F02-8F04-F9F3E0244C68}" name="Column10320"/>
    <tableColumn id="10323" xr3:uid="{4101E365-1C59-4596-ADBF-7B387CCE1772}" name="Column10321"/>
    <tableColumn id="10324" xr3:uid="{2979C331-C62C-4EDD-850A-4D5B2CAF1477}" name="Column10322"/>
    <tableColumn id="10325" xr3:uid="{2F45883E-FF80-4B68-9FD1-EF4F618B2387}" name="Column10323"/>
    <tableColumn id="10326" xr3:uid="{E16AD95D-247D-49E2-BA44-8E18CFCE0D0C}" name="Column10324"/>
    <tableColumn id="10327" xr3:uid="{C7B1E774-2110-44F0-A5CC-2621A6251E45}" name="Column10325"/>
    <tableColumn id="10328" xr3:uid="{0FF87E84-42CD-47C9-8888-52220AFF8E34}" name="Column10326"/>
    <tableColumn id="10329" xr3:uid="{4E9DC286-F17A-442C-A2E3-2A1880322BFA}" name="Column10327"/>
    <tableColumn id="10330" xr3:uid="{DBD3B530-9507-489D-8FC0-2F1B717BD3BA}" name="Column10328"/>
    <tableColumn id="10331" xr3:uid="{287A07AF-A913-4475-AED5-3D03742F1CB1}" name="Column10329"/>
    <tableColumn id="10332" xr3:uid="{10CED26D-7CF4-4496-A51E-BF344D640501}" name="Column10330"/>
    <tableColumn id="10333" xr3:uid="{596513E0-4776-4693-A826-714D664A5163}" name="Column10331"/>
    <tableColumn id="10334" xr3:uid="{9BE4C4CA-9226-4D01-9308-41F26DADC437}" name="Column10332"/>
    <tableColumn id="10335" xr3:uid="{10932BA5-53C4-47FE-AD72-9AF83D2A7B1D}" name="Column10333"/>
    <tableColumn id="10336" xr3:uid="{0ED89DDF-C64B-4BBB-A7B5-394E2A965FF9}" name="Column10334"/>
    <tableColumn id="10337" xr3:uid="{D4876642-638E-4A2B-B76E-5CE5F51C7D9A}" name="Column10335"/>
    <tableColumn id="10338" xr3:uid="{0A23962F-DB7D-456A-9093-1278946A0242}" name="Column10336"/>
    <tableColumn id="10339" xr3:uid="{8E918611-F8AA-4796-940B-1405A042725F}" name="Column10337"/>
    <tableColumn id="10340" xr3:uid="{4887B00C-3336-43DC-A04F-A193BE7BFA97}" name="Column10338"/>
    <tableColumn id="10341" xr3:uid="{0760178B-8270-490E-9AFE-1F7083045ED7}" name="Column10339"/>
    <tableColumn id="10342" xr3:uid="{2A28B060-DC35-4EAF-BB1A-3238D13299E0}" name="Column10340"/>
    <tableColumn id="10343" xr3:uid="{175A58E5-0C65-4C54-9BD6-31BE809129DA}" name="Column10341"/>
    <tableColumn id="10344" xr3:uid="{F8B1360A-3FBD-4E7E-BBB2-DBBA3F60B69B}" name="Column10342"/>
    <tableColumn id="10345" xr3:uid="{45E1DC21-37D2-4E47-8DBA-0933D5B480DF}" name="Column10343"/>
    <tableColumn id="10346" xr3:uid="{88583470-1A70-47AF-A70C-E205DF49B7B0}" name="Column10344"/>
    <tableColumn id="10347" xr3:uid="{A15E6914-8F49-47E6-8B8E-5F8FDDCCC87C}" name="Column10345"/>
    <tableColumn id="10348" xr3:uid="{BA3A54A1-55D7-46F7-9910-9377986B2279}" name="Column10346"/>
    <tableColumn id="10349" xr3:uid="{5CAD1C89-8DE5-4070-93E8-0E400D66111A}" name="Column10347"/>
    <tableColumn id="10350" xr3:uid="{E29E9DA7-14BE-4DD1-B909-C42EB0BB5351}" name="Column10348"/>
    <tableColumn id="10351" xr3:uid="{F9D8E66A-947A-4F70-9A99-CC52A3A04B16}" name="Column10349"/>
    <tableColumn id="10352" xr3:uid="{132A12B4-8E90-4586-94A7-D22EA8C85CDD}" name="Column10350"/>
    <tableColumn id="10353" xr3:uid="{FC5D4C3D-3FA0-4E66-B7F4-493BAB1C54A7}" name="Column10351"/>
    <tableColumn id="10354" xr3:uid="{1E512B13-1397-492A-B560-B66F833A40E7}" name="Column10352"/>
    <tableColumn id="10355" xr3:uid="{BD278BE8-5160-4B97-97E5-AC626142C277}" name="Column10353"/>
    <tableColumn id="10356" xr3:uid="{84C06DD4-F9B9-498D-B078-261BA4B8ABB8}" name="Column10354"/>
    <tableColumn id="10357" xr3:uid="{1947F868-7CEB-44A5-9007-34D8A7B6419B}" name="Column10355"/>
    <tableColumn id="10358" xr3:uid="{7DB913B4-952D-45FE-BE8A-F453122C5328}" name="Column10356"/>
    <tableColumn id="10359" xr3:uid="{9C84429E-31D9-413E-9656-30086DEBC2F7}" name="Column10357"/>
    <tableColumn id="10360" xr3:uid="{A061B1AC-5929-40D8-A8AB-819921DF827F}" name="Column10358"/>
    <tableColumn id="10361" xr3:uid="{7FBB852A-F7F1-4EA1-A11F-745C76DA54FE}" name="Column10359"/>
    <tableColumn id="10362" xr3:uid="{DF0CFC14-95DC-4793-8866-B7AC22BC3605}" name="Column10360"/>
    <tableColumn id="10363" xr3:uid="{DA189533-8DFC-4DB5-9D7E-E7249EE90154}" name="Column10361"/>
    <tableColumn id="10364" xr3:uid="{425B2C21-7788-492D-BBB0-C0A96E482BCB}" name="Column10362"/>
    <tableColumn id="10365" xr3:uid="{95BE2265-0859-4F1E-9905-EBC9E00117EF}" name="Column10363"/>
    <tableColumn id="10366" xr3:uid="{6CDAEB22-C343-48F6-8A0D-7DE9FC76015C}" name="Column10364"/>
    <tableColumn id="10367" xr3:uid="{EB9D6FD7-5778-4C48-99D2-03B1BB459C9B}" name="Column10365"/>
    <tableColumn id="10368" xr3:uid="{98DAD679-55B0-4BB3-9814-F7BFCAAB74E1}" name="Column10366"/>
    <tableColumn id="10369" xr3:uid="{1C17680E-594E-458B-9B63-8068A123F70D}" name="Column10367"/>
    <tableColumn id="10370" xr3:uid="{6B688316-480D-4AF1-BAF5-372C5EDAD008}" name="Column10368"/>
    <tableColumn id="10371" xr3:uid="{A14FCD20-E25D-47A3-92AE-DF1492F6F61F}" name="Column10369"/>
    <tableColumn id="10372" xr3:uid="{C47ABD6F-4E54-47D5-B3C8-5FF06FEC5B83}" name="Column10370"/>
    <tableColumn id="10373" xr3:uid="{503F948B-F007-469E-AA6B-A7DB534EFBC1}" name="Column10371"/>
    <tableColumn id="10374" xr3:uid="{AF9CED9A-CC92-4E91-BB7A-9215130AC8D1}" name="Column10372"/>
    <tableColumn id="10375" xr3:uid="{F004CDA2-6431-4D8B-9CB6-CD124E2725B7}" name="Column10373"/>
    <tableColumn id="10376" xr3:uid="{A9028711-B9B4-47E9-9374-7D41274050CB}" name="Column10374"/>
    <tableColumn id="10377" xr3:uid="{085695CB-349F-45BF-AB31-1AB0843A39C5}" name="Column10375"/>
    <tableColumn id="10378" xr3:uid="{E85D717D-5422-4760-940A-D364125A63C8}" name="Column10376"/>
    <tableColumn id="10379" xr3:uid="{9827C137-70E9-4489-B82A-F3D5ED41E20B}" name="Column10377"/>
    <tableColumn id="10380" xr3:uid="{609E2732-BF2B-423C-9652-185195AE156B}" name="Column10378"/>
    <tableColumn id="10381" xr3:uid="{913C2804-8482-4D7C-B9F8-115396205443}" name="Column10379"/>
    <tableColumn id="10382" xr3:uid="{EC8C0C3A-5DA6-4712-B4A9-85D871E3B6E1}" name="Column10380"/>
    <tableColumn id="10383" xr3:uid="{85F3B8B5-4F4D-44A3-835B-E60AD90343BA}" name="Column10381"/>
    <tableColumn id="10384" xr3:uid="{52C94E3A-FCA9-46B4-B869-95E6B82399C3}" name="Column10382"/>
    <tableColumn id="10385" xr3:uid="{1223C86C-D907-4663-A639-B7AB926C0447}" name="Column10383"/>
    <tableColumn id="10386" xr3:uid="{F4787894-7F24-47D8-9277-84B6B03DEA1F}" name="Column10384"/>
    <tableColumn id="10387" xr3:uid="{FDBAE7D9-E113-4ABC-A3FA-F65A4B06FDE0}" name="Column10385"/>
    <tableColumn id="10388" xr3:uid="{C93A9285-FEC9-418A-80C9-6B2D639C1E28}" name="Column10386"/>
    <tableColumn id="10389" xr3:uid="{2A346F0E-FF0F-4E06-B7F1-32DBF6F29BD8}" name="Column10387"/>
    <tableColumn id="10390" xr3:uid="{6FE43A73-26D2-401D-AD17-C1DBF32C46C2}" name="Column10388"/>
    <tableColumn id="10391" xr3:uid="{1C550482-D44B-489D-A848-49E7FD14821E}" name="Column10389"/>
    <tableColumn id="10392" xr3:uid="{2E84D8B2-FE53-40CF-9C3F-DEBF61E3696A}" name="Column10390"/>
    <tableColumn id="10393" xr3:uid="{C34E5E61-0551-4B22-AE9C-E0C77F40DFCD}" name="Column10391"/>
    <tableColumn id="10394" xr3:uid="{DF3A45F8-987D-415E-B020-ED03D7F8D39B}" name="Column10392"/>
    <tableColumn id="10395" xr3:uid="{D6829703-6FAC-450A-8133-4A42555EE37C}" name="Column10393"/>
    <tableColumn id="10396" xr3:uid="{3FAB1DB5-BDA5-4E44-A43D-1F4423AF8822}" name="Column10394"/>
    <tableColumn id="10397" xr3:uid="{F84C22A3-A7D8-4592-ADD0-C4E308E706E9}" name="Column10395"/>
    <tableColumn id="10398" xr3:uid="{30574DD9-EB0F-40A8-A8EC-F2A3CC64270D}" name="Column10396"/>
    <tableColumn id="10399" xr3:uid="{89D9F794-C8C4-4EF9-ABA7-357D43BA6501}" name="Column10397"/>
    <tableColumn id="10400" xr3:uid="{C5118DEF-3CE8-43F9-87AB-DB5CD5BAD5E8}" name="Column10398"/>
    <tableColumn id="10401" xr3:uid="{2C2B7F2A-519B-4655-91C2-C6A5A025DC8B}" name="Column10399"/>
    <tableColumn id="10402" xr3:uid="{017402BA-7D68-4D25-A341-FA87510CC8A2}" name="Column10400"/>
    <tableColumn id="10403" xr3:uid="{A16E67FC-4E48-4597-A213-AD96E39BE08A}" name="Column10401"/>
    <tableColumn id="10404" xr3:uid="{D79F27E7-46EE-43C7-AB3C-055E42398DF2}" name="Column10402"/>
    <tableColumn id="10405" xr3:uid="{AF2CCD48-21C3-4470-85A6-CB2BF3D4F2C1}" name="Column10403"/>
    <tableColumn id="10406" xr3:uid="{8932DCA0-8B4A-4689-AFE7-09D6F11FE160}" name="Column10404"/>
    <tableColumn id="10407" xr3:uid="{5E7A1AAE-FE4F-449A-9A3B-97156E8F79FC}" name="Column10405"/>
    <tableColumn id="10408" xr3:uid="{DB185747-4564-4630-A867-8DB1BCDBF2B6}" name="Column10406"/>
    <tableColumn id="10409" xr3:uid="{062F8E83-140A-40C1-B943-697739EB86F2}" name="Column10407"/>
    <tableColumn id="10410" xr3:uid="{511C73B1-530E-4680-A541-6D01FD7557DB}" name="Column10408"/>
    <tableColumn id="10411" xr3:uid="{741E06AC-93A3-4D41-90E5-6F466370A315}" name="Column10409"/>
    <tableColumn id="10412" xr3:uid="{F9E8179B-9290-41B0-B9EE-2508F9224F35}" name="Column10410"/>
    <tableColumn id="10413" xr3:uid="{62DDCD76-3C19-4CB9-BABE-83D27727B845}" name="Column10411"/>
    <tableColumn id="10414" xr3:uid="{FC3D07BC-ADBC-44EE-B833-7CCE35C3CE13}" name="Column10412"/>
    <tableColumn id="10415" xr3:uid="{024BB057-F241-4997-B464-B5B943B9C4E9}" name="Column10413"/>
    <tableColumn id="10416" xr3:uid="{937507C1-FA39-43A3-BD9E-30A77C6DBC4B}" name="Column10414"/>
    <tableColumn id="10417" xr3:uid="{ECEA4926-7473-4CF8-A7B3-7B06EABD9CBE}" name="Column10415"/>
    <tableColumn id="10418" xr3:uid="{2839CA68-3C4B-4143-BD2B-A88D57092D09}" name="Column10416"/>
    <tableColumn id="10419" xr3:uid="{6FA8DE82-A6D4-4A56-AE48-8B8526AE8668}" name="Column10417"/>
    <tableColumn id="10420" xr3:uid="{0586B994-26FC-444D-A3EA-0F63EB61B66A}" name="Column10418"/>
    <tableColumn id="10421" xr3:uid="{D834573B-A0A9-4BB0-B92F-1498872F1217}" name="Column10419"/>
    <tableColumn id="10422" xr3:uid="{D230E343-F4D2-4A60-9CBB-B0A0D6DFB1AB}" name="Column10420"/>
    <tableColumn id="10423" xr3:uid="{58124F01-B41F-4BFE-84C5-A961C048EF13}" name="Column10421"/>
    <tableColumn id="10424" xr3:uid="{AC15E1F6-B751-4999-A5F5-91C2BDAC4E75}" name="Column10422"/>
    <tableColumn id="10425" xr3:uid="{E0DFC067-C5E9-4222-983B-F65E1553EC4A}" name="Column10423"/>
    <tableColumn id="10426" xr3:uid="{34235A80-18E6-4E45-898E-B21B043211F8}" name="Column10424"/>
    <tableColumn id="10427" xr3:uid="{3A25F971-DCB9-485F-B88B-F42FC7346809}" name="Column10425"/>
    <tableColumn id="10428" xr3:uid="{A477B5BB-BA0C-4B81-AF2A-A659CA387B01}" name="Column10426"/>
    <tableColumn id="10429" xr3:uid="{3182CDE3-3EC8-428D-93CE-B9DCBEF99DE3}" name="Column10427"/>
    <tableColumn id="10430" xr3:uid="{91D9758D-D506-47B0-8EEE-BD6193B12AFF}" name="Column10428"/>
    <tableColumn id="10431" xr3:uid="{22069164-6192-420D-8B66-F84940C31701}" name="Column10429"/>
    <tableColumn id="10432" xr3:uid="{CA929D34-12F7-4901-AC6D-B80FB24368A1}" name="Column10430"/>
    <tableColumn id="10433" xr3:uid="{B977F473-0B3D-4D42-B102-80B3EA999674}" name="Column10431"/>
    <tableColumn id="10434" xr3:uid="{0B004F68-83CB-4AD1-8361-F29C4DB61899}" name="Column10432"/>
    <tableColumn id="10435" xr3:uid="{9FC989BF-F74A-4A3F-8F36-195CA7720D20}" name="Column10433"/>
    <tableColumn id="10436" xr3:uid="{2BB143F6-5DD6-4BAB-8633-C1C97AC37450}" name="Column10434"/>
    <tableColumn id="10437" xr3:uid="{577823D9-AADA-430E-852B-AA72AD17C011}" name="Column10435"/>
    <tableColumn id="10438" xr3:uid="{05355BA3-1FC1-4E5C-AA4B-29F7AFA01028}" name="Column10436"/>
    <tableColumn id="10439" xr3:uid="{FE6BE2F5-A5D1-4C21-913F-2A540ABBB744}" name="Column10437"/>
    <tableColumn id="10440" xr3:uid="{D0CFFAEE-B8AC-4178-B08D-FDA67FAE0387}" name="Column10438"/>
    <tableColumn id="10441" xr3:uid="{F001EFCF-B7FF-42BA-9B68-56466050F517}" name="Column10439"/>
    <tableColumn id="10442" xr3:uid="{3F18007F-B5FC-4B42-8109-4A0B69E643B9}" name="Column10440"/>
    <tableColumn id="10443" xr3:uid="{B85BB08D-B052-4961-973A-BF0516D947A3}" name="Column10441"/>
    <tableColumn id="10444" xr3:uid="{E48AA0D2-BE0A-4771-B9C0-A64A1D4DF667}" name="Column10442"/>
    <tableColumn id="10445" xr3:uid="{95F61DEA-9B77-41FC-936A-B2DE4BB7DF42}" name="Column10443"/>
    <tableColumn id="10446" xr3:uid="{FE9A7A6A-CD64-43D9-9704-D89FDFEEDDD7}" name="Column10444"/>
    <tableColumn id="10447" xr3:uid="{76F38E8F-2295-4E95-BD23-A0F122787B89}" name="Column10445"/>
    <tableColumn id="10448" xr3:uid="{AC99260F-1D49-4B50-90FF-DAE701A3301F}" name="Column10446"/>
    <tableColumn id="10449" xr3:uid="{04D6EE61-D236-42D8-904F-4BBC2D2CD07C}" name="Column10447"/>
    <tableColumn id="10450" xr3:uid="{CEA229E6-79D5-4DD6-8850-A1D9111794C9}" name="Column10448"/>
    <tableColumn id="10451" xr3:uid="{0661911C-7F05-4F6C-9EFF-78C50F3CA8DB}" name="Column10449"/>
    <tableColumn id="10452" xr3:uid="{EBB56F5E-A5A0-4007-B660-E59E082D9272}" name="Column10450"/>
    <tableColumn id="10453" xr3:uid="{327CB16D-995F-4E07-BDB7-379D4FCE0C5C}" name="Column10451"/>
    <tableColumn id="10454" xr3:uid="{D4ABDC9B-CD77-4675-BB6A-CFF74B0C68B0}" name="Column10452"/>
    <tableColumn id="10455" xr3:uid="{EB06D769-6B6D-4408-B67C-0DE8B705E370}" name="Column10453"/>
    <tableColumn id="10456" xr3:uid="{D7EB5A77-E1C0-45DE-80AE-9DF793604415}" name="Column10454"/>
    <tableColumn id="10457" xr3:uid="{81ABA505-7692-41AB-A579-12BBC22FC1D3}" name="Column10455"/>
    <tableColumn id="10458" xr3:uid="{A227BB26-F9FA-435A-8CE1-0D0662989E94}" name="Column10456"/>
    <tableColumn id="10459" xr3:uid="{91A14503-C402-40A6-AC10-09BE2C6C3AA5}" name="Column10457"/>
    <tableColumn id="10460" xr3:uid="{8253213E-2DED-4B96-B944-01ECD29C740C}" name="Column10458"/>
    <tableColumn id="10461" xr3:uid="{E114DBDF-0F37-4428-AE8F-6584ED09A7F2}" name="Column10459"/>
    <tableColumn id="10462" xr3:uid="{62F5BACF-79CF-47F5-9127-93DB8B8FD5F2}" name="Column10460"/>
    <tableColumn id="10463" xr3:uid="{E42FD909-BEF3-4237-BF69-92D664A4929E}" name="Column10461"/>
    <tableColumn id="10464" xr3:uid="{B74B3698-8551-474E-916E-64429B325A15}" name="Column10462"/>
    <tableColumn id="10465" xr3:uid="{4D85ED7F-A0C8-4DED-A46B-45908354DABE}" name="Column10463"/>
    <tableColumn id="10466" xr3:uid="{15B1CF40-D37C-465D-BDDC-4383A5DD208D}" name="Column10464"/>
    <tableColumn id="10467" xr3:uid="{F6F80C87-B5FD-4897-9FB4-324144D754C0}" name="Column10465"/>
    <tableColumn id="10468" xr3:uid="{D837A683-4D50-4B50-AE75-8C8D7AB86DE5}" name="Column10466"/>
    <tableColumn id="10469" xr3:uid="{891A8C5D-C9E9-4EE8-936B-CD69D346704F}" name="Column10467"/>
    <tableColumn id="10470" xr3:uid="{5D61AD05-623E-426B-99AC-36F14B0E5A0B}" name="Column10468"/>
    <tableColumn id="10471" xr3:uid="{2E5D2074-3ADE-4772-B285-6B0624AC09BA}" name="Column10469"/>
    <tableColumn id="10472" xr3:uid="{0D00D246-E220-44C9-9B05-2DDA35B059CB}" name="Column10470"/>
    <tableColumn id="10473" xr3:uid="{83EB97D4-77D8-4EB9-80E0-37C4393AC7D6}" name="Column10471"/>
    <tableColumn id="10474" xr3:uid="{D90D0912-646C-406D-9D52-01983BF81E3F}" name="Column10472"/>
    <tableColumn id="10475" xr3:uid="{B6A20118-15B4-481F-8150-1443A0BF5CE9}" name="Column10473"/>
    <tableColumn id="10476" xr3:uid="{CADE040A-43C7-49DE-AA72-229287A7C5E4}" name="Column10474"/>
    <tableColumn id="10477" xr3:uid="{6B87BBC0-91E7-4F6D-BCB0-3F7039188083}" name="Column10475"/>
    <tableColumn id="10478" xr3:uid="{3175F137-AD13-4B73-A6D9-7EDB0AA0A1BB}" name="Column10476"/>
    <tableColumn id="10479" xr3:uid="{04299922-210F-4C10-8499-CE84C241DEF4}" name="Column10477"/>
    <tableColumn id="10480" xr3:uid="{FC4565DC-8C42-4DD4-A168-4D4BF197148C}" name="Column10478"/>
    <tableColumn id="10481" xr3:uid="{B0B47ECF-E1A0-4A96-ADB6-84726CC723B4}" name="Column10479"/>
    <tableColumn id="10482" xr3:uid="{7C9ECE8B-6454-4D1C-92F7-D0D89D815F62}" name="Column10480"/>
    <tableColumn id="10483" xr3:uid="{DE52910A-A879-4C73-B9E5-F0FDFDD761BC}" name="Column10481"/>
    <tableColumn id="10484" xr3:uid="{91E1766A-918B-4C0A-9AD6-CCE0995831BE}" name="Column10482"/>
    <tableColumn id="10485" xr3:uid="{8C5F48EF-ED93-4E43-8EA9-93031F27580B}" name="Column10483"/>
    <tableColumn id="10486" xr3:uid="{FAE4DDCE-A0F2-47DE-AFA9-1F09E42224F7}" name="Column10484"/>
    <tableColumn id="10487" xr3:uid="{E48EF16C-7CB4-4738-8720-112596DEAECC}" name="Column10485"/>
    <tableColumn id="10488" xr3:uid="{B0869FBA-ECCB-4C9E-B2C5-2C679C997B76}" name="Column10486"/>
    <tableColumn id="10489" xr3:uid="{812DB0EE-723A-401B-9B4B-AB335464468C}" name="Column10487"/>
    <tableColumn id="10490" xr3:uid="{6CF065C9-EFCF-4DE1-9EEF-A31098D10DBE}" name="Column10488"/>
    <tableColumn id="10491" xr3:uid="{F9B6EA23-D397-4F41-9F69-5668C5275264}" name="Column10489"/>
    <tableColumn id="10492" xr3:uid="{1BC09732-F344-45FF-AE1E-1ED7C7BEB068}" name="Column10490"/>
    <tableColumn id="10493" xr3:uid="{23123BEA-92E2-46CD-9D2E-24024000203C}" name="Column10491"/>
    <tableColumn id="10494" xr3:uid="{E80DD634-C64D-4697-883E-91C76094F32E}" name="Column10492"/>
    <tableColumn id="10495" xr3:uid="{45E66518-175F-4A76-BB81-0D7511444C72}" name="Column10493"/>
    <tableColumn id="10496" xr3:uid="{190C9C8B-AC10-4833-8BBF-545A5EE7039F}" name="Column10494"/>
    <tableColumn id="10497" xr3:uid="{58B9691F-1027-4BA6-94CB-A6638A4F921D}" name="Column10495"/>
    <tableColumn id="10498" xr3:uid="{A27E3A90-D434-47CE-8D30-CA9FC5081AF9}" name="Column10496"/>
    <tableColumn id="10499" xr3:uid="{0CC2DD19-CD86-4185-A5A7-8F4F6FB6C941}" name="Column10497"/>
    <tableColumn id="10500" xr3:uid="{4512F06B-0E6E-4225-8ED4-F1C7F7B152D2}" name="Column10498"/>
    <tableColumn id="10501" xr3:uid="{B7356D8B-E66D-4617-83D4-272C96DD4145}" name="Column10499"/>
    <tableColumn id="10502" xr3:uid="{F6667BFD-B9D2-4CDB-A45C-0B955B109EF7}" name="Column10500"/>
    <tableColumn id="10503" xr3:uid="{280054D3-F0A3-4378-99D4-31D8C7B9D8BD}" name="Column10501"/>
    <tableColumn id="10504" xr3:uid="{80ABB385-05D0-4EFE-9556-E757BCF7757B}" name="Column10502"/>
    <tableColumn id="10505" xr3:uid="{14264752-0156-4926-9C22-ACD665C45353}" name="Column10503"/>
    <tableColumn id="10506" xr3:uid="{83993C26-6009-4A93-BAEF-C591B40DA8D4}" name="Column10504"/>
    <tableColumn id="10507" xr3:uid="{E02B7E49-6A6D-44FF-AFF3-2CBF45B4B5E1}" name="Column10505"/>
    <tableColumn id="10508" xr3:uid="{E2127ACC-EC6D-482B-BE4F-6E03C6807219}" name="Column10506"/>
    <tableColumn id="10509" xr3:uid="{CCAFA4B3-BE6C-48D2-8F23-40BAA7669DFB}" name="Column10507"/>
    <tableColumn id="10510" xr3:uid="{875D73B9-992D-407E-A610-C1D3DFFD05B2}" name="Column10508"/>
    <tableColumn id="10511" xr3:uid="{6DB8722D-DD2C-4C2E-BE56-020029B1230E}" name="Column10509"/>
    <tableColumn id="10512" xr3:uid="{0E54EEEB-4251-456C-A796-D080296735D2}" name="Column10510"/>
    <tableColumn id="10513" xr3:uid="{581A6337-A12E-428E-AE6F-784D859F943C}" name="Column10511"/>
    <tableColumn id="10514" xr3:uid="{7CC085C8-B070-4F25-95D4-B07313231F52}" name="Column10512"/>
    <tableColumn id="10515" xr3:uid="{F8C30426-C5D8-4F83-93C5-234E8B7069AE}" name="Column10513"/>
    <tableColumn id="10516" xr3:uid="{4BA5CA42-B263-4BC7-834F-944C3AF84E4D}" name="Column10514"/>
    <tableColumn id="10517" xr3:uid="{D05AEA08-B001-4577-BB0F-BC6FD8CBD21A}" name="Column10515"/>
    <tableColumn id="10518" xr3:uid="{221709DF-3660-4F78-BA12-8DB7A13A96DC}" name="Column10516"/>
    <tableColumn id="10519" xr3:uid="{C180616D-4EC4-4A13-80E9-A12C57A86A65}" name="Column10517"/>
    <tableColumn id="10520" xr3:uid="{A10F93D1-36AC-4E82-909F-FA74667ECD55}" name="Column10518"/>
    <tableColumn id="10521" xr3:uid="{773F3920-7F98-4070-B289-8234E8597271}" name="Column10519"/>
    <tableColumn id="10522" xr3:uid="{F7B32CDD-2887-4EDE-AEEB-22487DF41AA6}" name="Column10520"/>
    <tableColumn id="10523" xr3:uid="{1BDB9910-2740-4602-8DA8-66B4E8AE2F23}" name="Column10521"/>
    <tableColumn id="10524" xr3:uid="{78F7C02B-2E76-4112-85BB-6773C35DD582}" name="Column10522"/>
    <tableColumn id="10525" xr3:uid="{53FC48E9-2953-4D81-944C-4294738F8D96}" name="Column10523"/>
    <tableColumn id="10526" xr3:uid="{AB630207-6254-4ED6-8703-0063D40D1B65}" name="Column10524"/>
    <tableColumn id="10527" xr3:uid="{05FC855F-93E5-4880-B83C-EA0992178653}" name="Column10525"/>
    <tableColumn id="10528" xr3:uid="{00682826-E3D6-4B2B-A54D-5F5E29915981}" name="Column10526"/>
    <tableColumn id="10529" xr3:uid="{C7AB84F6-7B89-4CAA-B664-ECA7BFBC4A80}" name="Column10527"/>
    <tableColumn id="10530" xr3:uid="{747A0B1A-012B-4C8E-AA1A-DFEB360A6E64}" name="Column10528"/>
    <tableColumn id="10531" xr3:uid="{3895EE87-7995-41A8-8BCC-9B57C2C138C4}" name="Column10529"/>
    <tableColumn id="10532" xr3:uid="{795D60B4-70FE-4FA9-B59F-88C1BC607EC7}" name="Column10530"/>
    <tableColumn id="10533" xr3:uid="{04728888-C6BC-477B-ABD5-BE60038A3419}" name="Column10531"/>
    <tableColumn id="10534" xr3:uid="{C64F3DB0-7A7E-4A90-BAA8-64C64C6B5631}" name="Column10532"/>
    <tableColumn id="10535" xr3:uid="{AEE5E3C6-5413-493D-9C7F-05142AD46D8F}" name="Column10533"/>
    <tableColumn id="10536" xr3:uid="{D1B1E63F-2014-4EDF-8240-38E222F3D8AB}" name="Column10534"/>
    <tableColumn id="10537" xr3:uid="{3497F287-A87D-4E6F-BC06-37DCF8F1EACE}" name="Column10535"/>
    <tableColumn id="10538" xr3:uid="{A5062965-5D95-4766-8928-0E4443A8C2D3}" name="Column10536"/>
    <tableColumn id="10539" xr3:uid="{1B03BE16-10B0-4B5D-864D-DD618C6CF60B}" name="Column10537"/>
    <tableColumn id="10540" xr3:uid="{50790090-3037-4D29-BD09-9467F9D2E344}" name="Column10538"/>
    <tableColumn id="10541" xr3:uid="{CE7EDFE2-EA66-4F85-9856-5EF7FCB81D12}" name="Column10539"/>
    <tableColumn id="10542" xr3:uid="{0B3FB53D-CBB6-4831-A01C-01DC49ED0034}" name="Column10540"/>
    <tableColumn id="10543" xr3:uid="{45DB3A91-2859-45E2-9B9A-8C012C3ECFBA}" name="Column10541"/>
    <tableColumn id="10544" xr3:uid="{F0D557C3-0CEC-415B-BDEE-ED3FFC74982B}" name="Column10542"/>
    <tableColumn id="10545" xr3:uid="{B9F95BDE-575E-4ED0-8C62-A510BED0C2E6}" name="Column10543"/>
    <tableColumn id="10546" xr3:uid="{3B132333-3E63-47E3-9166-4CA8F499561C}" name="Column10544"/>
    <tableColumn id="10547" xr3:uid="{9B5E0652-8902-47B7-B8A7-D87CC457E5C7}" name="Column10545"/>
    <tableColumn id="10548" xr3:uid="{C8D71378-A0BE-449A-A19C-D4391D55677B}" name="Column10546"/>
    <tableColumn id="10549" xr3:uid="{C7AB327A-1D17-412A-9BA4-F3B17B349019}" name="Column10547"/>
    <tableColumn id="10550" xr3:uid="{8F8A7828-022B-4722-8FDC-96D45104D2C3}" name="Column10548"/>
    <tableColumn id="10551" xr3:uid="{A9BFBA78-3820-44BF-A5A2-11D4253AB1A7}" name="Column10549"/>
    <tableColumn id="10552" xr3:uid="{826D4CEC-A544-43CB-8EA1-47C63511D416}" name="Column10550"/>
    <tableColumn id="10553" xr3:uid="{7F0C88CB-6AB7-4134-9968-7825D892D3C6}" name="Column10551"/>
    <tableColumn id="10554" xr3:uid="{35EE3C8E-70AD-4371-9E2C-3203F2383B9D}" name="Column10552"/>
    <tableColumn id="10555" xr3:uid="{337C6195-940A-45BB-914C-1DC4AEFA3359}" name="Column10553"/>
    <tableColumn id="10556" xr3:uid="{B4CA387F-3CC8-4069-860E-4F6C44E61EAA}" name="Column10554"/>
    <tableColumn id="10557" xr3:uid="{68D1F86A-CF49-4026-B6A1-F9370C3A534C}" name="Column10555"/>
    <tableColumn id="10558" xr3:uid="{7E747E15-7EAA-40F7-BB00-E6F50C019CC2}" name="Column10556"/>
    <tableColumn id="10559" xr3:uid="{C068776A-DB5A-41E2-834A-D28F6446E25E}" name="Column10557"/>
    <tableColumn id="10560" xr3:uid="{18FD43DB-5E14-44E9-AC71-92A721427021}" name="Column10558"/>
    <tableColumn id="10561" xr3:uid="{3A062CCB-056C-456B-BD48-F0255D2FA631}" name="Column10559"/>
    <tableColumn id="10562" xr3:uid="{DCBAA1FA-8ECF-4DAF-B9A1-781978479290}" name="Column10560"/>
    <tableColumn id="10563" xr3:uid="{DAFD0C01-80BC-4C87-A397-EEE857BC90E6}" name="Column10561"/>
    <tableColumn id="10564" xr3:uid="{B876335F-26F9-4BE9-A02B-34A605BCAA2B}" name="Column10562"/>
    <tableColumn id="10565" xr3:uid="{D1199B5D-1CFC-4543-9869-0A909EC4B028}" name="Column10563"/>
    <tableColumn id="10566" xr3:uid="{383614CF-57FB-49D9-AE7B-27E9069A4DB8}" name="Column10564"/>
    <tableColumn id="10567" xr3:uid="{20872C9D-C316-41FF-8D10-D1A7015CBE7C}" name="Column10565"/>
    <tableColumn id="10568" xr3:uid="{F36376A2-6B0B-4A2D-BBBE-B155E855DF84}" name="Column10566"/>
    <tableColumn id="10569" xr3:uid="{595F8DE0-40ED-4B2F-8E12-F18CA7058D92}" name="Column10567"/>
    <tableColumn id="10570" xr3:uid="{8AF373D1-9A75-45B0-8E6B-B1F3E3885B78}" name="Column10568"/>
    <tableColumn id="10571" xr3:uid="{A82CDE87-8014-4B1C-A609-AF96A626EB1B}" name="Column10569"/>
    <tableColumn id="10572" xr3:uid="{10719514-A184-4B80-A8C1-68DA18C961AD}" name="Column10570"/>
    <tableColumn id="10573" xr3:uid="{3769CA3F-7B5C-4A71-8C19-10FB529D0DF2}" name="Column10571"/>
    <tableColumn id="10574" xr3:uid="{D5C1BA26-4F16-4537-ACED-69A5AD9DCCEC}" name="Column10572"/>
    <tableColumn id="10575" xr3:uid="{0773CCB2-809B-4E2B-978F-01DF74F2D532}" name="Column10573"/>
    <tableColumn id="10576" xr3:uid="{FA550CA4-7ED9-4265-A950-BEE6E504169C}" name="Column10574"/>
    <tableColumn id="10577" xr3:uid="{CE5FD61C-E095-4965-AB26-2924DBC5E514}" name="Column10575"/>
    <tableColumn id="10578" xr3:uid="{24A9FC27-E96E-40EF-808B-4D321F08544F}" name="Column10576"/>
    <tableColumn id="10579" xr3:uid="{DDE7AB25-E49F-4B56-9711-0E28BDB00281}" name="Column10577"/>
    <tableColumn id="10580" xr3:uid="{433E8116-99BE-4954-90FD-9CC18C95DE56}" name="Column10578"/>
    <tableColumn id="10581" xr3:uid="{39D973DC-18BE-44EE-B02E-BCC58EF87734}" name="Column10579"/>
    <tableColumn id="10582" xr3:uid="{657BC0B0-1902-4F7D-AEF7-613DB296AF81}" name="Column10580"/>
    <tableColumn id="10583" xr3:uid="{AE9E1D60-4E4E-47D1-B477-5D4FE51B27CE}" name="Column10581"/>
    <tableColumn id="10584" xr3:uid="{461F26BA-A2CB-46F2-9F04-EEDF435C1D4E}" name="Column10582"/>
    <tableColumn id="10585" xr3:uid="{1DE047EA-A4D4-4595-B50F-2EA1166EBD9E}" name="Column10583"/>
    <tableColumn id="10586" xr3:uid="{62196933-0107-42F8-A5DB-2170C08CB6E0}" name="Column10584"/>
    <tableColumn id="10587" xr3:uid="{F42A509F-3A91-4FFD-8E5F-8C1A5F8D4C12}" name="Column10585"/>
    <tableColumn id="10588" xr3:uid="{C2B92346-7629-4EF6-9D27-2908D479B47F}" name="Column10586"/>
    <tableColumn id="10589" xr3:uid="{ADE98AFA-DE67-4CB6-9808-CADEBB017B47}" name="Column10587"/>
    <tableColumn id="10590" xr3:uid="{148C59B9-9362-4E58-AA3C-FAB64BF53873}" name="Column10588"/>
    <tableColumn id="10591" xr3:uid="{6807B506-8815-48D7-96D7-89F9EFFD2771}" name="Column10589"/>
    <tableColumn id="10592" xr3:uid="{86B113AB-1123-431F-BD41-AE76DFA91417}" name="Column10590"/>
    <tableColumn id="10593" xr3:uid="{2D9B78EE-68B2-43B5-AD37-11F0015D6EEE}" name="Column10591"/>
    <tableColumn id="10594" xr3:uid="{FABEC903-3F73-492C-90AE-E1F309D50326}" name="Column10592"/>
    <tableColumn id="10595" xr3:uid="{1F281427-5038-497C-95E7-7F8039D6D860}" name="Column10593"/>
    <tableColumn id="10596" xr3:uid="{36233DD2-72BA-469A-9120-1588297544D3}" name="Column10594"/>
    <tableColumn id="10597" xr3:uid="{2E9FF6E8-189E-480E-A2BD-60EF26A68CDB}" name="Column10595"/>
    <tableColumn id="10598" xr3:uid="{2C986126-34DA-4F8A-98A3-F1729889B279}" name="Column10596"/>
    <tableColumn id="10599" xr3:uid="{1F66FF14-FA89-4D23-B00C-AF9641608C78}" name="Column10597"/>
    <tableColumn id="10600" xr3:uid="{9471DDB5-BB4C-4808-A604-77B5CCBAAC3C}" name="Column10598"/>
    <tableColumn id="10601" xr3:uid="{DC8C33E2-59C1-43C5-A381-AC840CD9A39B}" name="Column10599"/>
    <tableColumn id="10602" xr3:uid="{4FF27B1D-09D5-4931-B4BC-2FF89E52C871}" name="Column10600"/>
    <tableColumn id="10603" xr3:uid="{CBC951A3-927D-4882-9B0C-913A09D165AD}" name="Column10601"/>
    <tableColumn id="10604" xr3:uid="{2D65B1C6-488E-4CE5-B861-15B3A2F1DBF6}" name="Column10602"/>
    <tableColumn id="10605" xr3:uid="{34EA3ACC-2A49-42C2-BC70-D8A6D7D0A20B}" name="Column10603"/>
    <tableColumn id="10606" xr3:uid="{E647E050-8E62-4E2B-B851-8CEDF4259B71}" name="Column10604"/>
    <tableColumn id="10607" xr3:uid="{CDF26355-6DC4-44BA-B1C3-57F7035A799F}" name="Column10605"/>
    <tableColumn id="10608" xr3:uid="{A964570F-2C72-41E5-A797-6FFFAA410A75}" name="Column10606"/>
    <tableColumn id="10609" xr3:uid="{D20FDCA7-2CE6-448B-945D-A3CAFDC826EA}" name="Column10607"/>
    <tableColumn id="10610" xr3:uid="{DA615607-D7E2-47A2-B568-A57908621EF8}" name="Column10608"/>
    <tableColumn id="10611" xr3:uid="{EE572EE8-70A2-4C06-A184-2287D9E1D885}" name="Column10609"/>
    <tableColumn id="10612" xr3:uid="{B2032C81-77A4-4A7B-B631-B336FC617879}" name="Column10610"/>
    <tableColumn id="10613" xr3:uid="{613201D2-794D-4C95-BF4C-89F3A186C2D6}" name="Column10611"/>
    <tableColumn id="10614" xr3:uid="{47851B14-15E7-4E26-B3E7-E8F09E0B4C9B}" name="Column10612"/>
    <tableColumn id="10615" xr3:uid="{34CE7B3F-B888-4F7C-A856-482158F4ACA5}" name="Column10613"/>
    <tableColumn id="10616" xr3:uid="{797DC92A-408C-4CD2-B032-A691C5D18F27}" name="Column10614"/>
    <tableColumn id="10617" xr3:uid="{57B5F524-A359-480E-AEA9-97F3D2DA38C3}" name="Column10615"/>
    <tableColumn id="10618" xr3:uid="{D1C5DFB8-95EB-4D2B-884D-ACD76389DDB1}" name="Column10616"/>
    <tableColumn id="10619" xr3:uid="{5C33EFAD-B4EF-46EC-83CD-5984E3101248}" name="Column10617"/>
    <tableColumn id="10620" xr3:uid="{865CA5A3-60E0-4CC6-8DEE-F332BB32252C}" name="Column10618"/>
    <tableColumn id="10621" xr3:uid="{9C4C6722-640E-4103-9502-E6AEFE17AAD5}" name="Column10619"/>
    <tableColumn id="10622" xr3:uid="{6019932E-941C-4BB3-B9A8-993298A01EF9}" name="Column10620"/>
    <tableColumn id="10623" xr3:uid="{C0CE911C-99DD-4F84-9727-F396670AC35E}" name="Column10621"/>
    <tableColumn id="10624" xr3:uid="{C930E872-DAB8-4E4D-BDA7-DAEF82A8B23A}" name="Column10622"/>
    <tableColumn id="10625" xr3:uid="{C78B8F56-AAF0-4E27-B74A-57D2B38457FB}" name="Column10623"/>
    <tableColumn id="10626" xr3:uid="{DCAE829E-B397-4225-B361-AE3DD3DF52D7}" name="Column10624"/>
    <tableColumn id="10627" xr3:uid="{71F10B95-B372-4CAB-B337-80997AEA2859}" name="Column10625"/>
    <tableColumn id="10628" xr3:uid="{9AC8FC73-D6C2-4E88-B505-7AAF10D8AF2F}" name="Column10626"/>
    <tableColumn id="10629" xr3:uid="{4AF8D2BF-A2E8-4C5C-9249-24419BC2DDBF}" name="Column10627"/>
    <tableColumn id="10630" xr3:uid="{61A90D10-E79C-46D5-9CD8-02641EE6728B}" name="Column10628"/>
    <tableColumn id="10631" xr3:uid="{C1022AB5-3091-4C11-9F51-97788C57880C}" name="Column10629"/>
    <tableColumn id="10632" xr3:uid="{EE1BBB8E-2639-4172-9708-1D7B61156F3D}" name="Column10630"/>
    <tableColumn id="10633" xr3:uid="{D5AB0170-77E8-4869-AF91-CB470A3148F8}" name="Column10631"/>
    <tableColumn id="10634" xr3:uid="{AFBB2FF4-713A-4CCE-A400-064912C89310}" name="Column10632"/>
    <tableColumn id="10635" xr3:uid="{42A25F80-1CD8-4E6E-845B-F70FB2E7A70C}" name="Column10633"/>
    <tableColumn id="10636" xr3:uid="{152F9DFC-E8B6-4227-B831-9FA46E0EE43B}" name="Column10634"/>
    <tableColumn id="10637" xr3:uid="{A9534900-B457-40DB-BC7E-D16215BA93B7}" name="Column10635"/>
    <tableColumn id="10638" xr3:uid="{85511104-0028-489B-967A-9AEF8795A9A5}" name="Column10636"/>
    <tableColumn id="10639" xr3:uid="{49EAFD69-D8CB-4BB1-9108-D1ACF5C4241C}" name="Column10637"/>
    <tableColumn id="10640" xr3:uid="{E127F04C-9367-450D-8080-C1937C6E77EA}" name="Column10638"/>
    <tableColumn id="10641" xr3:uid="{2C918113-8B74-492E-873D-C18A5054E3DF}" name="Column10639"/>
    <tableColumn id="10642" xr3:uid="{4D7DBFFE-9846-4EC3-8EE5-4A2E8CB6313C}" name="Column10640"/>
    <tableColumn id="10643" xr3:uid="{A95E6889-B1BE-4D61-A5D5-6F3384943E69}" name="Column10641"/>
    <tableColumn id="10644" xr3:uid="{BE16C105-12AD-448C-A23F-FFA86B746D80}" name="Column10642"/>
    <tableColumn id="10645" xr3:uid="{46A17565-4D75-4963-9FB4-F9F21B06507B}" name="Column10643"/>
    <tableColumn id="10646" xr3:uid="{9E6630E1-9026-4658-8BB0-ED58AEEC6D46}" name="Column10644"/>
    <tableColumn id="10647" xr3:uid="{06D1ECBB-C7F1-4EF7-87C4-1EB149009952}" name="Column10645"/>
    <tableColumn id="10648" xr3:uid="{E8193FE7-2972-4323-BB87-B0F5F76CF56C}" name="Column10646"/>
    <tableColumn id="10649" xr3:uid="{B0EE2F0D-EFF3-4AA7-8382-59A4CCF4977A}" name="Column10647"/>
    <tableColumn id="10650" xr3:uid="{23EF0F04-B88D-4F2E-AB46-3D0BBFBCDF4F}" name="Column10648"/>
    <tableColumn id="10651" xr3:uid="{A55651CB-3073-4DB7-87C2-E4115BDFD1D4}" name="Column10649"/>
    <tableColumn id="10652" xr3:uid="{85550905-4C68-4A81-8FAD-A16806354985}" name="Column10650"/>
    <tableColumn id="10653" xr3:uid="{EA9EFB6D-296B-4C96-A10D-9E4F6D0582FB}" name="Column10651"/>
    <tableColumn id="10654" xr3:uid="{E21E0245-84B2-4380-A39A-681263C79D58}" name="Column10652"/>
    <tableColumn id="10655" xr3:uid="{EAC415F5-934B-4272-817E-AB5D3CBA0A92}" name="Column10653"/>
    <tableColumn id="10656" xr3:uid="{20F1B2ED-73B7-4E4A-9B8F-F856082C1D75}" name="Column10654"/>
    <tableColumn id="10657" xr3:uid="{65FBE5FE-4D03-4430-8726-8EA576DA2099}" name="Column10655"/>
    <tableColumn id="10658" xr3:uid="{D201C141-D5FC-48B0-8839-1FEA2BD2659C}" name="Column10656"/>
    <tableColumn id="10659" xr3:uid="{8EDCD260-C276-4354-95DA-39B3F1B7DA24}" name="Column10657"/>
    <tableColumn id="10660" xr3:uid="{9FCAD9D9-19F7-460D-984F-26CF55B3FEB3}" name="Column10658"/>
    <tableColumn id="10661" xr3:uid="{0D4A3217-7440-4727-8B9B-128D4824527A}" name="Column10659"/>
    <tableColumn id="10662" xr3:uid="{94EC8159-5238-4A7A-8CF9-21A8E89F63BC}" name="Column10660"/>
    <tableColumn id="10663" xr3:uid="{31A33F36-A089-454F-9C92-6C6A3A9B1DE7}" name="Column10661"/>
    <tableColumn id="10664" xr3:uid="{80168910-2879-4E65-9D6F-C768FCCC8073}" name="Column10662"/>
    <tableColumn id="10665" xr3:uid="{03B38FAA-FD58-4D13-9095-0926DA497F23}" name="Column10663"/>
    <tableColumn id="10666" xr3:uid="{63EBA7E9-6A5A-4212-B070-DCDEB1EBEC68}" name="Column10664"/>
    <tableColumn id="10667" xr3:uid="{212684E8-1F59-49D8-ACC1-24FF36781A50}" name="Column10665"/>
    <tableColumn id="10668" xr3:uid="{0C265C86-BA21-4BFD-BF25-AB4DB9B68707}" name="Column10666"/>
    <tableColumn id="10669" xr3:uid="{1A0A31B5-6C9D-4E59-9656-3E8F152BC35C}" name="Column10667"/>
    <tableColumn id="10670" xr3:uid="{CF7F7D4C-B959-41CF-A285-183AE7E2D37B}" name="Column10668"/>
    <tableColumn id="10671" xr3:uid="{653FD415-6EE5-4CDC-9AA3-9054DA5A557B}" name="Column10669"/>
    <tableColumn id="10672" xr3:uid="{9F1821A5-474D-4B7B-B21D-5296C8ED0CA5}" name="Column10670"/>
    <tableColumn id="10673" xr3:uid="{57771E2F-EA5B-4BAD-8B96-C9805CA47004}" name="Column10671"/>
    <tableColumn id="10674" xr3:uid="{A2F16A34-02D5-4907-ACB4-55D2C4C9F199}" name="Column10672"/>
    <tableColumn id="10675" xr3:uid="{DC5C24F2-D962-4D51-A036-19F7B4EBBFDB}" name="Column10673"/>
    <tableColumn id="10676" xr3:uid="{680A87EA-05AC-455C-B9EC-5503D7ED2986}" name="Column10674"/>
    <tableColumn id="10677" xr3:uid="{28B0B742-6461-49C5-9A7E-9B35750B283F}" name="Column10675"/>
    <tableColumn id="10678" xr3:uid="{1807D726-6A15-498C-AECE-10BE2EE68F0A}" name="Column10676"/>
    <tableColumn id="10679" xr3:uid="{E8465925-1D11-41AE-BCC4-7123D35354E3}" name="Column10677"/>
    <tableColumn id="10680" xr3:uid="{5A498DEB-37E0-4DEE-8D29-940C127BF38B}" name="Column10678"/>
    <tableColumn id="10681" xr3:uid="{F0D04F60-6742-4246-A5AD-29B7B65E6E66}" name="Column10679"/>
    <tableColumn id="10682" xr3:uid="{BE09CC53-897E-401D-B96E-92DF9C69C12A}" name="Column10680"/>
    <tableColumn id="10683" xr3:uid="{F7AA2537-1FE8-4C93-A9DD-A17B57A85F5D}" name="Column10681"/>
    <tableColumn id="10684" xr3:uid="{2F0BE77B-0622-4166-8888-5084B87D74FF}" name="Column10682"/>
    <tableColumn id="10685" xr3:uid="{2915F22D-0FBB-42DD-8CE6-F94FA34127B9}" name="Column10683"/>
    <tableColumn id="10686" xr3:uid="{C0AC7D43-2451-4718-9F72-A1894E4B8842}" name="Column10684"/>
    <tableColumn id="10687" xr3:uid="{1EE6FE92-4312-4C95-B541-6E671FEAE146}" name="Column10685"/>
    <tableColumn id="10688" xr3:uid="{FF3708E0-1993-42C2-AAD3-7DAE50D28102}" name="Column10686"/>
    <tableColumn id="10689" xr3:uid="{5C1454A9-55E2-471D-B341-2C2494557764}" name="Column10687"/>
    <tableColumn id="10690" xr3:uid="{21E7822A-D2BF-4250-896E-9720EE578C8F}" name="Column10688"/>
    <tableColumn id="10691" xr3:uid="{F4942E05-8840-41B7-9466-93232B08A392}" name="Column10689"/>
    <tableColumn id="10692" xr3:uid="{822092F4-8A53-44A3-A5DF-13D9405B78EB}" name="Column10690"/>
    <tableColumn id="10693" xr3:uid="{C6F1F430-B390-43E8-A031-0424FB40D06B}" name="Column10691"/>
    <tableColumn id="10694" xr3:uid="{B906E072-2D2D-42A6-8E25-A7010C093ECD}" name="Column10692"/>
    <tableColumn id="10695" xr3:uid="{202CF3FA-B3DD-48CA-A00C-46B35E0EF2F9}" name="Column10693"/>
    <tableColumn id="10696" xr3:uid="{A70C2FE0-3462-4E01-BF33-09FDA082F026}" name="Column10694"/>
    <tableColumn id="10697" xr3:uid="{52B29FFB-10B7-4181-9631-E63430D6B3AC}" name="Column10695"/>
    <tableColumn id="10698" xr3:uid="{546C8F0C-A185-4FC8-8478-B39A7798DF98}" name="Column10696"/>
    <tableColumn id="10699" xr3:uid="{8F8B61F9-F9DD-4EA5-A55B-6827B581743B}" name="Column10697"/>
    <tableColumn id="10700" xr3:uid="{7D1683FF-0C41-4BA9-A1F1-0CF5878573DD}" name="Column10698"/>
    <tableColumn id="10701" xr3:uid="{30155104-1FDB-4C5D-A262-BB7C9642F477}" name="Column10699"/>
    <tableColumn id="10702" xr3:uid="{348A948A-21D2-4DEA-9BAF-988E889258FD}" name="Column10700"/>
    <tableColumn id="10703" xr3:uid="{72DB54CB-184F-463F-B196-E32AC9315AE6}" name="Column10701"/>
    <tableColumn id="10704" xr3:uid="{E4E295B6-D89C-4830-948B-9ED1B24345FB}" name="Column10702"/>
    <tableColumn id="10705" xr3:uid="{EC44B39F-C04E-4F3B-8D03-9193EBB35CE2}" name="Column10703"/>
    <tableColumn id="10706" xr3:uid="{146E7079-2F68-4E50-8E00-C7CDF394ED17}" name="Column10704"/>
    <tableColumn id="10707" xr3:uid="{93FE69E5-8A04-4710-9623-AC5ED5A51310}" name="Column10705"/>
    <tableColumn id="10708" xr3:uid="{284869F4-14B6-4D6C-97EA-BA004DCDC3CE}" name="Column10706"/>
    <tableColumn id="10709" xr3:uid="{B799BAB9-68E2-42B8-8C10-A2CE7DF7ABE2}" name="Column10707"/>
    <tableColumn id="10710" xr3:uid="{411B070A-F8AB-4513-AA2E-0A7D566B08B5}" name="Column10708"/>
    <tableColumn id="10711" xr3:uid="{0B903935-D850-4913-86BB-9BEB02F159FD}" name="Column10709"/>
    <tableColumn id="10712" xr3:uid="{70C257FE-1B46-4933-909A-9BCD19B32826}" name="Column10710"/>
    <tableColumn id="10713" xr3:uid="{4F4DF7C1-837D-4D8F-98FF-42C599E2AF88}" name="Column10711"/>
    <tableColumn id="10714" xr3:uid="{B605F62D-681D-4E98-AF19-3A645C3D9737}" name="Column10712"/>
    <tableColumn id="10715" xr3:uid="{90C23377-6672-4B2A-A601-E80CF949D296}" name="Column10713"/>
    <tableColumn id="10716" xr3:uid="{F99563C3-EF97-4F62-B5DB-D7E8AF1CAA93}" name="Column10714"/>
    <tableColumn id="10717" xr3:uid="{585F785A-F630-4843-A570-62AF05179CEC}" name="Column10715"/>
    <tableColumn id="10718" xr3:uid="{5BA02233-BFE1-49C2-BD55-CF95B5C7E568}" name="Column10716"/>
    <tableColumn id="10719" xr3:uid="{BE5107E8-F590-4F7F-8287-C9FCD2B49A5B}" name="Column10717"/>
    <tableColumn id="10720" xr3:uid="{5848933B-59AC-47F3-B7B0-775C0B10A216}" name="Column10718"/>
    <tableColumn id="10721" xr3:uid="{83F9B79D-451C-41E7-94E1-D842973CA13F}" name="Column10719"/>
    <tableColumn id="10722" xr3:uid="{FD8939D6-5C8B-41F3-89B2-29DCCB05D70C}" name="Column10720"/>
    <tableColumn id="10723" xr3:uid="{E1377704-22F4-45B6-9ADC-769145A4F789}" name="Column10721"/>
    <tableColumn id="10724" xr3:uid="{22D47036-FD8E-4B7A-BCB7-FA45FEAB9DA9}" name="Column10722"/>
    <tableColumn id="10725" xr3:uid="{949C4D69-07AE-49E9-8833-FC64BF1C6A99}" name="Column10723"/>
    <tableColumn id="10726" xr3:uid="{E92D4F76-172B-4D14-909B-1489428A73F5}" name="Column10724"/>
    <tableColumn id="10727" xr3:uid="{FADDA592-0326-4EDD-9451-08B56201364F}" name="Column10725"/>
    <tableColumn id="10728" xr3:uid="{2798FAA1-81F2-4864-9BCF-B2FC3A0BB3F0}" name="Column10726"/>
    <tableColumn id="10729" xr3:uid="{90D360D3-B6FC-47AD-B06C-F664E3950D46}" name="Column10727"/>
    <tableColumn id="10730" xr3:uid="{060DD4BC-D3DC-4C00-BE6C-4273916F9EC7}" name="Column10728"/>
    <tableColumn id="10731" xr3:uid="{0D8E08A4-2162-485A-B780-6DFF0E2F52D3}" name="Column10729"/>
    <tableColumn id="10732" xr3:uid="{52106B2A-FFA5-4A47-8891-B4056F12EC02}" name="Column10730"/>
    <tableColumn id="10733" xr3:uid="{68502CE2-3F65-43AB-A3F4-C8DF325D211A}" name="Column10731"/>
    <tableColumn id="10734" xr3:uid="{F812CE28-208F-48CC-9159-A27F5404477F}" name="Column10732"/>
    <tableColumn id="10735" xr3:uid="{74BBAC87-0DC8-4C21-B759-188E5416FE4C}" name="Column10733"/>
    <tableColumn id="10736" xr3:uid="{A516EEF4-2DD6-450D-9839-91CD2AFC6C73}" name="Column10734"/>
    <tableColumn id="10737" xr3:uid="{886EB4D6-73CD-432A-B98B-689F71340067}" name="Column10735"/>
    <tableColumn id="10738" xr3:uid="{878803F0-07B1-4DD4-A534-985C95A1A577}" name="Column10736"/>
    <tableColumn id="10739" xr3:uid="{27848A22-E802-4A39-9A34-BBD79415AE54}" name="Column10737"/>
    <tableColumn id="10740" xr3:uid="{8A276B75-1DC9-4019-AD52-FFF16038480F}" name="Column10738"/>
    <tableColumn id="10741" xr3:uid="{65494CDD-5E08-4B5F-8FC4-21562905AD80}" name="Column10739"/>
    <tableColumn id="10742" xr3:uid="{0D01E3F0-4D4A-4198-8375-94A8C3725A40}" name="Column10740"/>
    <tableColumn id="10743" xr3:uid="{88161594-7536-44E7-8C4D-B33877B6C661}" name="Column10741"/>
    <tableColumn id="10744" xr3:uid="{7322819C-13D7-4AB3-858E-35ED36AC62D5}" name="Column10742"/>
    <tableColumn id="10745" xr3:uid="{168E624A-57AD-4439-ADD6-B83249E10A7D}" name="Column10743"/>
    <tableColumn id="10746" xr3:uid="{07851BA9-2B8A-4164-A1AE-2A8928ADCB6A}" name="Column10744"/>
    <tableColumn id="10747" xr3:uid="{030290A2-FBA8-4C01-8607-B462950E0E68}" name="Column10745"/>
    <tableColumn id="10748" xr3:uid="{3CA2E4B1-E06C-4F22-AE0F-FC1D9C196642}" name="Column10746"/>
    <tableColumn id="10749" xr3:uid="{4A46E26D-1C68-4F38-8554-455F557B91C9}" name="Column10747"/>
    <tableColumn id="10750" xr3:uid="{19966366-555E-4166-8C95-9E241C415BE8}" name="Column10748"/>
    <tableColumn id="10751" xr3:uid="{DA867DA8-D4A0-4E9A-9F47-642F602F6A83}" name="Column10749"/>
    <tableColumn id="10752" xr3:uid="{6FB4DC33-40F1-43EC-B82A-F18417C4FBC3}" name="Column10750"/>
    <tableColumn id="10753" xr3:uid="{73ECD7E1-D87A-41FD-BAFB-8AF6685DE5CC}" name="Column10751"/>
    <tableColumn id="10754" xr3:uid="{1217F9A1-5202-463D-B9B9-5459DBC1D4EA}" name="Column10752"/>
    <tableColumn id="10755" xr3:uid="{A791E7B5-786B-4E36-9A56-DD2F06683988}" name="Column10753"/>
    <tableColumn id="10756" xr3:uid="{B245F859-1F5E-4CAC-966C-2C4880CAF01E}" name="Column10754"/>
    <tableColumn id="10757" xr3:uid="{56254E42-EDEC-4DA3-ADD0-4901DE9B10BB}" name="Column10755"/>
    <tableColumn id="10758" xr3:uid="{1C5BEFFF-DB27-4BBF-944D-FB67C9C668F2}" name="Column10756"/>
    <tableColumn id="10759" xr3:uid="{527B6081-596A-42D6-B231-68DD0DF172F6}" name="Column10757"/>
    <tableColumn id="10760" xr3:uid="{5C761D73-6AB9-45BB-BF88-A8D0383B9ECC}" name="Column10758"/>
    <tableColumn id="10761" xr3:uid="{AC949E7A-1FA7-48ED-A33F-E1D560BF034C}" name="Column10759"/>
    <tableColumn id="10762" xr3:uid="{FFC3AA18-B0BD-4B35-9A54-2A2BC5D32CB3}" name="Column10760"/>
    <tableColumn id="10763" xr3:uid="{7C52780F-9D7A-4263-B335-D71E3FCCC8A0}" name="Column10761"/>
    <tableColumn id="10764" xr3:uid="{276E0428-0165-4F05-9811-BF636933734F}" name="Column10762"/>
    <tableColumn id="10765" xr3:uid="{AF867C25-626A-4ABC-94E2-53439F0B69C1}" name="Column10763"/>
    <tableColumn id="10766" xr3:uid="{37059A26-74CE-4413-BEB4-7C93521CBEBC}" name="Column10764"/>
    <tableColumn id="10767" xr3:uid="{E60A4B03-0EC1-4C1F-BF78-447186A601D0}" name="Column10765"/>
    <tableColumn id="10768" xr3:uid="{F352115C-17AE-4D32-902F-D8EBE3ACEABA}" name="Column10766"/>
    <tableColumn id="10769" xr3:uid="{AE503849-9EDD-4B31-95BE-F4D4D7EBA452}" name="Column10767"/>
    <tableColumn id="10770" xr3:uid="{D3A49E7C-F53E-4BD4-9947-7603FA6A79E9}" name="Column10768"/>
    <tableColumn id="10771" xr3:uid="{44766E6E-FBE0-4964-A252-9566FCC852F9}" name="Column10769"/>
    <tableColumn id="10772" xr3:uid="{3DACF133-BAF2-483C-91D0-4D63E48D308A}" name="Column10770"/>
    <tableColumn id="10773" xr3:uid="{4C1799B1-1DE8-42C2-A77F-8819739B7BAB}" name="Column10771"/>
    <tableColumn id="10774" xr3:uid="{270BAB7B-AAF8-4136-AF32-6ECE8E714068}" name="Column10772"/>
    <tableColumn id="10775" xr3:uid="{DB4F7EB3-7F41-4065-A381-50262E5CED0B}" name="Column10773"/>
    <tableColumn id="10776" xr3:uid="{4CEDFB03-1F97-41FF-95BE-E732FCF5DCBC}" name="Column10774"/>
    <tableColumn id="10777" xr3:uid="{6CCA0768-84C8-4375-B2E5-C263C8034D5D}" name="Column10775"/>
    <tableColumn id="10778" xr3:uid="{E95F8085-B3CC-4234-AD6A-53246534A63C}" name="Column10776"/>
    <tableColumn id="10779" xr3:uid="{796B444D-9217-4E96-9DC9-19BC1C3F6CAB}" name="Column10777"/>
    <tableColumn id="10780" xr3:uid="{8ECB1A60-882A-44AF-943E-7A38279F2C0D}" name="Column10778"/>
    <tableColumn id="10781" xr3:uid="{3A859155-36CD-407E-93ED-5E192DD5A9E4}" name="Column10779"/>
    <tableColumn id="10782" xr3:uid="{631BB3EC-6637-445F-9370-0FE2F3092ED5}" name="Column10780"/>
    <tableColumn id="10783" xr3:uid="{0FDBBD22-EC37-41E7-8B98-238D3064E5E3}" name="Column10781"/>
    <tableColumn id="10784" xr3:uid="{DA6153A9-8B03-42DE-BF7D-24EDCA4671E8}" name="Column10782"/>
    <tableColumn id="10785" xr3:uid="{569DFAEB-9CBA-422A-9DB7-493503381C16}" name="Column10783"/>
    <tableColumn id="10786" xr3:uid="{43295B8C-E98B-4232-BF39-E8CAC7E74E97}" name="Column10784"/>
    <tableColumn id="10787" xr3:uid="{7A9B278B-BEE5-48E2-B807-2332E95C97D1}" name="Column10785"/>
    <tableColumn id="10788" xr3:uid="{5C5929DB-44F5-4C6A-8C35-C985E0A10A9D}" name="Column10786"/>
    <tableColumn id="10789" xr3:uid="{0D01EA83-242E-416A-88FC-AAF0311CD415}" name="Column10787"/>
    <tableColumn id="10790" xr3:uid="{4EC5F56B-B4DD-4D32-8627-C64D76244D68}" name="Column10788"/>
    <tableColumn id="10791" xr3:uid="{31E0EE9A-D769-47E7-AAC7-416CC9D1F18B}" name="Column10789"/>
    <tableColumn id="10792" xr3:uid="{C3469414-C69D-4379-9869-E20DF83FB18F}" name="Column10790"/>
    <tableColumn id="10793" xr3:uid="{A6B0B193-C8F5-4518-BD85-460F66FA892D}" name="Column10791"/>
    <tableColumn id="10794" xr3:uid="{593B8471-31F3-407D-9CA1-5F52C79DE292}" name="Column10792"/>
    <tableColumn id="10795" xr3:uid="{6ABE6830-B5AA-4BB3-B5C5-8C907EE3875E}" name="Column10793"/>
    <tableColumn id="10796" xr3:uid="{0714814A-2794-492C-AFF6-6C48896A15F0}" name="Column10794"/>
    <tableColumn id="10797" xr3:uid="{A9FDCD1F-5A98-4216-A1DB-3C4528793B47}" name="Column10795"/>
    <tableColumn id="10798" xr3:uid="{3202CB97-BA43-44BD-94D9-0132DEA72A1A}" name="Column10796"/>
    <tableColumn id="10799" xr3:uid="{C8C5C0AF-186C-475C-8F81-B89CBC318E41}" name="Column10797"/>
    <tableColumn id="10800" xr3:uid="{1B9EF3A9-CE9F-415F-AAF6-B16D3526993E}" name="Column10798"/>
    <tableColumn id="10801" xr3:uid="{12FAB329-9AEC-4D19-B073-AC3F9F48F83A}" name="Column10799"/>
    <tableColumn id="10802" xr3:uid="{CE001175-A204-456B-804C-B7136702DA45}" name="Column10800"/>
    <tableColumn id="10803" xr3:uid="{F13D2B5B-D4E8-4FDC-B1BB-B52046494E38}" name="Column10801"/>
    <tableColumn id="10804" xr3:uid="{643B3704-4F9A-43E0-B73F-EC7EE995DA8A}" name="Column10802"/>
    <tableColumn id="10805" xr3:uid="{973828F2-973B-4808-B37D-EBFA9CEB16E9}" name="Column10803"/>
    <tableColumn id="10806" xr3:uid="{5C312E1B-79D1-4D5D-AAF1-EB64F174010D}" name="Column10804"/>
    <tableColumn id="10807" xr3:uid="{35D75217-31A4-4E78-8D92-009A076B60BE}" name="Column10805"/>
    <tableColumn id="10808" xr3:uid="{C4209A73-B0DD-4205-833E-EAFF38185849}" name="Column10806"/>
    <tableColumn id="10809" xr3:uid="{A7FD6789-978C-4B29-8F26-3E97DD4B83CB}" name="Column10807"/>
    <tableColumn id="10810" xr3:uid="{F784F298-C2A4-4610-B4E9-7A8E575E762F}" name="Column10808"/>
    <tableColumn id="10811" xr3:uid="{4F9FCE7E-9DD0-4D43-8B3E-FE3B511FAFE6}" name="Column10809"/>
    <tableColumn id="10812" xr3:uid="{8EED975D-F609-4268-B766-D317D2E496F0}" name="Column10810"/>
    <tableColumn id="10813" xr3:uid="{B9F2E054-DDA0-4C2C-8979-4C6BA955A609}" name="Column10811"/>
    <tableColumn id="10814" xr3:uid="{7BBD8238-D87F-49E0-B10A-9F6F976DEF64}" name="Column10812"/>
    <tableColumn id="10815" xr3:uid="{1C26E9CB-B17E-48A2-81B7-D8987BB6B8E9}" name="Column10813"/>
    <tableColumn id="10816" xr3:uid="{4146E0FF-1B82-4835-84C7-D412F0CAE00B}" name="Column10814"/>
    <tableColumn id="10817" xr3:uid="{1944942D-FF74-480F-9CA8-C11AA73850E8}" name="Column10815"/>
    <tableColumn id="10818" xr3:uid="{FD49624A-9875-41C2-BA15-51ACE1A9E03B}" name="Column10816"/>
    <tableColumn id="10819" xr3:uid="{6AB912B7-5DD3-4AD8-A9CC-F27B8022C44F}" name="Column10817"/>
    <tableColumn id="10820" xr3:uid="{00FE9990-EC45-4B70-B051-FA2DD033A6BE}" name="Column10818"/>
    <tableColumn id="10821" xr3:uid="{147C8609-BDD7-4C04-A89B-3F3B8CD1F3B1}" name="Column10819"/>
    <tableColumn id="10822" xr3:uid="{E16071D2-A009-4026-BC72-720A584F56FF}" name="Column10820"/>
    <tableColumn id="10823" xr3:uid="{5586B4E2-E1EC-43ED-84A6-3BE785995352}" name="Column10821"/>
    <tableColumn id="10824" xr3:uid="{AEE98B5E-8E90-4A43-83B9-B39248A77474}" name="Column10822"/>
    <tableColumn id="10825" xr3:uid="{84A4042E-C733-4F38-8423-A49052A58E53}" name="Column10823"/>
    <tableColumn id="10826" xr3:uid="{8F026128-615E-4286-B9C0-D50A3A80A73C}" name="Column10824"/>
    <tableColumn id="10827" xr3:uid="{6D5A2882-86AC-407D-8588-3AC8FE24633D}" name="Column10825"/>
    <tableColumn id="10828" xr3:uid="{5BB07513-6CA8-4B18-AB34-B319CA8584C4}" name="Column10826"/>
    <tableColumn id="10829" xr3:uid="{451CDCBC-855A-4D13-84CE-53C692B07418}" name="Column10827"/>
    <tableColumn id="10830" xr3:uid="{AEAC3C25-4D58-4502-A6A4-0A96AEFF2DBB}" name="Column10828"/>
    <tableColumn id="10831" xr3:uid="{DA368223-BF95-43CB-AB1E-461D6656A87A}" name="Column10829"/>
    <tableColumn id="10832" xr3:uid="{E6B2D2BE-9053-4DC0-BAA2-06F2A1EE1A8D}" name="Column10830"/>
    <tableColumn id="10833" xr3:uid="{D267C3D3-9E8B-434C-A7B7-34617A7EDE79}" name="Column10831"/>
    <tableColumn id="10834" xr3:uid="{4C2D1775-AD5B-4713-9711-17A02239847A}" name="Column10832"/>
    <tableColumn id="10835" xr3:uid="{E34E68C3-D518-4A37-8502-6CBC41586303}" name="Column10833"/>
    <tableColumn id="10836" xr3:uid="{1B8D80CF-727D-4027-9537-F41EDA64C4BF}" name="Column10834"/>
    <tableColumn id="10837" xr3:uid="{A2CF1CB0-31A7-4C47-966F-8A4021448A95}" name="Column10835"/>
    <tableColumn id="10838" xr3:uid="{5EFD9F4D-2F34-4D34-B213-5CAE3823C4A7}" name="Column10836"/>
    <tableColumn id="10839" xr3:uid="{BE6F1DF3-32A5-4822-BA30-DDA701CAC2DE}" name="Column10837"/>
    <tableColumn id="10840" xr3:uid="{5A124D1A-5CEE-47B3-AC54-5B49840B6DC3}" name="Column10838"/>
    <tableColumn id="10841" xr3:uid="{F61FB176-F777-4516-827A-DB3E37BE4F86}" name="Column10839"/>
    <tableColumn id="10842" xr3:uid="{CABAC3A8-BF3E-45FB-9AE7-F80687FE10CA}" name="Column10840"/>
    <tableColumn id="10843" xr3:uid="{4B06F5FE-9214-4A05-978D-FAFED0AF3EB8}" name="Column10841"/>
    <tableColumn id="10844" xr3:uid="{D80B673D-A018-49D2-B321-5E990B3ADE66}" name="Column10842"/>
    <tableColumn id="10845" xr3:uid="{90F51166-2174-41F8-958E-A08940CA2DDA}" name="Column10843"/>
    <tableColumn id="10846" xr3:uid="{DFA71EC0-C039-42BD-97C1-13A6423EA813}" name="Column10844"/>
    <tableColumn id="10847" xr3:uid="{ECEC1349-75E1-4BD7-80A6-895ED8D9A91D}" name="Column10845"/>
    <tableColumn id="10848" xr3:uid="{156DD64B-BF63-4662-A427-0ED2C273ED2F}" name="Column10846"/>
    <tableColumn id="10849" xr3:uid="{6FFD1403-9892-4CB0-95A7-66ECB1632263}" name="Column10847"/>
    <tableColumn id="10850" xr3:uid="{FCBF5608-40EB-4027-BE8B-01D0AB1C7E29}" name="Column10848"/>
    <tableColumn id="10851" xr3:uid="{AE200FAB-4D97-4576-B6A5-CF2AB57932C9}" name="Column10849"/>
    <tableColumn id="10852" xr3:uid="{31EEF3BE-CF37-4D57-B80F-32FDEDEE0179}" name="Column10850"/>
    <tableColumn id="10853" xr3:uid="{9C10A48E-8AD8-4B9A-9E6D-C227001299F1}" name="Column10851"/>
    <tableColumn id="10854" xr3:uid="{1920D886-2579-4A3A-82A9-FA65E3A81701}" name="Column10852"/>
    <tableColumn id="10855" xr3:uid="{6F83DFCA-F6B1-4280-98FB-15884333B532}" name="Column10853"/>
    <tableColumn id="10856" xr3:uid="{CB15C10A-45F9-4283-A982-4C8AC5690FB6}" name="Column10854"/>
    <tableColumn id="10857" xr3:uid="{B62A8BB4-D5EF-49EF-8C9B-B3472A549862}" name="Column10855"/>
    <tableColumn id="10858" xr3:uid="{DA0CB231-4BDF-4581-8152-3C44B81ABABD}" name="Column10856"/>
    <tableColumn id="10859" xr3:uid="{F4D5D5F2-072A-4A05-B077-D9D0FA5EC752}" name="Column10857"/>
    <tableColumn id="10860" xr3:uid="{909B9D67-9DC6-474A-855B-6D8A60093905}" name="Column10858"/>
    <tableColumn id="10861" xr3:uid="{B5E5678E-7BC2-431F-B51E-D905EC79A467}" name="Column10859"/>
    <tableColumn id="10862" xr3:uid="{35578602-F0D1-474D-BB02-05BD2ACEAB0A}" name="Column10860"/>
    <tableColumn id="10863" xr3:uid="{9C397690-983C-47A2-B4FD-DB665EF88328}" name="Column10861"/>
    <tableColumn id="10864" xr3:uid="{719288A5-FB0F-4D22-8975-37CF137E56BE}" name="Column10862"/>
    <tableColumn id="10865" xr3:uid="{8EDC058E-2780-4E0A-BE92-80F758F492BA}" name="Column10863"/>
    <tableColumn id="10866" xr3:uid="{42EE1426-AF46-447F-B552-2EF9B20F8E60}" name="Column10864"/>
    <tableColumn id="10867" xr3:uid="{A1FB4D7A-75A4-4357-A399-1AB4666C6D2B}" name="Column10865"/>
    <tableColumn id="10868" xr3:uid="{34C0E5C8-EE5A-47E3-92DA-B5DDE0AAA929}" name="Column10866"/>
    <tableColumn id="10869" xr3:uid="{2E196763-4A55-401E-AD19-B413FFF203F6}" name="Column10867"/>
    <tableColumn id="10870" xr3:uid="{4819C4ED-E5A1-428D-B512-502ABBCC3008}" name="Column10868"/>
    <tableColumn id="10871" xr3:uid="{4AF45657-9B01-4558-859A-F71EC4B0ECC2}" name="Column10869"/>
    <tableColumn id="10872" xr3:uid="{C31BE2D5-EE68-47B2-95DE-26C2BE090D9E}" name="Column10870"/>
    <tableColumn id="10873" xr3:uid="{347B46DB-B880-40D9-AF22-255B8A4BA1F9}" name="Column10871"/>
    <tableColumn id="10874" xr3:uid="{53324F40-64A5-4571-A02A-03733250293C}" name="Column10872"/>
    <tableColumn id="10875" xr3:uid="{B13DC7D7-F3D5-4757-AB6A-EE8983C15708}" name="Column10873"/>
    <tableColumn id="10876" xr3:uid="{0E6C574F-B3BC-4BBF-AB33-CA2C556C8D3E}" name="Column10874"/>
    <tableColumn id="10877" xr3:uid="{CBEB768E-1FE3-4A20-9D75-7DB8C485710C}" name="Column10875"/>
    <tableColumn id="10878" xr3:uid="{35E9BC0E-F482-4857-B82E-34C8932F074B}" name="Column10876"/>
    <tableColumn id="10879" xr3:uid="{47329F83-F600-4CEA-956C-B9D1B2716C9D}" name="Column10877"/>
    <tableColumn id="10880" xr3:uid="{17C19DF4-5612-49A1-A6AD-7BE8A338B78E}" name="Column10878"/>
    <tableColumn id="10881" xr3:uid="{93D1CE9E-7539-4314-A0C7-5697E6F26647}" name="Column10879"/>
    <tableColumn id="10882" xr3:uid="{402861CA-6709-43B5-8AAF-F9E08AC3A57C}" name="Column10880"/>
    <tableColumn id="10883" xr3:uid="{A66C0975-2C32-469E-AB02-83A1FB4931C8}" name="Column10881"/>
    <tableColumn id="10884" xr3:uid="{165D635A-8646-43CD-BD43-DBC21EBA6303}" name="Column10882"/>
    <tableColumn id="10885" xr3:uid="{8B5E6E65-814C-406A-84BF-A25C18293D43}" name="Column10883"/>
    <tableColumn id="10886" xr3:uid="{9D6AF9A9-0041-4174-B047-4E1B73CC3087}" name="Column10884"/>
    <tableColumn id="10887" xr3:uid="{5E6AA645-6707-4223-9B34-87D77C405C7E}" name="Column10885"/>
    <tableColumn id="10888" xr3:uid="{096FE8C7-6579-4ED6-8999-575C1F58CCB9}" name="Column10886"/>
    <tableColumn id="10889" xr3:uid="{1854FF06-54A7-4E4F-8DF1-224200A3EDFB}" name="Column10887"/>
    <tableColumn id="10890" xr3:uid="{2C13BFBF-EFFC-4009-85DF-392100C92DF2}" name="Column10888"/>
    <tableColumn id="10891" xr3:uid="{478140A2-A8EA-4D1D-AC08-948DB3A07AC1}" name="Column10889"/>
    <tableColumn id="10892" xr3:uid="{2A9F81A7-F3AC-4107-B8C7-B64C9CEE6B7E}" name="Column10890"/>
    <tableColumn id="10893" xr3:uid="{DFA39FB0-65F5-4118-A5A1-3813C25B360E}" name="Column10891"/>
    <tableColumn id="10894" xr3:uid="{BCB52939-069E-4EAA-B98D-D9F2D0761B94}" name="Column10892"/>
    <tableColumn id="10895" xr3:uid="{5EC56A33-131F-40DD-BE7C-6F2B0442B193}" name="Column10893"/>
    <tableColumn id="10896" xr3:uid="{499457A5-0546-4405-89F3-304312B017B0}" name="Column10894"/>
    <tableColumn id="10897" xr3:uid="{5533BAF5-6A9A-45BC-B89A-AFF9B1AEC31E}" name="Column10895"/>
    <tableColumn id="10898" xr3:uid="{3BDA035B-55D5-40AE-B254-3749C17BDB59}" name="Column10896"/>
    <tableColumn id="10899" xr3:uid="{B749BED5-3DAF-4CE1-9BFB-50E33C9DBE8E}" name="Column10897"/>
    <tableColumn id="10900" xr3:uid="{AD2084EE-8A55-42E2-8C13-6687AA13489A}" name="Column10898"/>
    <tableColumn id="10901" xr3:uid="{D99B751C-2150-4CF3-9DE6-C9BD411F81F6}" name="Column10899"/>
    <tableColumn id="10902" xr3:uid="{CE2C15AC-B9D9-42D3-92AF-52A1FE33B9F2}" name="Column10900"/>
    <tableColumn id="10903" xr3:uid="{D2534344-59AE-4BD0-8BD5-5B61E2181BA6}" name="Column10901"/>
    <tableColumn id="10904" xr3:uid="{50A3DFA7-7315-427B-8210-AF07D697608A}" name="Column10902"/>
    <tableColumn id="10905" xr3:uid="{7CEC8C36-E48E-48C4-9B22-D607B1B61F62}" name="Column10903"/>
    <tableColumn id="10906" xr3:uid="{E1CFD289-84CB-41A2-9B49-B1379A14E58D}" name="Column10904"/>
    <tableColumn id="10907" xr3:uid="{25F6DDD1-67AF-4C78-8884-612A7E532F28}" name="Column10905"/>
    <tableColumn id="10908" xr3:uid="{3DD839DF-2BBA-4EC8-9914-571B90B1E6E2}" name="Column10906"/>
    <tableColumn id="10909" xr3:uid="{D46BD826-234B-457E-87C3-C07E155B5F3C}" name="Column10907"/>
    <tableColumn id="10910" xr3:uid="{5857FC12-1B42-468C-AD41-AED7D15BA3CA}" name="Column10908"/>
    <tableColumn id="10911" xr3:uid="{061F751C-8482-4012-BFF2-00E8CF815F5B}" name="Column10909"/>
    <tableColumn id="10912" xr3:uid="{94948BCA-CA30-4DA8-B34C-5F035E937D1B}" name="Column10910"/>
    <tableColumn id="10913" xr3:uid="{C58A7CBB-4A1F-4318-ABA3-76CB71C0339B}" name="Column10911"/>
    <tableColumn id="10914" xr3:uid="{4A9EEAFB-BDCF-461F-8035-2DF44784B49F}" name="Column10912"/>
    <tableColumn id="10915" xr3:uid="{1A69F188-03CD-4898-9E40-067CC0564E50}" name="Column10913"/>
    <tableColumn id="10916" xr3:uid="{8AFB51AF-6091-49A1-BD00-352B0E669131}" name="Column10914"/>
    <tableColumn id="10917" xr3:uid="{5C38F9D4-DC9F-49F1-9F8A-86D53CA58D0A}" name="Column10915"/>
    <tableColumn id="10918" xr3:uid="{818CDF01-E41E-4C8F-89E4-7C089056AC93}" name="Column10916"/>
    <tableColumn id="10919" xr3:uid="{5F1B9CCD-16A6-46D0-B275-AEACE65F6612}" name="Column10917"/>
    <tableColumn id="10920" xr3:uid="{29BF3282-C0C6-489C-892E-78A99834C96B}" name="Column10918"/>
    <tableColumn id="10921" xr3:uid="{FA28A033-2CAE-4C16-A277-78D51D3BF815}" name="Column10919"/>
    <tableColumn id="10922" xr3:uid="{1AD1DBEA-C94C-4B5B-BD5D-0EFB521192A8}" name="Column10920"/>
    <tableColumn id="10923" xr3:uid="{9A6B0B9A-1989-4B58-9A52-AFA75659C559}" name="Column10921"/>
    <tableColumn id="10924" xr3:uid="{42A33F31-054F-4CB4-80B6-2CB51461398C}" name="Column10922"/>
    <tableColumn id="10925" xr3:uid="{E12BB4AA-8851-452B-81A8-8A3D1908A894}" name="Column10923"/>
    <tableColumn id="10926" xr3:uid="{51E30143-9ED9-4CDD-BA7B-B7DB7CD4C8D4}" name="Column10924"/>
    <tableColumn id="10927" xr3:uid="{75F03AB1-1660-4104-9DE7-4BE4E4CCE908}" name="Column10925"/>
    <tableColumn id="10928" xr3:uid="{320F57D8-D7F4-487D-948B-89E47A585F33}" name="Column10926"/>
    <tableColumn id="10929" xr3:uid="{4D33EF47-5800-4BFF-ACCC-3A5A031C9F7F}" name="Column10927"/>
    <tableColumn id="10930" xr3:uid="{657612B3-D561-4B2A-8392-0AC2AAEFFC8F}" name="Column10928"/>
    <tableColumn id="10931" xr3:uid="{C1EBBD8E-F01E-4511-BEE1-59959708A474}" name="Column10929"/>
    <tableColumn id="10932" xr3:uid="{BC68C295-ED22-46F4-AB3F-9D353657353F}" name="Column10930"/>
    <tableColumn id="10933" xr3:uid="{EC1FD863-9C83-412F-9C58-78041F92E76A}" name="Column10931"/>
    <tableColumn id="10934" xr3:uid="{F194CDFE-2D7A-4919-8494-9C51FB14AE46}" name="Column10932"/>
    <tableColumn id="10935" xr3:uid="{7D2E0EF4-872B-4ADD-9170-F40CB9D11ECC}" name="Column10933"/>
    <tableColumn id="10936" xr3:uid="{647E2336-FE5E-4D0C-B6ED-C41F5F605E2B}" name="Column10934"/>
    <tableColumn id="10937" xr3:uid="{34B79B1A-38D7-4160-AF5F-927DE2CD9E27}" name="Column10935"/>
    <tableColumn id="10938" xr3:uid="{A70C5CCE-72C6-4E5D-BDCB-42FA6B94C0A2}" name="Column10936"/>
    <tableColumn id="10939" xr3:uid="{F68A9292-9CD1-4B91-AAAF-B02BB276F045}" name="Column10937"/>
    <tableColumn id="10940" xr3:uid="{53FE4A49-F411-4C01-9BE9-6A8BE9C8B842}" name="Column10938"/>
    <tableColumn id="10941" xr3:uid="{F36082F1-DA84-41FF-A8C1-AC4CCD9F65B3}" name="Column10939"/>
    <tableColumn id="10942" xr3:uid="{10B9B997-9454-4E9C-82F1-9463B5346FAB}" name="Column10940"/>
    <tableColumn id="10943" xr3:uid="{039E8056-625B-4B6B-8A13-1E21D8ADE83D}" name="Column10941"/>
    <tableColumn id="10944" xr3:uid="{4375FF96-C309-4E76-A725-7AEC48F503F6}" name="Column10942"/>
    <tableColumn id="10945" xr3:uid="{3634B38E-9C1D-46C4-92EC-6AD833A21720}" name="Column10943"/>
    <tableColumn id="10946" xr3:uid="{D37BD6DA-1AD7-47FD-B526-A45B4E5A091F}" name="Column10944"/>
    <tableColumn id="10947" xr3:uid="{57977477-7739-4BEA-9C1F-44E192751484}" name="Column10945"/>
    <tableColumn id="10948" xr3:uid="{7B611AC6-A02B-42B8-B802-18EDE6E03D1B}" name="Column10946"/>
    <tableColumn id="10949" xr3:uid="{CF6C8F59-53A1-438D-AD12-D25EA481FD00}" name="Column10947"/>
    <tableColumn id="10950" xr3:uid="{868E312C-4E3D-4B93-848A-E255D4750364}" name="Column10948"/>
    <tableColumn id="10951" xr3:uid="{626B98EC-EDE4-4E23-A501-80F195C9E306}" name="Column10949"/>
    <tableColumn id="10952" xr3:uid="{588417FF-0A8E-4693-BBBA-1E0A432D5285}" name="Column10950"/>
    <tableColumn id="10953" xr3:uid="{ECA0BAF1-87DF-4EE4-8B6B-EFEEFC8030C4}" name="Column10951"/>
    <tableColumn id="10954" xr3:uid="{1D1E7A0D-C9DA-448D-A6CA-11EAE2C10CBA}" name="Column10952"/>
    <tableColumn id="10955" xr3:uid="{C5FCCA43-30A3-4C57-97C2-FC5A64F4E25C}" name="Column10953"/>
    <tableColumn id="10956" xr3:uid="{6D81DC33-BD98-425E-8A7D-9FA1365FE2A6}" name="Column10954"/>
    <tableColumn id="10957" xr3:uid="{BF43C246-90F7-4F2C-B508-A87B9C112EDC}" name="Column10955"/>
    <tableColumn id="10958" xr3:uid="{7D5B4256-5BDE-485A-AA11-E0A80A3E25FE}" name="Column10956"/>
    <tableColumn id="10959" xr3:uid="{BD491336-77E4-4B05-8B5F-3FB6B6E32387}" name="Column10957"/>
    <tableColumn id="10960" xr3:uid="{F11D3DAE-D27D-4332-94A1-8A62C97FC6F4}" name="Column10958"/>
    <tableColumn id="10961" xr3:uid="{492CB01A-2336-4D04-B37A-C796DE6F6B99}" name="Column10959"/>
    <tableColumn id="10962" xr3:uid="{D7EFF4F1-1846-4752-8109-8C186FB8D40B}" name="Column10960"/>
    <tableColumn id="10963" xr3:uid="{F9C5DA3F-2F92-41A2-AA56-4469D2F5D592}" name="Column10961"/>
    <tableColumn id="10964" xr3:uid="{032B8C4E-B370-4C29-B0A3-58A0C9EE6C98}" name="Column10962"/>
    <tableColumn id="10965" xr3:uid="{28F68B49-8A8B-45A9-A6E6-E146B9633774}" name="Column10963"/>
    <tableColumn id="10966" xr3:uid="{E4FEB049-BE64-452B-8C56-CF6A01A5D68A}" name="Column10964"/>
    <tableColumn id="10967" xr3:uid="{A6447E87-8807-4CDF-89FF-CA3261112EDA}" name="Column10965"/>
    <tableColumn id="10968" xr3:uid="{1E73852B-5AC6-47EF-BCD0-096C9791C795}" name="Column10966"/>
    <tableColumn id="10969" xr3:uid="{C1C501DA-D3F8-4635-B411-ABC266354C5D}" name="Column10967"/>
    <tableColumn id="10970" xr3:uid="{DFA10B45-2D77-4C2B-8310-EBE908514E64}" name="Column10968"/>
    <tableColumn id="10971" xr3:uid="{344DA622-030B-4950-B657-0A5A07B25E65}" name="Column10969"/>
    <tableColumn id="10972" xr3:uid="{2C92287C-588E-410A-830B-61DD35221A7A}" name="Column10970"/>
    <tableColumn id="10973" xr3:uid="{66FBF819-FFAA-4746-9FE4-2E58551798FF}" name="Column10971"/>
    <tableColumn id="10974" xr3:uid="{5A5E3DA0-B0EA-4248-B518-AB3AF2CF384E}" name="Column10972"/>
    <tableColumn id="10975" xr3:uid="{D1B63D9F-8B7C-49D2-8FE9-80918C682158}" name="Column10973"/>
    <tableColumn id="10976" xr3:uid="{462E7A16-7921-4250-AEC8-26822DE10532}" name="Column10974"/>
    <tableColumn id="10977" xr3:uid="{AD08716F-790E-4F39-BD31-70C4FA75FBBE}" name="Column10975"/>
    <tableColumn id="10978" xr3:uid="{7563C907-B38A-4BB8-BE7B-297F31AADEF5}" name="Column10976"/>
    <tableColumn id="10979" xr3:uid="{8EFC848F-7CEC-4E03-AECC-6456FC53153B}" name="Column10977"/>
    <tableColumn id="10980" xr3:uid="{0E886F43-96A5-47A8-B13E-7DE783D0D990}" name="Column10978"/>
    <tableColumn id="10981" xr3:uid="{36D4AA2F-5689-4DF2-AA7A-BC5D8CADE93D}" name="Column10979"/>
    <tableColumn id="10982" xr3:uid="{3AB550A4-CE75-498C-AC6F-882C0739CFF3}" name="Column10980"/>
    <tableColumn id="10983" xr3:uid="{75F43079-18F8-47DB-AAFB-5DBBE87D697A}" name="Column10981"/>
    <tableColumn id="10984" xr3:uid="{A86F7E80-46D8-4AD5-B82C-F76B85AD9E8B}" name="Column10982"/>
    <tableColumn id="10985" xr3:uid="{A9953272-9328-4CB5-B829-ED4594968A9B}" name="Column10983"/>
    <tableColumn id="10986" xr3:uid="{99412EF9-3C89-419D-8F40-0CB01F66588A}" name="Column10984"/>
    <tableColumn id="10987" xr3:uid="{E43AFF2D-A729-411D-9B88-2F39E376E3C9}" name="Column10985"/>
    <tableColumn id="10988" xr3:uid="{ECE6DE7D-B478-4B73-A3E6-C01EBA83B2FF}" name="Column10986"/>
    <tableColumn id="10989" xr3:uid="{E232F4DF-3434-41B1-8AAE-5E04CB78BA17}" name="Column10987"/>
    <tableColumn id="10990" xr3:uid="{93B354ED-E2E1-4DCE-AA12-2E34755B52E4}" name="Column10988"/>
    <tableColumn id="10991" xr3:uid="{95170C22-504C-42F2-910C-B9E87D2D9C4A}" name="Column10989"/>
    <tableColumn id="10992" xr3:uid="{28107A4E-902C-4C2A-BB8F-AE0C632E0889}" name="Column10990"/>
    <tableColumn id="10993" xr3:uid="{29F365FE-C125-4366-AC0F-9FF37D6EF46C}" name="Column10991"/>
    <tableColumn id="10994" xr3:uid="{9161A46F-C4E9-4690-B785-F7350EE7A14A}" name="Column10992"/>
    <tableColumn id="10995" xr3:uid="{C5320A11-3879-4EB0-B2C4-9E63BCD2349A}" name="Column10993"/>
    <tableColumn id="10996" xr3:uid="{263D36FB-5153-4E35-9C23-552571CD5549}" name="Column10994"/>
    <tableColumn id="10997" xr3:uid="{41C255C5-78E1-4500-AF1B-A917531C8B2F}" name="Column10995"/>
    <tableColumn id="10998" xr3:uid="{586398AC-1BF6-42D9-8950-9A3481E4214A}" name="Column10996"/>
    <tableColumn id="10999" xr3:uid="{16CED5E9-930E-4344-AEA8-43CF268B5CAF}" name="Column10997"/>
    <tableColumn id="11000" xr3:uid="{17AEF0BE-C8BF-43B1-882A-52AD001670D3}" name="Column10998"/>
    <tableColumn id="11001" xr3:uid="{7760574D-4414-444C-9B17-E5B7557214A8}" name="Column10999"/>
    <tableColumn id="11002" xr3:uid="{8EE288BC-2496-4737-8A9A-CD45A419E0AA}" name="Column11000"/>
    <tableColumn id="11003" xr3:uid="{39376E89-9388-47AA-B102-58D0FC2630C2}" name="Column11001"/>
    <tableColumn id="11004" xr3:uid="{A49BE5B9-B94D-4AE6-8CF4-B6992A564612}" name="Column11002"/>
    <tableColumn id="11005" xr3:uid="{EE19B7F1-4A35-46CD-A1A8-7B2E91183D2C}" name="Column11003"/>
    <tableColumn id="11006" xr3:uid="{FE8AFB2C-D033-4B5B-823E-1B8606C75BE8}" name="Column11004"/>
    <tableColumn id="11007" xr3:uid="{657AA22A-EC4B-4F70-BE36-B42916D4B255}" name="Column11005"/>
    <tableColumn id="11008" xr3:uid="{B925FD9E-64E6-43EA-8C1C-6C23AD75B648}" name="Column11006"/>
    <tableColumn id="11009" xr3:uid="{35663764-AE41-4967-ACBD-1876B13D97D3}" name="Column11007"/>
    <tableColumn id="11010" xr3:uid="{D227FDB3-7217-4218-8E0A-868C0A6075A0}" name="Column11008"/>
    <tableColumn id="11011" xr3:uid="{1DBBE9D2-A0FA-4E71-84FD-057E977BBE84}" name="Column11009"/>
    <tableColumn id="11012" xr3:uid="{A9E39FF5-E808-4A49-ABE0-A84E9FF99C15}" name="Column11010"/>
    <tableColumn id="11013" xr3:uid="{897F540B-B5D3-4C3C-BC5E-BC2619550BA8}" name="Column11011"/>
    <tableColumn id="11014" xr3:uid="{8D54C815-9174-45AE-9C19-8DAC21321637}" name="Column11012"/>
    <tableColumn id="11015" xr3:uid="{A5CA1785-677C-4970-80D4-489B57C40CA5}" name="Column11013"/>
    <tableColumn id="11016" xr3:uid="{DD11FC70-86B2-4641-9DE6-477A6BEDABF4}" name="Column11014"/>
    <tableColumn id="11017" xr3:uid="{15AA97B2-6734-4437-8E27-8019DC1A9A15}" name="Column11015"/>
    <tableColumn id="11018" xr3:uid="{4CEB5BEA-0CC7-4F1A-B0C3-0B39040401D9}" name="Column11016"/>
    <tableColumn id="11019" xr3:uid="{77CB1B3D-FE56-4BC0-8DAC-B5D2C3DC46DF}" name="Column11017"/>
    <tableColumn id="11020" xr3:uid="{2FEC0CFA-5E04-458E-861D-7693CACE74E6}" name="Column11018"/>
    <tableColumn id="11021" xr3:uid="{9D9F5BCF-E567-4AB6-8E6E-F2A1C5786164}" name="Column11019"/>
    <tableColumn id="11022" xr3:uid="{490F3366-D66C-4489-AE88-269CCD78358A}" name="Column11020"/>
    <tableColumn id="11023" xr3:uid="{E6F9FFEB-3270-49A9-AE19-3BE8973E5598}" name="Column11021"/>
    <tableColumn id="11024" xr3:uid="{8B586935-1B0C-45FB-8D70-EE2329B62EB5}" name="Column11022"/>
    <tableColumn id="11025" xr3:uid="{53C4BC12-977F-411D-8112-DD9436194F7C}" name="Column11023"/>
    <tableColumn id="11026" xr3:uid="{B66C7A66-ED00-4FF1-B04B-752E8FD21277}" name="Column11024"/>
    <tableColumn id="11027" xr3:uid="{65316543-6EE3-4DD8-A897-D53C9D1D35A2}" name="Column11025"/>
    <tableColumn id="11028" xr3:uid="{407413B2-188B-45E9-87A1-B7E786A75DC2}" name="Column11026"/>
    <tableColumn id="11029" xr3:uid="{3B0C84D2-EBFC-4F60-95CF-0441BC6F568F}" name="Column11027"/>
    <tableColumn id="11030" xr3:uid="{ADC0B562-CCD7-4C33-80FF-2C16BA2AE93E}" name="Column11028"/>
    <tableColumn id="11031" xr3:uid="{DFBC92BA-449C-4856-A4BD-39824037C68D}" name="Column11029"/>
    <tableColumn id="11032" xr3:uid="{C1422DA8-0FAE-4F7A-8323-31EBE5E75484}" name="Column11030"/>
    <tableColumn id="11033" xr3:uid="{94A13413-D713-4386-AA49-82B547E3AE0B}" name="Column11031"/>
    <tableColumn id="11034" xr3:uid="{D7DDE353-010D-4B77-8F90-A3B52D930DE5}" name="Column11032"/>
    <tableColumn id="11035" xr3:uid="{62CE0AA1-E59D-4FB7-A486-59C452E9D3F8}" name="Column11033"/>
    <tableColumn id="11036" xr3:uid="{A3E4ABC2-3310-45A8-BD93-6F64A4147EC7}" name="Column11034"/>
    <tableColumn id="11037" xr3:uid="{61AF9FB8-957E-48ED-B872-1A301D2F20D8}" name="Column11035"/>
    <tableColumn id="11038" xr3:uid="{B977429D-B24D-4807-A4D7-97C0FF7D515B}" name="Column11036"/>
    <tableColumn id="11039" xr3:uid="{775E45FC-022C-4594-8CF6-6A9630BD1F2B}" name="Column11037"/>
    <tableColumn id="11040" xr3:uid="{86D39314-1E21-470C-B47D-D81CED74A599}" name="Column11038"/>
    <tableColumn id="11041" xr3:uid="{8892A0BE-4342-4A51-AF41-F891FE66CFC6}" name="Column11039"/>
    <tableColumn id="11042" xr3:uid="{AEDD65AD-1286-4911-97BC-BDA568A5C547}" name="Column11040"/>
    <tableColumn id="11043" xr3:uid="{88C74DA3-03EF-4ADE-A18A-58BC7072217B}" name="Column11041"/>
    <tableColumn id="11044" xr3:uid="{50FF32BA-D8F7-427F-A39C-15ED05B872BC}" name="Column11042"/>
    <tableColumn id="11045" xr3:uid="{D3AB7CFC-5C99-40A7-8A2B-A5005B7FDA45}" name="Column11043"/>
    <tableColumn id="11046" xr3:uid="{11A9F873-E9CE-4917-855C-E39CE1498287}" name="Column11044"/>
    <tableColumn id="11047" xr3:uid="{32CEA572-716A-42BE-AF26-8B8242491A1B}" name="Column11045"/>
    <tableColumn id="11048" xr3:uid="{AA7A525C-0476-4EC3-BD29-08E79DEF6F0A}" name="Column11046"/>
    <tableColumn id="11049" xr3:uid="{449A4579-2723-4E40-B044-CA57776B531C}" name="Column11047"/>
    <tableColumn id="11050" xr3:uid="{EB8B2051-7C36-40E3-A094-C0CF314DED68}" name="Column11048"/>
    <tableColumn id="11051" xr3:uid="{D9EABD0A-84D9-4305-ABBF-BD304A02C420}" name="Column11049"/>
    <tableColumn id="11052" xr3:uid="{2C53326B-A18A-4C21-BB8E-2CA111998143}" name="Column11050"/>
    <tableColumn id="11053" xr3:uid="{35BA3DA8-3251-4EF7-8009-BE6FDC2A8FD1}" name="Column11051"/>
    <tableColumn id="11054" xr3:uid="{208E1D89-F897-4497-889F-4C34D1C86857}" name="Column11052"/>
    <tableColumn id="11055" xr3:uid="{D829905B-E763-421C-AF79-B236EC358AD3}" name="Column11053"/>
    <tableColumn id="11056" xr3:uid="{EA89B11D-5261-4DC2-9432-EC0A36BF3290}" name="Column11054"/>
    <tableColumn id="11057" xr3:uid="{F500099D-1028-4BD4-A05C-F4ABF24F3E3C}" name="Column11055"/>
    <tableColumn id="11058" xr3:uid="{34EA94AF-F9F9-4EE7-B7DB-85311773E48D}" name="Column11056"/>
    <tableColumn id="11059" xr3:uid="{EBE585B5-FD30-4171-9A10-EE2A43691C13}" name="Column11057"/>
    <tableColumn id="11060" xr3:uid="{CA53525D-74F7-486E-9312-6E27533A134B}" name="Column11058"/>
    <tableColumn id="11061" xr3:uid="{E738421D-B7E0-4D75-BC84-326A71BB5D39}" name="Column11059"/>
    <tableColumn id="11062" xr3:uid="{C42508B5-9045-4B7F-B5A4-15875D09CCAC}" name="Column11060"/>
    <tableColumn id="11063" xr3:uid="{AF1CDFCA-C818-49EF-8DE2-08A79746C00F}" name="Column11061"/>
    <tableColumn id="11064" xr3:uid="{7566DB28-C357-4686-BF5F-F9B5E903B32E}" name="Column11062"/>
    <tableColumn id="11065" xr3:uid="{560D97B4-33A3-4020-B69B-84BF8CACE7D8}" name="Column11063"/>
    <tableColumn id="11066" xr3:uid="{6C6F8B81-DADF-40B7-A041-BB5F764DB747}" name="Column11064"/>
    <tableColumn id="11067" xr3:uid="{CD191F55-AC32-4EE4-9B2D-489A7E8C6CF4}" name="Column11065"/>
    <tableColumn id="11068" xr3:uid="{6152A3E0-FAD6-4DBB-9C88-A3857D761595}" name="Column11066"/>
    <tableColumn id="11069" xr3:uid="{DCAB6A17-9B2B-4915-9141-B0EDC5304EE4}" name="Column11067"/>
    <tableColumn id="11070" xr3:uid="{704B4907-F1E2-4A7A-9E77-5E82B8DA2F0B}" name="Column11068"/>
    <tableColumn id="11071" xr3:uid="{26CB8F49-510B-4CF8-98BA-AB236742A8A2}" name="Column11069"/>
    <tableColumn id="11072" xr3:uid="{AE74488D-0471-416B-94C5-1923E8D604AA}" name="Column11070"/>
    <tableColumn id="11073" xr3:uid="{C689EA80-C153-47E9-BA3A-064310673FB8}" name="Column11071"/>
    <tableColumn id="11074" xr3:uid="{659D626B-55F8-4A7E-9B4B-418659529B63}" name="Column11072"/>
    <tableColumn id="11075" xr3:uid="{C50B2521-B3EC-4EAD-A36D-8FD6BDF2F103}" name="Column11073"/>
    <tableColumn id="11076" xr3:uid="{0463B2A8-A842-49A6-A5C5-887BAFD58FF8}" name="Column11074"/>
    <tableColumn id="11077" xr3:uid="{D8184E04-7344-4281-BB58-B1C38DCE0AD6}" name="Column11075"/>
    <tableColumn id="11078" xr3:uid="{212B2EEA-E8EC-45EC-9BB6-EB44C40C17DA}" name="Column11076"/>
    <tableColumn id="11079" xr3:uid="{FE5C7F93-E8D3-4246-B7FC-559A415E193B}" name="Column11077"/>
    <tableColumn id="11080" xr3:uid="{C4881BB0-5EB5-4F94-A3BD-B4DF85253FDB}" name="Column11078"/>
    <tableColumn id="11081" xr3:uid="{3BD6134A-F7AE-4550-B273-E8AC8C806DE3}" name="Column11079"/>
    <tableColumn id="11082" xr3:uid="{F4B3E883-8CFD-44F8-B6E8-CA3EC51E4AAB}" name="Column11080"/>
    <tableColumn id="11083" xr3:uid="{4095D5FC-ED60-43F5-BBC4-1056E422D529}" name="Column11081"/>
    <tableColumn id="11084" xr3:uid="{D3FDB12D-A5C5-40B6-934F-2FEF2E8B7306}" name="Column11082"/>
    <tableColumn id="11085" xr3:uid="{AE087A3F-EF8B-4701-A174-F09EEAB937E9}" name="Column11083"/>
    <tableColumn id="11086" xr3:uid="{9F615346-BCE5-4251-9A74-943BDA8E1DBA}" name="Column11084"/>
    <tableColumn id="11087" xr3:uid="{93BAE7C7-E7CA-4246-8190-3BDEB8D62571}" name="Column11085"/>
    <tableColumn id="11088" xr3:uid="{2D233A41-243A-4554-A0D5-D0AB028552E4}" name="Column11086"/>
    <tableColumn id="11089" xr3:uid="{86DECD5C-32F1-4458-9B51-427F80390D86}" name="Column11087"/>
    <tableColumn id="11090" xr3:uid="{B23E68B2-4CF8-450A-A989-DCB96FC66501}" name="Column11088"/>
    <tableColumn id="11091" xr3:uid="{E440A02E-799B-41DE-A09E-27102968D47B}" name="Column11089"/>
    <tableColumn id="11092" xr3:uid="{5B76928F-FC57-4FF6-84EF-08BA8E2188E4}" name="Column11090"/>
    <tableColumn id="11093" xr3:uid="{5EA14CDD-EF36-44F4-A80E-2ECE3E114B94}" name="Column11091"/>
    <tableColumn id="11094" xr3:uid="{5883EAE9-6A80-43C9-8F56-F5A84015D5F0}" name="Column11092"/>
    <tableColumn id="11095" xr3:uid="{A872327C-E847-49C1-BFDD-AD1665967ED6}" name="Column11093"/>
    <tableColumn id="11096" xr3:uid="{56AD2598-9F0E-410D-84B5-62073034E586}" name="Column11094"/>
    <tableColumn id="11097" xr3:uid="{9AC5443C-94ED-4F1A-8445-5E5E5D0C5A4B}" name="Column11095"/>
    <tableColumn id="11098" xr3:uid="{AEFAD68F-153B-4015-96B4-11537C2B2799}" name="Column11096"/>
    <tableColumn id="11099" xr3:uid="{4D4806D2-3FE4-4AF7-8A10-56BE5C72CD77}" name="Column11097"/>
    <tableColumn id="11100" xr3:uid="{E94E9C80-711C-4B73-A606-F8F1DD796EC0}" name="Column11098"/>
    <tableColumn id="11101" xr3:uid="{AEC844F4-5C64-4B12-AA51-1FB02C549527}" name="Column11099"/>
    <tableColumn id="11102" xr3:uid="{C53868C9-9A49-48DC-8195-43B9DA6B0FC1}" name="Column11100"/>
    <tableColumn id="11103" xr3:uid="{F7ED9807-F770-4EF4-89BC-E52F3ED4F1F5}" name="Column11101"/>
    <tableColumn id="11104" xr3:uid="{10F2A361-2D49-4435-A67C-6022D05A741B}" name="Column11102"/>
    <tableColumn id="11105" xr3:uid="{FF54BACA-AC71-42E5-A12D-76DF51C0FE36}" name="Column11103"/>
    <tableColumn id="11106" xr3:uid="{7FCA4934-8FC6-4CCE-9112-596ED1A6B8A5}" name="Column11104"/>
    <tableColumn id="11107" xr3:uid="{17C7DFE3-D2B3-4480-A008-D30EC029ECC8}" name="Column11105"/>
    <tableColumn id="11108" xr3:uid="{E4B98BCD-A88D-4C75-9AB7-676EFF4E6BE3}" name="Column11106"/>
    <tableColumn id="11109" xr3:uid="{841B9644-5248-40EF-A2DD-5B1299F5C233}" name="Column11107"/>
    <tableColumn id="11110" xr3:uid="{E349EBB8-D4F8-4E14-8531-968A61087349}" name="Column11108"/>
    <tableColumn id="11111" xr3:uid="{73FE3F43-6B1D-4B66-91D1-9D86D115AD63}" name="Column11109"/>
    <tableColumn id="11112" xr3:uid="{61347BB6-B5BE-42D5-8136-5764A1E864D1}" name="Column11110"/>
    <tableColumn id="11113" xr3:uid="{7BD2FCD2-90F3-4DB2-8B49-484363590AFC}" name="Column11111"/>
    <tableColumn id="11114" xr3:uid="{9B87030C-4C82-44A5-BAC7-39A0F2CAC0A5}" name="Column11112"/>
    <tableColumn id="11115" xr3:uid="{C4C68469-5BC0-40F2-8B1D-F6FCE6FB64A2}" name="Column11113"/>
    <tableColumn id="11116" xr3:uid="{E6A0DA13-EAF3-4B22-8CBD-5F7A7B247F21}" name="Column11114"/>
    <tableColumn id="11117" xr3:uid="{E266BB8D-E094-4DCB-85EB-356B518C64E6}" name="Column11115"/>
    <tableColumn id="11118" xr3:uid="{3B0F870C-75B9-42D7-8A0A-A943215A12F3}" name="Column11116"/>
    <tableColumn id="11119" xr3:uid="{D09B3273-7ED1-4992-8D34-1F78FAC69C34}" name="Column11117"/>
    <tableColumn id="11120" xr3:uid="{2DDF6C20-679C-41B8-B83E-6BAA32F58B99}" name="Column11118"/>
    <tableColumn id="11121" xr3:uid="{C61F4E53-C556-43C9-9536-B4318CB3918A}" name="Column11119"/>
    <tableColumn id="11122" xr3:uid="{85E886F7-16C0-4BE1-9D41-80B968E74ABF}" name="Column11120"/>
    <tableColumn id="11123" xr3:uid="{FEB2F6D1-C83C-4355-95B5-D742D36E28A8}" name="Column11121"/>
    <tableColumn id="11124" xr3:uid="{A99A2C70-E23B-4D59-990E-70EB3F70F062}" name="Column11122"/>
    <tableColumn id="11125" xr3:uid="{67EA4D5E-46D5-460D-B461-6BF0B71EDF66}" name="Column11123"/>
    <tableColumn id="11126" xr3:uid="{3F533A3B-CC45-4329-B2EE-0C591162399F}" name="Column11124"/>
    <tableColumn id="11127" xr3:uid="{5E5DECC6-C95F-4D52-9AA0-65543E8F507D}" name="Column11125"/>
    <tableColumn id="11128" xr3:uid="{58A49AEE-8864-4CA6-87D6-A36D5225A820}" name="Column11126"/>
    <tableColumn id="11129" xr3:uid="{C747D98C-82CF-4068-A7D3-5C3D750FACDA}" name="Column11127"/>
    <tableColumn id="11130" xr3:uid="{193A76FE-A62F-44DA-9269-3881CDF2676E}" name="Column11128"/>
    <tableColumn id="11131" xr3:uid="{13E5DEE7-FCF2-426F-B00C-DC6227B024CC}" name="Column11129"/>
    <tableColumn id="11132" xr3:uid="{BE53194A-6CAE-4585-8190-2AB19189D75C}" name="Column11130"/>
    <tableColumn id="11133" xr3:uid="{FC3C1AA8-C52C-41FC-8588-59E5C2286038}" name="Column11131"/>
    <tableColumn id="11134" xr3:uid="{DB2697FC-32CD-434F-87D1-9848A1A64896}" name="Column11132"/>
    <tableColumn id="11135" xr3:uid="{9CA4EEC7-1F63-422B-8F21-7F5D23A088C0}" name="Column11133"/>
    <tableColumn id="11136" xr3:uid="{15A9F699-1AD5-4727-A499-6A86AC44E96C}" name="Column11134"/>
    <tableColumn id="11137" xr3:uid="{214E0A3E-976E-4B92-9CB4-6C6F9D2979F1}" name="Column11135"/>
    <tableColumn id="11138" xr3:uid="{7700DFE3-F818-449A-BD2B-ED1D79CFA9AD}" name="Column11136"/>
    <tableColumn id="11139" xr3:uid="{0C860FD7-4F74-44F7-85D1-016C074984E6}" name="Column11137"/>
    <tableColumn id="11140" xr3:uid="{87ABB1EB-A436-457B-B2B2-47814B6AF0A6}" name="Column11138"/>
    <tableColumn id="11141" xr3:uid="{6E36C114-9AEA-4964-887D-E41DF012DD2C}" name="Column11139"/>
    <tableColumn id="11142" xr3:uid="{D78E86AE-D4BB-480B-A41C-26963E505045}" name="Column11140"/>
    <tableColumn id="11143" xr3:uid="{3481313E-A8A9-4F0B-851C-EB7174110382}" name="Column11141"/>
    <tableColumn id="11144" xr3:uid="{17F5F20B-8B92-4D9F-9440-39C2C214333C}" name="Column11142"/>
    <tableColumn id="11145" xr3:uid="{74D5E378-F685-44C1-A44F-859843168FD8}" name="Column11143"/>
    <tableColumn id="11146" xr3:uid="{107DBD00-63D0-4ED7-B460-441DF4B9D4E0}" name="Column11144"/>
    <tableColumn id="11147" xr3:uid="{7EB26898-6674-48FA-9B2C-C7C3E9F7C208}" name="Column11145"/>
    <tableColumn id="11148" xr3:uid="{92310805-24BE-475A-BBD9-2B35F068D5CE}" name="Column11146"/>
    <tableColumn id="11149" xr3:uid="{53D68AA9-06EE-4C94-9317-EA9320ECB5B2}" name="Column11147"/>
    <tableColumn id="11150" xr3:uid="{089C47C6-ADB3-46D4-AE0C-E981EEF171AA}" name="Column11148"/>
    <tableColumn id="11151" xr3:uid="{96778957-E31C-4062-840A-D06BDDC6BB7D}" name="Column11149"/>
    <tableColumn id="11152" xr3:uid="{4CB045DD-9BCA-4FA8-A9C1-2CD4150B261C}" name="Column11150"/>
    <tableColumn id="11153" xr3:uid="{A1CA7C09-865D-4A0C-B0CB-9234326BB5A2}" name="Column11151"/>
    <tableColumn id="11154" xr3:uid="{61960136-3B98-4F2F-9A89-68B38FD11CA0}" name="Column11152"/>
    <tableColumn id="11155" xr3:uid="{085C2EAA-0A8C-4E29-A17B-AD6A9F270C24}" name="Column11153"/>
    <tableColumn id="11156" xr3:uid="{71CC79CC-968E-4224-9D22-665A9CC06C54}" name="Column11154"/>
    <tableColumn id="11157" xr3:uid="{6E39F280-2F7E-4862-957B-044B423E37EE}" name="Column11155"/>
    <tableColumn id="11158" xr3:uid="{0F80A946-BE52-43E5-82C0-A1D31473D986}" name="Column11156"/>
    <tableColumn id="11159" xr3:uid="{12AE7904-943C-445B-8DAD-CDA89784345F}" name="Column11157"/>
    <tableColumn id="11160" xr3:uid="{A65B74D8-4270-4614-9082-0A3DC68D2D5C}" name="Column11158"/>
    <tableColumn id="11161" xr3:uid="{B5042678-693C-4459-B96A-0474518C53E0}" name="Column11159"/>
    <tableColumn id="11162" xr3:uid="{F2719469-14F2-41AB-B5EA-6D40198457F5}" name="Column11160"/>
    <tableColumn id="11163" xr3:uid="{22EB0685-2E1B-4036-A423-6C72F72F72E5}" name="Column11161"/>
    <tableColumn id="11164" xr3:uid="{DEA8765B-18D7-4BAB-A2F8-C8AF1D9AD649}" name="Column11162"/>
    <tableColumn id="11165" xr3:uid="{AF2E0228-DC91-421A-A2F4-BC2982941B1A}" name="Column11163"/>
    <tableColumn id="11166" xr3:uid="{3A26F7D8-4C07-4DFE-B0D1-081163E5AFDE}" name="Column11164"/>
    <tableColumn id="11167" xr3:uid="{6463E941-C6BD-492C-8E1D-6FBF0EBBC2B7}" name="Column11165"/>
    <tableColumn id="11168" xr3:uid="{0B1FE1AD-1189-4F49-B124-515E6D419A16}" name="Column11166"/>
    <tableColumn id="11169" xr3:uid="{7DBAB82C-5B88-412F-8C16-56DB7EFFFC8E}" name="Column11167"/>
    <tableColumn id="11170" xr3:uid="{D62A8541-4AA8-4827-A6A5-3D011AAA1780}" name="Column11168"/>
    <tableColumn id="11171" xr3:uid="{7EE240A3-AACC-420D-8478-3609B5199ED3}" name="Column11169"/>
    <tableColumn id="11172" xr3:uid="{503AD1A7-9960-461B-8F23-9D3BCF56F919}" name="Column11170"/>
    <tableColumn id="11173" xr3:uid="{20B0C2AA-6A05-41F9-831A-EB3943183A7A}" name="Column11171"/>
    <tableColumn id="11174" xr3:uid="{FF834705-D9F8-467E-A2F3-EFEC6C385485}" name="Column11172"/>
    <tableColumn id="11175" xr3:uid="{166AB4A6-CB5A-4E7B-8363-78EF687E8F7B}" name="Column11173"/>
    <tableColumn id="11176" xr3:uid="{DE209045-9446-4DE8-9ADA-8F0C1B6952EE}" name="Column11174"/>
    <tableColumn id="11177" xr3:uid="{70D72182-BDF6-4D39-A6EF-28DA95CF5162}" name="Column11175"/>
    <tableColumn id="11178" xr3:uid="{854B32CE-5843-45D4-84CF-957A7C0A51D3}" name="Column11176"/>
    <tableColumn id="11179" xr3:uid="{363EB370-18B6-4880-B4D4-6C1EA8D4E586}" name="Column11177"/>
    <tableColumn id="11180" xr3:uid="{FDFDA416-0BF7-4ABC-BAEA-BBFAE6BC5503}" name="Column11178"/>
    <tableColumn id="11181" xr3:uid="{AF362BA3-2FFB-405C-8D3A-B028CEFC28D8}" name="Column11179"/>
    <tableColumn id="11182" xr3:uid="{B4C741A4-9B9E-4589-A358-FF45FCA41A33}" name="Column11180"/>
    <tableColumn id="11183" xr3:uid="{39A05FC2-20E1-4C9E-97D1-F86DFE0A77C1}" name="Column11181"/>
    <tableColumn id="11184" xr3:uid="{ACDD3DA4-6EB4-483C-A433-D9C017FE587A}" name="Column11182"/>
    <tableColumn id="11185" xr3:uid="{0634ECE3-681B-43B3-9E2A-DFD20311747B}" name="Column11183"/>
    <tableColumn id="11186" xr3:uid="{14510E1B-4EA6-4B9D-B05D-2B565A2286CC}" name="Column11184"/>
    <tableColumn id="11187" xr3:uid="{5E91C0BA-6C4E-4575-A23D-5C3CECCBEA71}" name="Column11185"/>
    <tableColumn id="11188" xr3:uid="{B2A609D0-C019-4362-9372-F639D4575967}" name="Column11186"/>
    <tableColumn id="11189" xr3:uid="{1FB9522A-4576-47C8-8743-0BFCBFB07FCA}" name="Column11187"/>
    <tableColumn id="11190" xr3:uid="{BBB93D0E-B484-4F81-BD6C-B7FC4F461422}" name="Column11188"/>
    <tableColumn id="11191" xr3:uid="{55971750-073F-467E-80AB-6CD1F49AC18F}" name="Column11189"/>
    <tableColumn id="11192" xr3:uid="{8B4AA7C5-8A1B-4AA7-833F-B979591E591C}" name="Column11190"/>
    <tableColumn id="11193" xr3:uid="{01A63CC7-D278-491A-AA33-FB5DED33ECAD}" name="Column11191"/>
    <tableColumn id="11194" xr3:uid="{D375F15C-7078-4702-80AC-A303ACBDB1EA}" name="Column11192"/>
    <tableColumn id="11195" xr3:uid="{42FEBE99-C971-48BC-8885-6247E2BA3343}" name="Column11193"/>
    <tableColumn id="11196" xr3:uid="{5C25AA38-4593-4E69-8810-BBAAF68D21DA}" name="Column11194"/>
    <tableColumn id="11197" xr3:uid="{3C6F4854-6557-49AA-A296-C1BE7136AA9F}" name="Column11195"/>
    <tableColumn id="11198" xr3:uid="{616CD46A-A544-4227-8952-BC173437EE3A}" name="Column11196"/>
    <tableColumn id="11199" xr3:uid="{EEA98D60-C500-4B6C-B396-41AC4E833B09}" name="Column11197"/>
    <tableColumn id="11200" xr3:uid="{D4854303-2A37-46CC-8C9B-6E5B5FCF4713}" name="Column11198"/>
    <tableColumn id="11201" xr3:uid="{F892BC04-526F-4DB1-9AA0-E6656BF1DFF8}" name="Column11199"/>
    <tableColumn id="11202" xr3:uid="{9D5ADFE2-143F-4E5C-90BF-5C8BF6F01F3A}" name="Column11200"/>
    <tableColumn id="11203" xr3:uid="{5D753275-8B81-4E1C-9CED-721EF627E7F1}" name="Column11201"/>
    <tableColumn id="11204" xr3:uid="{F3E05544-43A2-46BF-BCD3-4193E67112FB}" name="Column11202"/>
    <tableColumn id="11205" xr3:uid="{D27CC017-A604-4566-8B9F-4D370672848D}" name="Column11203"/>
    <tableColumn id="11206" xr3:uid="{0D1E3E8D-0CB8-43E0-88B9-1BD79CD9D81F}" name="Column11204"/>
    <tableColumn id="11207" xr3:uid="{1C3ED41E-2FA8-487B-956B-CA540EB4465B}" name="Column11205"/>
    <tableColumn id="11208" xr3:uid="{547DFFA1-700B-4733-BD4C-4AFE81E58082}" name="Column11206"/>
    <tableColumn id="11209" xr3:uid="{CBEB4912-4C53-4FA1-9B97-79C63E28712E}" name="Column11207"/>
    <tableColumn id="11210" xr3:uid="{08099BB0-D4A2-4BB9-B1C9-772F75B0F57E}" name="Column11208"/>
    <tableColumn id="11211" xr3:uid="{E28FA048-B425-4C81-A4B9-A9E669A1F84E}" name="Column11209"/>
    <tableColumn id="11212" xr3:uid="{8E7E2168-4D3B-446A-80C0-27A1103E2C4F}" name="Column11210"/>
    <tableColumn id="11213" xr3:uid="{792512D0-BE0D-440D-859D-07418D79AE76}" name="Column11211"/>
    <tableColumn id="11214" xr3:uid="{21167230-3259-464D-87F1-6BEC67826AB7}" name="Column11212"/>
    <tableColumn id="11215" xr3:uid="{27C9FE38-BA9C-47F5-8DFE-2AE718AFDF78}" name="Column11213"/>
    <tableColumn id="11216" xr3:uid="{4288D6F2-1B96-4716-96E7-275C68B8A9A9}" name="Column11214"/>
    <tableColumn id="11217" xr3:uid="{3A8588F6-9C33-4EF1-A37A-28D6D2FB274F}" name="Column11215"/>
    <tableColumn id="11218" xr3:uid="{C42C2729-2B43-4554-908C-D18C5B699CA2}" name="Column11216"/>
    <tableColumn id="11219" xr3:uid="{483E8236-9206-4BDF-A98C-BA7960C38F37}" name="Column11217"/>
    <tableColumn id="11220" xr3:uid="{FD045389-62DE-4ECF-B5A9-D252EBA04775}" name="Column11218"/>
    <tableColumn id="11221" xr3:uid="{36196366-BB76-422C-8A49-6E34BC4F74F7}" name="Column11219"/>
    <tableColumn id="11222" xr3:uid="{9BEC4EB6-1820-4439-BDAC-B39074BF0EB7}" name="Column11220"/>
    <tableColumn id="11223" xr3:uid="{1AD0590F-5AAE-403E-BF1C-9D7A3D7162D5}" name="Column11221"/>
    <tableColumn id="11224" xr3:uid="{356FBA8F-D563-4B98-97F7-FF15C0D3F14F}" name="Column11222"/>
    <tableColumn id="11225" xr3:uid="{23B26994-6BC2-4E50-8578-1D64A5A1E43F}" name="Column11223"/>
    <tableColumn id="11226" xr3:uid="{FC2CCDA2-1ADF-40E4-A6C7-6B554439D6D3}" name="Column11224"/>
    <tableColumn id="11227" xr3:uid="{AB9084D3-7C0B-4278-B142-FEA21A3E7E3A}" name="Column11225"/>
    <tableColumn id="11228" xr3:uid="{104BC0BD-C0B5-42E9-86B1-B3F56908A3A6}" name="Column11226"/>
    <tableColumn id="11229" xr3:uid="{FEDFEA24-69E9-4865-8774-D47A9E9715DC}" name="Column11227"/>
    <tableColumn id="11230" xr3:uid="{6EE889CA-5EFD-457B-B606-10D6D82B1A3D}" name="Column11228"/>
    <tableColumn id="11231" xr3:uid="{1AC97E73-99A2-422F-833B-0FC4C6722CFD}" name="Column11229"/>
    <tableColumn id="11232" xr3:uid="{395B87A2-BB63-41C4-B8B3-E4EDCF77F108}" name="Column11230"/>
    <tableColumn id="11233" xr3:uid="{523B626B-1FCF-4965-A891-919DBCC75D17}" name="Column11231"/>
    <tableColumn id="11234" xr3:uid="{D3E84F9A-CCB0-4A7F-B57C-8EFEB2F15823}" name="Column11232"/>
    <tableColumn id="11235" xr3:uid="{7817744B-191A-48CD-9DF2-879C195D841B}" name="Column11233"/>
    <tableColumn id="11236" xr3:uid="{EFEE10B1-5033-4F12-84D9-C81C9E36AC57}" name="Column11234"/>
    <tableColumn id="11237" xr3:uid="{55567FE4-82A1-47DC-B334-1D5E0DA85C97}" name="Column11235"/>
    <tableColumn id="11238" xr3:uid="{C62B626A-8FE9-44A8-9C69-7945186302C6}" name="Column11236"/>
    <tableColumn id="11239" xr3:uid="{B02429C0-3BD8-45ED-8D87-E8BAC1D3CB2F}" name="Column11237"/>
    <tableColumn id="11240" xr3:uid="{39A4838E-3575-48AF-AC8C-8363B798A4ED}" name="Column11238"/>
    <tableColumn id="11241" xr3:uid="{2A34615F-FE7F-40F9-8B8F-C20E84F9DC19}" name="Column11239"/>
    <tableColumn id="11242" xr3:uid="{8C4818E9-2545-48B5-93C9-18C19D56D5D6}" name="Column11240"/>
    <tableColumn id="11243" xr3:uid="{9C3786BC-E428-4B98-AA24-09B7F5344F4F}" name="Column11241"/>
    <tableColumn id="11244" xr3:uid="{8B5C5456-342C-4C42-87F4-1F2933421DB7}" name="Column11242"/>
    <tableColumn id="11245" xr3:uid="{2009B1FB-7B1E-4099-BC30-535114766E43}" name="Column11243"/>
    <tableColumn id="11246" xr3:uid="{E8DA63F6-E986-4AB7-A5DC-BE2DF0515B50}" name="Column11244"/>
    <tableColumn id="11247" xr3:uid="{6F7ECC2B-E6F0-4CD9-9D92-F7ED404D826B}" name="Column11245"/>
    <tableColumn id="11248" xr3:uid="{9069BF93-F1EA-49B7-9AA7-D46108178CBE}" name="Column11246"/>
    <tableColumn id="11249" xr3:uid="{816CF9FF-1241-4E39-BC49-A3B4C9F7F49D}" name="Column11247"/>
    <tableColumn id="11250" xr3:uid="{1E073654-4631-4A92-B8B7-49DA6ED21E55}" name="Column11248"/>
    <tableColumn id="11251" xr3:uid="{6AA8388A-2635-4F56-9B1F-99881A3379C8}" name="Column11249"/>
    <tableColumn id="11252" xr3:uid="{21320720-9991-4E54-BE33-ED98D9D8D487}" name="Column11250"/>
    <tableColumn id="11253" xr3:uid="{D7E5EC13-4CE9-4B6E-8642-3D3CF04B4746}" name="Column11251"/>
    <tableColumn id="11254" xr3:uid="{B6D0F2F9-59B5-47AB-B9E4-AC1D492FFFD8}" name="Column11252"/>
    <tableColumn id="11255" xr3:uid="{A5BA4090-C126-4DF8-BD8F-E13912555438}" name="Column11253"/>
    <tableColumn id="11256" xr3:uid="{D9E3509F-BC59-414B-89C5-313142B520C3}" name="Column11254"/>
    <tableColumn id="11257" xr3:uid="{0EE36290-E2C3-44B8-A971-4D0559EED520}" name="Column11255"/>
    <tableColumn id="11258" xr3:uid="{3574CCFC-9F2E-4788-800A-9D280DF56BE5}" name="Column11256"/>
    <tableColumn id="11259" xr3:uid="{D9E33E99-00DD-44D9-8FAE-A8A0422976DE}" name="Column11257"/>
    <tableColumn id="11260" xr3:uid="{827D4CE4-4960-4178-BA73-E42560FF53BE}" name="Column11258"/>
    <tableColumn id="11261" xr3:uid="{D6A534FC-FB98-4CE4-94A4-6901C49BF20F}" name="Column11259"/>
    <tableColumn id="11262" xr3:uid="{B1E856FE-54FC-4392-B021-7517362B8E2B}" name="Column11260"/>
    <tableColumn id="11263" xr3:uid="{BB02E5D5-4D8F-47A5-81C6-56145FB89882}" name="Column11261"/>
    <tableColumn id="11264" xr3:uid="{73D34720-A268-472E-BC5E-B612D03F5DB9}" name="Column11262"/>
    <tableColumn id="11265" xr3:uid="{BE81C78B-496F-44B9-9328-F79E959D4AF2}" name="Column11263"/>
    <tableColumn id="11266" xr3:uid="{C13E7C02-225E-4BE6-A9C7-A7A2215C0548}" name="Column11264"/>
    <tableColumn id="11267" xr3:uid="{4CF28DD5-4527-4329-B53C-B2D3DF9663E8}" name="Column11265"/>
    <tableColumn id="11268" xr3:uid="{072BB439-315E-4BC6-AC18-532EF5CD3D7B}" name="Column11266"/>
    <tableColumn id="11269" xr3:uid="{B15581B3-E1CD-45EC-B1B8-AD7B8E719702}" name="Column11267"/>
    <tableColumn id="11270" xr3:uid="{09BECDE4-8A6E-4935-8B49-DDD7CED8DEC6}" name="Column11268"/>
    <tableColumn id="11271" xr3:uid="{08CBA536-2E41-42B8-A893-46153C81F266}" name="Column11269"/>
    <tableColumn id="11272" xr3:uid="{2EECC48B-A24B-451A-81CB-C76EBAA062CC}" name="Column11270"/>
    <tableColumn id="11273" xr3:uid="{D8B6074D-5708-471D-A309-2D39EC463C4A}" name="Column11271"/>
    <tableColumn id="11274" xr3:uid="{746538D3-5DAD-43C3-AAC8-4F5963D3BAAB}" name="Column11272"/>
    <tableColumn id="11275" xr3:uid="{3B5B1AF2-BB0F-438C-B82E-5EFD78964121}" name="Column11273"/>
    <tableColumn id="11276" xr3:uid="{75EBB06F-7225-45BA-802B-82A7F051A017}" name="Column11274"/>
    <tableColumn id="11277" xr3:uid="{26EFB99E-9383-45BC-85A4-F75C3518FBE0}" name="Column11275"/>
    <tableColumn id="11278" xr3:uid="{ECCC92BA-B055-4503-8943-249C9FB6C9BC}" name="Column11276"/>
    <tableColumn id="11279" xr3:uid="{C95697B0-FB1F-4DC7-B4D4-C3D283C3AAE4}" name="Column11277"/>
    <tableColumn id="11280" xr3:uid="{FBDE76BE-F5B7-4288-8516-0DF8179C0157}" name="Column11278"/>
    <tableColumn id="11281" xr3:uid="{F3C1B539-C6A8-4038-85CF-4F651A941217}" name="Column11279"/>
    <tableColumn id="11282" xr3:uid="{5C21F87D-B06A-45BB-A29D-5AAC996C1B3D}" name="Column11280"/>
    <tableColumn id="11283" xr3:uid="{9769A17E-816E-43FD-95F5-C57F66A2E849}" name="Column11281"/>
    <tableColumn id="11284" xr3:uid="{ACAC9CFF-3ACD-489C-80F4-C57F928758DA}" name="Column11282"/>
    <tableColumn id="11285" xr3:uid="{83528E7F-BF44-4BFD-859C-39DC65177C2B}" name="Column11283"/>
    <tableColumn id="11286" xr3:uid="{7439C933-06FB-42BC-B1F2-DDAF7C66A13E}" name="Column11284"/>
    <tableColumn id="11287" xr3:uid="{338B3BAD-DA84-4782-9EB8-24A5B8B00153}" name="Column11285"/>
    <tableColumn id="11288" xr3:uid="{FABEEB48-36CF-475B-AB56-446845D3B624}" name="Column11286"/>
    <tableColumn id="11289" xr3:uid="{DDFB4C69-26A7-478A-A704-1C0B3F44000E}" name="Column11287"/>
    <tableColumn id="11290" xr3:uid="{FA5A3C60-FAF3-4DB3-A444-A9385014891F}" name="Column11288"/>
    <tableColumn id="11291" xr3:uid="{AE07795A-2A2E-48F0-96B5-C907CB60908D}" name="Column11289"/>
    <tableColumn id="11292" xr3:uid="{5993F9D6-757E-43E8-BB41-5F1D1DE61292}" name="Column11290"/>
    <tableColumn id="11293" xr3:uid="{D634470C-90CA-4A8E-8874-DEE28FD21E60}" name="Column11291"/>
    <tableColumn id="11294" xr3:uid="{25A9E3AB-42AB-46CE-A690-18ED8E016ABB}" name="Column11292"/>
    <tableColumn id="11295" xr3:uid="{CF7D59C2-A5DF-40C3-83DE-CDF681C20502}" name="Column11293"/>
    <tableColumn id="11296" xr3:uid="{1ACE93B1-A7D8-4508-947D-79A74CA0793D}" name="Column11294"/>
    <tableColumn id="11297" xr3:uid="{C7538C88-980B-4283-AC75-82E8D6C858D3}" name="Column11295"/>
    <tableColumn id="11298" xr3:uid="{CC95D502-3BA1-4253-956E-28270B3B2BEE}" name="Column11296"/>
    <tableColumn id="11299" xr3:uid="{FF6247B0-75BF-48D8-BFBB-7A151B3E6E54}" name="Column11297"/>
    <tableColumn id="11300" xr3:uid="{433E4D1D-9426-4DEC-86C7-42FD2B63E484}" name="Column11298"/>
    <tableColumn id="11301" xr3:uid="{E2C3D8D7-3272-4BFA-ABC2-C45BC6768B94}" name="Column11299"/>
    <tableColumn id="11302" xr3:uid="{3E88BC41-E62D-4C78-9C3E-4EFE7E7DFBBF}" name="Column11300"/>
    <tableColumn id="11303" xr3:uid="{D53080D9-7C94-4966-8CA7-61450362B2A3}" name="Column11301"/>
    <tableColumn id="11304" xr3:uid="{04AB41DB-7F39-47DF-AC05-7D874E5FC8A7}" name="Column11302"/>
    <tableColumn id="11305" xr3:uid="{2CF0AD9F-197D-4204-8A14-650F52BB6F3F}" name="Column11303"/>
    <tableColumn id="11306" xr3:uid="{C2818059-8E9D-4B98-8280-2BDFE888D394}" name="Column11304"/>
    <tableColumn id="11307" xr3:uid="{6B950F0F-43F6-4023-81DB-BA3909FF8662}" name="Column11305"/>
    <tableColumn id="11308" xr3:uid="{F9F392A4-674A-4C35-A27E-DD615A74E88F}" name="Column11306"/>
    <tableColumn id="11309" xr3:uid="{60D1E14E-BA84-45DB-9F17-1682280DC4E3}" name="Column11307"/>
    <tableColumn id="11310" xr3:uid="{CDF04B51-209C-434A-B868-609AAC80B79F}" name="Column11308"/>
    <tableColumn id="11311" xr3:uid="{2A8CCCFE-80A5-4FF6-9C69-7A7FF1FEE7D7}" name="Column11309"/>
    <tableColumn id="11312" xr3:uid="{E6E2D1EA-5E73-4D49-AE15-9CEACB6D9D9E}" name="Column11310"/>
    <tableColumn id="11313" xr3:uid="{259403C6-740D-4744-8FC1-30C565488864}" name="Column11311"/>
    <tableColumn id="11314" xr3:uid="{F471CCAB-8F77-46B4-ACC1-BA383F2E53CB}" name="Column11312"/>
    <tableColumn id="11315" xr3:uid="{26663D46-6802-4D22-A916-FDDD9621B9E4}" name="Column11313"/>
    <tableColumn id="11316" xr3:uid="{58A083BC-DFD9-43C1-AE90-818E24902262}" name="Column11314"/>
    <tableColumn id="11317" xr3:uid="{F00F7FBE-36FB-4ACB-8390-F3D4E59A5624}" name="Column11315"/>
    <tableColumn id="11318" xr3:uid="{9580E079-D5D5-4233-B403-8F4E4600419E}" name="Column11316"/>
    <tableColumn id="11319" xr3:uid="{08756E5E-C59C-472F-AA97-9C6315C07710}" name="Column11317"/>
    <tableColumn id="11320" xr3:uid="{A27B75B3-AE6D-4D51-AC32-9B47D7DF1367}" name="Column11318"/>
    <tableColumn id="11321" xr3:uid="{9C74B9F9-1598-4574-BF8B-02F3B47D3311}" name="Column11319"/>
    <tableColumn id="11322" xr3:uid="{FB7544D7-165D-4EEC-9FB7-B8C371B82392}" name="Column11320"/>
    <tableColumn id="11323" xr3:uid="{BC6E323F-1A28-4AFB-9396-73A4BEEA9ABA}" name="Column11321"/>
    <tableColumn id="11324" xr3:uid="{FDF3A1FF-9338-42E1-949B-2AE4C5803C49}" name="Column11322"/>
    <tableColumn id="11325" xr3:uid="{3A36FF95-CB96-4DE6-94B7-24971664A4B3}" name="Column11323"/>
    <tableColumn id="11326" xr3:uid="{714D2C19-A00A-4ACB-9934-D1416ED24408}" name="Column11324"/>
    <tableColumn id="11327" xr3:uid="{8B35C583-8C7B-4E0F-A36B-19583A37A071}" name="Column11325"/>
    <tableColumn id="11328" xr3:uid="{18797250-E511-43F3-90ED-E56182CDFA25}" name="Column11326"/>
    <tableColumn id="11329" xr3:uid="{80EB12A7-6EE9-47EF-9E22-D151DF1A6C49}" name="Column11327"/>
    <tableColumn id="11330" xr3:uid="{B1B2DF82-6A45-4D4D-B91E-F49865FF6642}" name="Column11328"/>
    <tableColumn id="11331" xr3:uid="{C4D4B61B-46E5-430C-B3AC-4161811D574C}" name="Column11329"/>
    <tableColumn id="11332" xr3:uid="{53F1D77C-ACF3-4896-BCDD-846E8425D814}" name="Column11330"/>
    <tableColumn id="11333" xr3:uid="{75AF1671-CB96-4A79-A0CA-CABE5F12F3EA}" name="Column11331"/>
    <tableColumn id="11334" xr3:uid="{6F1BECF4-3BA2-4E3A-BA70-35349E214895}" name="Column11332"/>
    <tableColumn id="11335" xr3:uid="{23D9A07A-CA24-45E9-B526-1687132EAF9B}" name="Column11333"/>
    <tableColumn id="11336" xr3:uid="{ADA14CFF-06DE-4262-A837-E375A307265B}" name="Column11334"/>
    <tableColumn id="11337" xr3:uid="{A3AAB157-631E-4BA2-92D3-C8B31032DDD8}" name="Column11335"/>
    <tableColumn id="11338" xr3:uid="{7B8D58E1-E108-4747-91B7-12181C3369FB}" name="Column11336"/>
    <tableColumn id="11339" xr3:uid="{08ACBE35-9286-442A-A12A-4025FA3FAC9A}" name="Column11337"/>
    <tableColumn id="11340" xr3:uid="{06EFE591-5334-4DA2-9310-6392D0F1D986}" name="Column11338"/>
    <tableColumn id="11341" xr3:uid="{A9FCB9D7-25D1-4A4E-8133-FE9673C5AF54}" name="Column11339"/>
    <tableColumn id="11342" xr3:uid="{AEBCAE60-1A5C-4068-ADE2-07EBE8217E89}" name="Column11340"/>
    <tableColumn id="11343" xr3:uid="{42D34CC6-B08B-41AC-9E88-5239037AA0C7}" name="Column11341"/>
    <tableColumn id="11344" xr3:uid="{D51CFBDD-2442-484E-98AC-EE3C19604D69}" name="Column11342"/>
    <tableColumn id="11345" xr3:uid="{2C16BF36-68FF-460C-B8A8-4AE0C551823C}" name="Column11343"/>
    <tableColumn id="11346" xr3:uid="{298ACA8A-B918-441F-9B5D-E1F539B683A3}" name="Column11344"/>
    <tableColumn id="11347" xr3:uid="{849307F0-3339-4FC3-AD06-DD79D34C3F05}" name="Column11345"/>
    <tableColumn id="11348" xr3:uid="{92DFD252-D126-46D7-A760-332B4581A04F}" name="Column11346"/>
    <tableColumn id="11349" xr3:uid="{DE3BB6D0-0037-4C5F-96F4-668017492541}" name="Column11347"/>
    <tableColumn id="11350" xr3:uid="{F941F190-E88A-40A6-ABD7-E4FE2CF388C5}" name="Column11348"/>
    <tableColumn id="11351" xr3:uid="{192762D8-E186-4595-96D2-D6F6D4EFECB5}" name="Column11349"/>
    <tableColumn id="11352" xr3:uid="{C8A34ECC-90DF-49EA-92CB-870CA99A1B03}" name="Column11350"/>
    <tableColumn id="11353" xr3:uid="{741999E3-3C74-486B-A579-2EECF3B776CA}" name="Column11351"/>
    <tableColumn id="11354" xr3:uid="{ADDF5802-4EE1-47B3-85B4-D4F0B48838D0}" name="Column11352"/>
    <tableColumn id="11355" xr3:uid="{D139DCBB-F395-42EE-B0C4-47FD6E2F13F9}" name="Column11353"/>
    <tableColumn id="11356" xr3:uid="{454121A7-21F2-49DA-9CD2-8D9DB333EF19}" name="Column11354"/>
    <tableColumn id="11357" xr3:uid="{D733B0FA-6124-4E18-A095-FA21C51C0F5C}" name="Column11355"/>
    <tableColumn id="11358" xr3:uid="{2491416B-113F-4320-A745-B44BA83D6829}" name="Column11356"/>
    <tableColumn id="11359" xr3:uid="{86A13F37-6050-44E2-BBD6-95A52EDFC2B8}" name="Column11357"/>
    <tableColumn id="11360" xr3:uid="{98E2D885-E9EA-4743-B2D0-C3D9F62E283F}" name="Column11358"/>
    <tableColumn id="11361" xr3:uid="{0B62CBE3-2CD1-40E9-AD0B-FDD4CF5EB94C}" name="Column11359"/>
    <tableColumn id="11362" xr3:uid="{39E314B4-EE05-425B-899B-A871DF367153}" name="Column11360"/>
    <tableColumn id="11363" xr3:uid="{6AB7E63E-E97A-4184-8C98-A4B9518FFF0C}" name="Column11361"/>
    <tableColumn id="11364" xr3:uid="{63AFD24D-8430-4473-BFE4-5B336526132D}" name="Column11362"/>
    <tableColumn id="11365" xr3:uid="{251D1EF3-54F5-4DD9-A881-8157968E88ED}" name="Column11363"/>
    <tableColumn id="11366" xr3:uid="{42943967-3418-4E62-B889-07D7F9AE72A1}" name="Column11364"/>
    <tableColumn id="11367" xr3:uid="{E14177B5-6DBE-49BE-81DF-D7BA918CEE23}" name="Column11365"/>
    <tableColumn id="11368" xr3:uid="{BB3E1F28-6345-4246-8F13-87A985740896}" name="Column11366"/>
    <tableColumn id="11369" xr3:uid="{FFA7FD3A-7CE6-4CF2-8E50-5CD79DF1C25C}" name="Column11367"/>
    <tableColumn id="11370" xr3:uid="{B387B9ED-4B2E-4F76-A5B2-FCB7F66F719B}" name="Column11368"/>
    <tableColumn id="11371" xr3:uid="{522BA606-FA32-4400-B871-A7CED335A052}" name="Column11369"/>
    <tableColumn id="11372" xr3:uid="{3EB1B470-43C5-40D7-9E48-FC8D8CAC1A5B}" name="Column11370"/>
    <tableColumn id="11373" xr3:uid="{5C114BAC-ED5F-4BB4-98BF-F1E90DEA2A26}" name="Column11371"/>
    <tableColumn id="11374" xr3:uid="{71204310-5884-4F94-AABD-F2F5E5493550}" name="Column11372"/>
    <tableColumn id="11375" xr3:uid="{4A2003CF-DE47-4A1B-B39C-0306E7BEF206}" name="Column11373"/>
    <tableColumn id="11376" xr3:uid="{320FCCF0-2DAE-4A4E-9151-E5B124573879}" name="Column11374"/>
    <tableColumn id="11377" xr3:uid="{1B41DB41-FF2A-418C-9AB0-A0F94338678B}" name="Column11375"/>
    <tableColumn id="11378" xr3:uid="{775A5BA5-7CB9-462E-B625-5ECFB5DDBE87}" name="Column11376"/>
    <tableColumn id="11379" xr3:uid="{FA83DD7E-0039-4284-A8D4-4CCAA5110FD1}" name="Column11377"/>
    <tableColumn id="11380" xr3:uid="{E16B6D19-465E-4820-85DE-4A7F6DC47D24}" name="Column11378"/>
    <tableColumn id="11381" xr3:uid="{C66FA0DC-86FC-4A0F-B9E5-A2419001ED67}" name="Column11379"/>
    <tableColumn id="11382" xr3:uid="{1094309C-B354-4D3E-AC93-E66E5F4EC336}" name="Column11380"/>
    <tableColumn id="11383" xr3:uid="{C9BE64F5-0A76-4EA3-BAE2-196BE08324E6}" name="Column11381"/>
    <tableColumn id="11384" xr3:uid="{8B041054-089F-418C-BF42-A4AC6D3E32CC}" name="Column11382"/>
    <tableColumn id="11385" xr3:uid="{82D9A9A4-9C6C-4DE8-B133-63069921B7C5}" name="Column11383"/>
    <tableColumn id="11386" xr3:uid="{DB7D3046-B373-45D6-9B6F-D5791F98DEEB}" name="Column11384"/>
    <tableColumn id="11387" xr3:uid="{10412A5A-924D-443C-BABF-5EBDF0D22A59}" name="Column11385"/>
    <tableColumn id="11388" xr3:uid="{7F3C194A-5108-4A9B-A6C8-13D2F8116CBD}" name="Column11386"/>
    <tableColumn id="11389" xr3:uid="{74BC6C44-F6E7-4293-BAD5-B2B9D27C3D0E}" name="Column11387"/>
    <tableColumn id="11390" xr3:uid="{37D30B6B-A0A7-456D-AD95-4E8663D89C09}" name="Column11388"/>
    <tableColumn id="11391" xr3:uid="{CAC279AA-DC2B-401F-9A75-64A93FF22909}" name="Column11389"/>
    <tableColumn id="11392" xr3:uid="{A037D691-7B98-400B-9198-6DCBB9A9A257}" name="Column11390"/>
    <tableColumn id="11393" xr3:uid="{16C70DB1-9B4E-413B-8108-DEDE3CC9047B}" name="Column11391"/>
    <tableColumn id="11394" xr3:uid="{220A5670-9BC6-4677-A61D-0948E91611A0}" name="Column11392"/>
    <tableColumn id="11395" xr3:uid="{4DF430A8-AEAF-4DFD-A573-A63D484817ED}" name="Column11393"/>
    <tableColumn id="11396" xr3:uid="{ED30C690-AA24-4D25-8B97-9AA14A5A7289}" name="Column11394"/>
    <tableColumn id="11397" xr3:uid="{3A8531E5-0F69-48CB-A66C-1D3E032369FB}" name="Column11395"/>
    <tableColumn id="11398" xr3:uid="{ED7DD39C-6CB5-49D4-AEDD-389A4523C132}" name="Column11396"/>
    <tableColumn id="11399" xr3:uid="{E770C873-AB41-4563-BB2D-322C30E7D152}" name="Column11397"/>
    <tableColumn id="11400" xr3:uid="{E85ACCEF-B80C-4A30-9CD8-A646F9C7E26C}" name="Column11398"/>
    <tableColumn id="11401" xr3:uid="{375DFF71-A6FD-41E2-BD93-2AC987A740C5}" name="Column11399"/>
    <tableColumn id="11402" xr3:uid="{18A98ADA-5A69-4D66-80DB-20372D879A83}" name="Column11400"/>
    <tableColumn id="11403" xr3:uid="{F2BD12E9-EBA0-497E-A0DC-B094E4985456}" name="Column11401"/>
    <tableColumn id="11404" xr3:uid="{0E3D8172-A052-434C-824E-D7A1BC2EFFF1}" name="Column11402"/>
    <tableColumn id="11405" xr3:uid="{0B573B92-4837-4FD7-BB5E-2F6C0A0B3ADF}" name="Column11403"/>
    <tableColumn id="11406" xr3:uid="{EC35FDE6-16F8-4AD8-8163-B9E0FBFC3738}" name="Column11404"/>
    <tableColumn id="11407" xr3:uid="{03BB199C-49FB-477C-8314-61D87B649100}" name="Column11405"/>
    <tableColumn id="11408" xr3:uid="{9F2D3969-EC09-4282-84F1-7786B35FF085}" name="Column11406"/>
    <tableColumn id="11409" xr3:uid="{B78E06D6-33EF-4A0D-9B66-521FA648E5B4}" name="Column11407"/>
    <tableColumn id="11410" xr3:uid="{B993F9BA-0590-4D4A-9E7C-7B0C1DE74831}" name="Column11408"/>
    <tableColumn id="11411" xr3:uid="{0EA2B0F4-EFD9-4CB9-B141-B83F7D12060C}" name="Column11409"/>
    <tableColumn id="11412" xr3:uid="{66205E10-A415-4A06-BB0D-802211A404BB}" name="Column11410"/>
    <tableColumn id="11413" xr3:uid="{E8DE7FFD-75E3-4311-A110-2284031F0A77}" name="Column11411"/>
    <tableColumn id="11414" xr3:uid="{11B6EDD9-C63D-4C62-9407-16F96E331CBC}" name="Column11412"/>
    <tableColumn id="11415" xr3:uid="{AC7713D9-C6F4-4309-8B2A-0169523B30C1}" name="Column11413"/>
    <tableColumn id="11416" xr3:uid="{AD482291-71F4-486D-9720-5BBA9A32D259}" name="Column11414"/>
    <tableColumn id="11417" xr3:uid="{7886040E-7B77-42A0-A988-0B29F53A5E7D}" name="Column11415"/>
    <tableColumn id="11418" xr3:uid="{B63FE061-E6A6-4714-8F1F-7B67C2A33890}" name="Column11416"/>
    <tableColumn id="11419" xr3:uid="{ED5F01AB-F8DE-44F1-A4A0-99C059655B0C}" name="Column11417"/>
    <tableColumn id="11420" xr3:uid="{226FD1FD-1D79-422D-900F-3C47F85DEE0F}" name="Column11418"/>
    <tableColumn id="11421" xr3:uid="{33038DA9-E85F-4DF3-B01E-068286A26756}" name="Column11419"/>
    <tableColumn id="11422" xr3:uid="{F19F2CC7-F507-4111-A23F-30567A340392}" name="Column11420"/>
    <tableColumn id="11423" xr3:uid="{3E4A0C95-9784-4078-9C96-4469122A534E}" name="Column11421"/>
    <tableColumn id="11424" xr3:uid="{C59A0DAB-552F-4892-A166-7F44F6A86C05}" name="Column11422"/>
    <tableColumn id="11425" xr3:uid="{5B4090B4-6AFA-4322-B3CA-7CFF8DE645F4}" name="Column11423"/>
    <tableColumn id="11426" xr3:uid="{71F9F205-3E3B-4EAB-A5CC-95D228F095B5}" name="Column11424"/>
    <tableColumn id="11427" xr3:uid="{A6EB7D93-AE0E-4886-AA9B-2E87FB089349}" name="Column11425"/>
    <tableColumn id="11428" xr3:uid="{414C738C-8414-4915-8038-7FF9D8A871B8}" name="Column11426"/>
    <tableColumn id="11429" xr3:uid="{3FB857F2-CFFB-48F0-BE68-A13412F47ED9}" name="Column11427"/>
    <tableColumn id="11430" xr3:uid="{77AE07FF-D8E0-4485-8054-CF5714BC2DA2}" name="Column11428"/>
    <tableColumn id="11431" xr3:uid="{9603EC0E-C6E9-476D-85A4-8A0194290722}" name="Column11429"/>
    <tableColumn id="11432" xr3:uid="{9C1AEBF3-B7C3-4113-B480-3A1F39DA6058}" name="Column11430"/>
    <tableColumn id="11433" xr3:uid="{8FEA9188-BFBA-4095-9D72-DD11FB3365F7}" name="Column11431"/>
    <tableColumn id="11434" xr3:uid="{34455080-2F8B-4F1F-A381-EC46F30E620E}" name="Column11432"/>
    <tableColumn id="11435" xr3:uid="{932B7EA5-F7D4-4960-983C-8CCD4BFF5EC6}" name="Column11433"/>
    <tableColumn id="11436" xr3:uid="{A35C7474-44E0-408B-AAEB-4FDEF30CFB21}" name="Column11434"/>
    <tableColumn id="11437" xr3:uid="{C9500D86-6BE6-4B01-A8E5-E5BDCDC89492}" name="Column11435"/>
    <tableColumn id="11438" xr3:uid="{7070EE0A-A50D-4569-986C-4ED466642E6E}" name="Column11436"/>
    <tableColumn id="11439" xr3:uid="{E8A058D5-638F-44B0-AB1B-7A40D84E327C}" name="Column11437"/>
    <tableColumn id="11440" xr3:uid="{0C986F7F-760F-4ADA-8926-5F825878EBE8}" name="Column11438"/>
    <tableColumn id="11441" xr3:uid="{9E3C19A9-449E-4AC6-B313-AF1F6C1F06B5}" name="Column11439"/>
    <tableColumn id="11442" xr3:uid="{1E7D4689-B4FD-4604-9F05-AEC4B7C2FE37}" name="Column11440"/>
    <tableColumn id="11443" xr3:uid="{5C93BA2C-85AE-473B-B07B-E528913DEB51}" name="Column11441"/>
    <tableColumn id="11444" xr3:uid="{04CE36C8-AE36-45F8-86BC-588A31BAD792}" name="Column11442"/>
    <tableColumn id="11445" xr3:uid="{A0433F5B-3A8D-4FD6-93C3-FB44C7B29CF4}" name="Column11443"/>
    <tableColumn id="11446" xr3:uid="{7A64F140-6E8B-407A-9141-2499530F6497}" name="Column11444"/>
    <tableColumn id="11447" xr3:uid="{12042068-93BC-4860-B9E8-750E39DC74D9}" name="Column11445"/>
    <tableColumn id="11448" xr3:uid="{AE5A4CB8-E344-4391-AD2A-BBF5629FF7EA}" name="Column11446"/>
    <tableColumn id="11449" xr3:uid="{58D67ADC-D139-4177-958E-BF55F501C156}" name="Column11447"/>
    <tableColumn id="11450" xr3:uid="{5CC58E6A-7EF2-4367-A0F8-0B7D95A46F28}" name="Column11448"/>
    <tableColumn id="11451" xr3:uid="{12CB55BF-841A-4A6E-B951-25E32738C065}" name="Column11449"/>
    <tableColumn id="11452" xr3:uid="{F9C18671-AC11-4582-9DA8-F965832EC6D2}" name="Column11450"/>
    <tableColumn id="11453" xr3:uid="{AB021EE5-6B5D-48FE-9F50-69CB7D315D80}" name="Column11451"/>
    <tableColumn id="11454" xr3:uid="{D1A05E4E-C43B-4012-86D8-2E317C38F86F}" name="Column11452"/>
    <tableColumn id="11455" xr3:uid="{83F48EB5-1D8D-4E52-9038-C47E9E355E55}" name="Column11453"/>
    <tableColumn id="11456" xr3:uid="{FCD2E493-96F7-4CBE-BE51-C4EC27ACF7F6}" name="Column11454"/>
    <tableColumn id="11457" xr3:uid="{25FFD83B-A64D-4F6B-BFDA-5483EF3423A0}" name="Column11455"/>
    <tableColumn id="11458" xr3:uid="{1CA0B4F1-DE13-4111-9E06-66D9F48C8BA9}" name="Column11456"/>
    <tableColumn id="11459" xr3:uid="{8D31E180-C291-4866-B721-13402AACE1E5}" name="Column11457"/>
    <tableColumn id="11460" xr3:uid="{AC9C9DDF-DCF0-45F8-927A-0E7AE432F1CF}" name="Column11458"/>
    <tableColumn id="11461" xr3:uid="{CDC08F6E-30C2-4E04-9D38-0C42F62EC060}" name="Column11459"/>
    <tableColumn id="11462" xr3:uid="{7336587F-2F1D-4233-B8B5-F3E0AB08CE9C}" name="Column11460"/>
    <tableColumn id="11463" xr3:uid="{6DC02D90-1139-445B-8C04-5DDEE331CB2C}" name="Column11461"/>
    <tableColumn id="11464" xr3:uid="{4BD1AB49-B6A7-4C16-97EA-AA424AE91501}" name="Column11462"/>
    <tableColumn id="11465" xr3:uid="{782B48CE-E4C7-4F42-B937-3E0048884B5A}" name="Column11463"/>
    <tableColumn id="11466" xr3:uid="{2CFA604B-8290-4598-A3A9-286B19981271}" name="Column11464"/>
    <tableColumn id="11467" xr3:uid="{939D2E3D-A44A-47AA-9A44-792F33EBFB30}" name="Column11465"/>
    <tableColumn id="11468" xr3:uid="{AF89BF65-7C57-4C86-AA92-81127128070A}" name="Column11466"/>
    <tableColumn id="11469" xr3:uid="{7557CBAB-2C2D-48D0-93CB-47999727CACA}" name="Column11467"/>
    <tableColumn id="11470" xr3:uid="{9C74F710-B57E-49CD-8AAE-9E5C6CBFBD39}" name="Column11468"/>
    <tableColumn id="11471" xr3:uid="{9B74D8DD-561F-428D-8BB9-C9D5CD7A6088}" name="Column11469"/>
    <tableColumn id="11472" xr3:uid="{13CFF1FA-A9D8-491D-B59B-D1ACA517BE2F}" name="Column11470"/>
    <tableColumn id="11473" xr3:uid="{D8A340E9-8412-4F4E-A34B-6DD10EB29196}" name="Column11471"/>
    <tableColumn id="11474" xr3:uid="{B311030D-3904-47BF-B174-99E6D1F5FADB}" name="Column11472"/>
    <tableColumn id="11475" xr3:uid="{7E411E76-1C8B-461F-AC97-DC4CB89CBE75}" name="Column11473"/>
    <tableColumn id="11476" xr3:uid="{69E020E6-E254-4EDC-98D8-F8FEA3B28754}" name="Column11474"/>
    <tableColumn id="11477" xr3:uid="{16946401-0873-46BB-B7F7-2D1B7E96D457}" name="Column11475"/>
    <tableColumn id="11478" xr3:uid="{DB553BC6-5CD4-4205-A569-B02687431F42}" name="Column11476"/>
    <tableColumn id="11479" xr3:uid="{D2FF4802-8C03-4B36-82E9-395CB620DC34}" name="Column11477"/>
    <tableColumn id="11480" xr3:uid="{3560C112-2A67-42DE-9505-F7D7ABA4B655}" name="Column11478"/>
    <tableColumn id="11481" xr3:uid="{CBA5D6AB-27CB-42B9-BF42-FF61C81D9431}" name="Column11479"/>
    <tableColumn id="11482" xr3:uid="{2B916837-93BB-4E2C-ABCA-F4DF362529B4}" name="Column11480"/>
    <tableColumn id="11483" xr3:uid="{43BDB928-8359-4F40-9450-ED7F7EFE835A}" name="Column11481"/>
    <tableColumn id="11484" xr3:uid="{DD34ED7E-4F7E-4B13-BE1C-823F439A825C}" name="Column11482"/>
    <tableColumn id="11485" xr3:uid="{A9317AE1-458E-4101-BF12-E6248D0965DC}" name="Column11483"/>
    <tableColumn id="11486" xr3:uid="{E5361C93-1523-4A2E-B73D-F0877A7DD893}" name="Column11484"/>
    <tableColumn id="11487" xr3:uid="{FA560EE6-8312-4C8A-8448-F46CB2C84F98}" name="Column11485"/>
    <tableColumn id="11488" xr3:uid="{79840F17-EAC5-45CE-9531-5CB633F9883D}" name="Column11486"/>
    <tableColumn id="11489" xr3:uid="{C1750E94-13BE-4BF4-95B1-244B0EF227AC}" name="Column11487"/>
    <tableColumn id="11490" xr3:uid="{7196F4B8-A7FF-44F7-A2C9-222859E97341}" name="Column11488"/>
    <tableColumn id="11491" xr3:uid="{CAC819BA-2FB6-4A76-9761-783ADEEEDA0E}" name="Column11489"/>
    <tableColumn id="11492" xr3:uid="{D314D486-1E98-4B0D-B65A-6317ED9F60D4}" name="Column11490"/>
    <tableColumn id="11493" xr3:uid="{5B97AFB3-F099-45D7-A851-6BDA6F48B53C}" name="Column11491"/>
    <tableColumn id="11494" xr3:uid="{B7EC3EB3-9E28-4FE9-AD51-801D76EF8F46}" name="Column11492"/>
    <tableColumn id="11495" xr3:uid="{6B1CA69F-8E1E-4A28-B3AE-65102B056B4E}" name="Column11493"/>
    <tableColumn id="11496" xr3:uid="{8FF80479-1D68-47CA-8DC6-ADD932C21029}" name="Column11494"/>
    <tableColumn id="11497" xr3:uid="{0BDAD164-8395-4700-B8FC-FF4D52884D48}" name="Column11495"/>
    <tableColumn id="11498" xr3:uid="{17473C50-1035-4D1D-B2F6-DB516AD83024}" name="Column11496"/>
    <tableColumn id="11499" xr3:uid="{52E22262-B79D-4A68-87F5-D43D16DDDA52}" name="Column11497"/>
    <tableColumn id="11500" xr3:uid="{2598990A-03C5-45F6-993A-1B04429B615C}" name="Column11498"/>
    <tableColumn id="11501" xr3:uid="{E9B5CE28-6AB9-4843-A14E-6956DC10C70B}" name="Column11499"/>
    <tableColumn id="11502" xr3:uid="{3E375F2B-E176-464D-9495-5EFA95BD8158}" name="Column11500"/>
    <tableColumn id="11503" xr3:uid="{8CBF8AD4-0CBC-4603-88E6-B4A4FE386B12}" name="Column11501"/>
    <tableColumn id="11504" xr3:uid="{BFD2DA78-BEDF-4E90-9EE3-E8435EA123B9}" name="Column11502"/>
    <tableColumn id="11505" xr3:uid="{A4D640E2-97A7-43A9-B3E4-6AAA59DFF29C}" name="Column11503"/>
    <tableColumn id="11506" xr3:uid="{A680E5DC-2DE3-4562-8406-AEBF9B9CBE36}" name="Column11504"/>
    <tableColumn id="11507" xr3:uid="{625CF447-7726-480E-AF61-77E54422F716}" name="Column11505"/>
    <tableColumn id="11508" xr3:uid="{122585BE-C623-4029-847C-75F7FEA70AAB}" name="Column11506"/>
    <tableColumn id="11509" xr3:uid="{7AF46011-9020-40D8-9411-D0CD56FD573B}" name="Column11507"/>
    <tableColumn id="11510" xr3:uid="{C784E022-327D-41AB-B9F4-4B2DBA4BB887}" name="Column11508"/>
    <tableColumn id="11511" xr3:uid="{491B03B5-8B08-46B6-B1DF-4CA011856110}" name="Column11509"/>
    <tableColumn id="11512" xr3:uid="{794B375E-FC4E-4AB5-B010-0987861193B7}" name="Column11510"/>
    <tableColumn id="11513" xr3:uid="{1560AE9B-0710-4F93-AF41-930F9BCA8FA0}" name="Column11511"/>
    <tableColumn id="11514" xr3:uid="{C9423739-601D-4C4E-A22C-EDE8D731622D}" name="Column11512"/>
    <tableColumn id="11515" xr3:uid="{439069B6-1E82-4523-B884-75EE2D76ADBD}" name="Column11513"/>
    <tableColumn id="11516" xr3:uid="{6FE02500-8F81-4D02-B5EB-07E74D684D64}" name="Column11514"/>
    <tableColumn id="11517" xr3:uid="{B7B8ABF2-6F98-41D6-BC44-2F55DCB08B72}" name="Column11515"/>
    <tableColumn id="11518" xr3:uid="{155816E8-2FFC-4E1A-8246-51CB0EA3FC9F}" name="Column11516"/>
    <tableColumn id="11519" xr3:uid="{A084156D-2B0A-4840-A27F-A054490C7594}" name="Column11517"/>
    <tableColumn id="11520" xr3:uid="{6967D45E-BD48-4A04-94B5-9E0CED64D64F}" name="Column11518"/>
    <tableColumn id="11521" xr3:uid="{6B088208-9861-4BE7-AB08-D6D588191E54}" name="Column11519"/>
    <tableColumn id="11522" xr3:uid="{13E08011-46E2-45A5-AFC7-A3BDBEA234D4}" name="Column11520"/>
    <tableColumn id="11523" xr3:uid="{1859C92F-E1CA-46BD-9D72-413A95BFACEF}" name="Column11521"/>
    <tableColumn id="11524" xr3:uid="{A872AEEC-1BAB-46CD-BD65-C0AAA8C66761}" name="Column11522"/>
    <tableColumn id="11525" xr3:uid="{A6289E58-CEB5-4FAA-8F95-F0B5D1C09ACC}" name="Column11523"/>
    <tableColumn id="11526" xr3:uid="{0B657EAF-A38C-4A72-AB17-DB126EE2ABF3}" name="Column11524"/>
    <tableColumn id="11527" xr3:uid="{0736D867-F09E-464C-95BE-1E673C921114}" name="Column11525"/>
    <tableColumn id="11528" xr3:uid="{CDE43EE5-CEA2-40EF-849A-562E73F675A9}" name="Column11526"/>
    <tableColumn id="11529" xr3:uid="{A32C7BC3-016F-4955-9E02-13C3FA0CF47E}" name="Column11527"/>
    <tableColumn id="11530" xr3:uid="{8CBF28BC-518F-4D4B-9852-11529299FA08}" name="Column11528"/>
    <tableColumn id="11531" xr3:uid="{67AEF151-66CA-458F-98C4-59558F8FEF92}" name="Column11529"/>
    <tableColumn id="11532" xr3:uid="{D275D476-8B1D-4949-BBEF-E60D7ABA7320}" name="Column11530"/>
    <tableColumn id="11533" xr3:uid="{CE32204D-6C69-4F2D-8D13-36C4776FA3DC}" name="Column11531"/>
    <tableColumn id="11534" xr3:uid="{CF765A52-DFD8-454E-A76F-B40C491066EC}" name="Column11532"/>
    <tableColumn id="11535" xr3:uid="{6F603E54-E550-487B-A50C-D1EA7333AF59}" name="Column11533"/>
    <tableColumn id="11536" xr3:uid="{AE2000EC-D553-4224-A531-15E8698744EB}" name="Column11534"/>
    <tableColumn id="11537" xr3:uid="{676B7C70-3E85-4461-B72E-C8ABC87EA989}" name="Column11535"/>
    <tableColumn id="11538" xr3:uid="{10ECE40B-836D-4BFC-B257-0436874576FA}" name="Column11536"/>
    <tableColumn id="11539" xr3:uid="{28D5AC7F-045C-42A3-9968-9C707B4036D1}" name="Column11537"/>
    <tableColumn id="11540" xr3:uid="{D2224B34-9618-434C-B217-1F1F317CF43C}" name="Column11538"/>
    <tableColumn id="11541" xr3:uid="{984531AE-93AF-4C14-92B0-C20C05FD24E1}" name="Column11539"/>
    <tableColumn id="11542" xr3:uid="{545416E2-52F8-4C52-B806-FA66F80A4B32}" name="Column11540"/>
    <tableColumn id="11543" xr3:uid="{F778EE4F-B49D-4C88-B7EC-6370D8CC6756}" name="Column11541"/>
    <tableColumn id="11544" xr3:uid="{018ADD64-A79B-445D-A81A-E778BA3B265F}" name="Column11542"/>
    <tableColumn id="11545" xr3:uid="{57496BDF-8514-4354-88BF-C7FF622EB8C5}" name="Column11543"/>
    <tableColumn id="11546" xr3:uid="{1748FF54-6815-44C5-B3A4-45A4BC9607EE}" name="Column11544"/>
    <tableColumn id="11547" xr3:uid="{80F5404B-80A3-4609-BB96-479497AF06BA}" name="Column11545"/>
    <tableColumn id="11548" xr3:uid="{65AA6B7F-7D7C-4D84-BACE-B174EE1C3C09}" name="Column11546"/>
    <tableColumn id="11549" xr3:uid="{643A9DC0-B5E2-401B-9232-A4C69365ABC5}" name="Column11547"/>
    <tableColumn id="11550" xr3:uid="{1A297CC3-2F0A-4E35-86C4-0D48F1743661}" name="Column11548"/>
    <tableColumn id="11551" xr3:uid="{2E1180A7-CC4E-439B-B688-EAF377FD0EF7}" name="Column11549"/>
    <tableColumn id="11552" xr3:uid="{3F157C08-0E72-476F-A9E3-126BB7110DD4}" name="Column11550"/>
    <tableColumn id="11553" xr3:uid="{6029E447-2E1C-4E09-A6BC-0A3D5513E2D3}" name="Column11551"/>
    <tableColumn id="11554" xr3:uid="{685DB7C1-F42E-4FD7-B41D-BCF6AB25D05D}" name="Column11552"/>
    <tableColumn id="11555" xr3:uid="{ECAA5CD9-133F-40BD-B21C-15199B4E2A61}" name="Column11553"/>
    <tableColumn id="11556" xr3:uid="{8C813679-FAFA-448B-A60E-3C99E77C45C4}" name="Column11554"/>
    <tableColumn id="11557" xr3:uid="{5A02E49C-1440-41EC-A649-CF74D4334A62}" name="Column11555"/>
    <tableColumn id="11558" xr3:uid="{B6305C73-33F0-4001-AD79-A9A916DD38CD}" name="Column11556"/>
    <tableColumn id="11559" xr3:uid="{9FD4882D-C1F8-4029-9AD1-6484F744DF2A}" name="Column11557"/>
    <tableColumn id="11560" xr3:uid="{EA91E278-7E44-4F0B-BCBD-1D2ACA6648A4}" name="Column11558"/>
    <tableColumn id="11561" xr3:uid="{4DF33967-A490-4026-90F3-87B6F69559BB}" name="Column11559"/>
    <tableColumn id="11562" xr3:uid="{C929DC34-9380-49E2-B154-0B1A0C7971BE}" name="Column11560"/>
    <tableColumn id="11563" xr3:uid="{A1970BE1-D32E-4FC6-9710-6D5283BB738A}" name="Column11561"/>
    <tableColumn id="11564" xr3:uid="{DB5A5622-B85B-4C0D-A4A1-3C49AB6A60DE}" name="Column11562"/>
    <tableColumn id="11565" xr3:uid="{22325334-0F5E-4DF1-BF35-CD6D54802213}" name="Column11563"/>
    <tableColumn id="11566" xr3:uid="{88E405D6-BC31-4ACA-882C-6C701925928F}" name="Column11564"/>
    <tableColumn id="11567" xr3:uid="{AA8EDB3B-AFF1-4925-BAA4-71D193B17FD4}" name="Column11565"/>
    <tableColumn id="11568" xr3:uid="{3D5669D1-85EB-42FB-A430-3350B73692AE}" name="Column11566"/>
    <tableColumn id="11569" xr3:uid="{2F025557-813B-4A20-BE7F-EFBF2B578F82}" name="Column11567"/>
    <tableColumn id="11570" xr3:uid="{15F10A48-7989-443E-A12F-CD8082EFC06E}" name="Column11568"/>
    <tableColumn id="11571" xr3:uid="{9C10DCB8-2884-4B4F-AFD2-835680DCFC08}" name="Column11569"/>
    <tableColumn id="11572" xr3:uid="{B0BB7254-ED32-4153-9A85-6ABD2893A63C}" name="Column11570"/>
    <tableColumn id="11573" xr3:uid="{185926FB-1880-41DF-A7B8-13F08148651C}" name="Column11571"/>
    <tableColumn id="11574" xr3:uid="{0CB46A54-9BF6-4E3C-A458-FFF42BBD9836}" name="Column11572"/>
    <tableColumn id="11575" xr3:uid="{AE01C2CC-278D-480C-B617-F037303FBE3F}" name="Column11573"/>
    <tableColumn id="11576" xr3:uid="{21C1C49F-C4AC-41BA-8C75-22CF32E6B355}" name="Column11574"/>
    <tableColumn id="11577" xr3:uid="{3ADC2E98-7AA5-4E77-9F56-FA9E6483292B}" name="Column11575"/>
    <tableColumn id="11578" xr3:uid="{98327449-5AEB-4831-82B5-CC28D2A950E2}" name="Column11576"/>
    <tableColumn id="11579" xr3:uid="{F5F5D7FF-2DB3-4216-B0D6-59340A7A13C5}" name="Column11577"/>
    <tableColumn id="11580" xr3:uid="{EC1CD795-F34D-4626-863B-B788AE3A984C}" name="Column11578"/>
    <tableColumn id="11581" xr3:uid="{8E45F713-1BFC-4E68-B334-65976AF9C6BD}" name="Column11579"/>
    <tableColumn id="11582" xr3:uid="{92602BD7-3BD0-4C0A-B7B9-48533EF22CEF}" name="Column11580"/>
    <tableColumn id="11583" xr3:uid="{4948A91B-DEE8-4F43-9419-9268A5448993}" name="Column11581"/>
    <tableColumn id="11584" xr3:uid="{E830E717-C1E7-46CB-BB95-D2C8D0E3D09A}" name="Column11582"/>
    <tableColumn id="11585" xr3:uid="{E16A1A4A-A38F-4523-B8C5-41860C3E369A}" name="Column11583"/>
    <tableColumn id="11586" xr3:uid="{461C1671-A951-498C-80E8-1B65A9520690}" name="Column11584"/>
    <tableColumn id="11587" xr3:uid="{270F76D3-84F8-45D1-9E38-2A10DBA63CD9}" name="Column11585"/>
    <tableColumn id="11588" xr3:uid="{E52E289F-3268-4317-B13F-3FCA191F6111}" name="Column11586"/>
    <tableColumn id="11589" xr3:uid="{D022CB0F-04D9-423E-9F64-1763F3DA0A31}" name="Column11587"/>
    <tableColumn id="11590" xr3:uid="{D00AE324-9C33-4B68-946F-DF39A14B57BF}" name="Column11588"/>
    <tableColumn id="11591" xr3:uid="{9F76F348-AC49-4E55-87B0-4C0C31AAD319}" name="Column11589"/>
    <tableColumn id="11592" xr3:uid="{FF03F990-8C04-481C-AF44-01AD64EC2474}" name="Column11590"/>
    <tableColumn id="11593" xr3:uid="{353BEB91-2FF2-41AE-BEC1-BBBC253F25B6}" name="Column11591"/>
    <tableColumn id="11594" xr3:uid="{E6CD72FB-03AE-4144-A106-EAD40B9D9282}" name="Column11592"/>
    <tableColumn id="11595" xr3:uid="{21B954C3-B19A-4E79-AFD3-9D2DF460F9C2}" name="Column11593"/>
    <tableColumn id="11596" xr3:uid="{AA110578-6F40-4224-AAAE-E9D39FC0C732}" name="Column11594"/>
    <tableColumn id="11597" xr3:uid="{DBD9732D-E827-486E-994D-EF520D5D5990}" name="Column11595"/>
    <tableColumn id="11598" xr3:uid="{775930C6-CE21-46F7-AF8D-8BE07866DA0E}" name="Column11596"/>
    <tableColumn id="11599" xr3:uid="{DB195E82-090C-464A-BC17-870331BAA927}" name="Column11597"/>
    <tableColumn id="11600" xr3:uid="{F2E73510-9A37-40B8-A7AF-C62F908A5D81}" name="Column11598"/>
    <tableColumn id="11601" xr3:uid="{D427E781-A12A-4F2D-8874-A3E02369E2FF}" name="Column11599"/>
    <tableColumn id="11602" xr3:uid="{9DDEADFA-DA50-4A4C-A6E9-49DE868B48CB}" name="Column11600"/>
    <tableColumn id="11603" xr3:uid="{9E997872-8ECF-4D59-9AF4-6DFBFF32ADAB}" name="Column11601"/>
    <tableColumn id="11604" xr3:uid="{DD8571EB-80C0-47B4-87DB-8C719CFA25F5}" name="Column11602"/>
    <tableColumn id="11605" xr3:uid="{33943FC8-DC9F-4196-9653-A5AD950F6715}" name="Column11603"/>
    <tableColumn id="11606" xr3:uid="{7F417775-607C-4CDF-AEAC-D43289B1E83B}" name="Column11604"/>
    <tableColumn id="11607" xr3:uid="{802F3D34-DAEE-40EE-AACC-28ADEEFBC154}" name="Column11605"/>
    <tableColumn id="11608" xr3:uid="{522398EB-529C-4692-AF39-E1674A2441A4}" name="Column11606"/>
    <tableColumn id="11609" xr3:uid="{73DEA343-E12D-4A80-88DA-BDFCCDB92FBE}" name="Column11607"/>
    <tableColumn id="11610" xr3:uid="{67E90AF7-3089-46D9-BBA6-03D2FDE59C4B}" name="Column11608"/>
    <tableColumn id="11611" xr3:uid="{4BFEB9E7-9B57-4BBF-8CF3-7A6CD936C769}" name="Column11609"/>
    <tableColumn id="11612" xr3:uid="{3F6F0924-C420-4585-B029-CADB34AF40E5}" name="Column11610"/>
    <tableColumn id="11613" xr3:uid="{486C0B12-1E44-437F-909A-505D41564ACD}" name="Column11611"/>
    <tableColumn id="11614" xr3:uid="{25E0556D-2077-46E0-AAFE-630837B0F3E5}" name="Column11612"/>
    <tableColumn id="11615" xr3:uid="{0C1BB515-122F-4967-8171-98B2261E66EF}" name="Column11613"/>
    <tableColumn id="11616" xr3:uid="{095F1E76-8289-4E8D-8612-B9CD79A9712A}" name="Column11614"/>
    <tableColumn id="11617" xr3:uid="{7C715610-25C0-4149-B027-4FBA3CBA6C0C}" name="Column11615"/>
    <tableColumn id="11618" xr3:uid="{918366E3-BEB3-42EE-8EA0-AE096C9DF721}" name="Column11616"/>
    <tableColumn id="11619" xr3:uid="{2322DF24-D92C-4399-80DE-576B8211AC9C}" name="Column11617"/>
    <tableColumn id="11620" xr3:uid="{6F175A85-0C92-4AA8-A15D-4A9B733924CD}" name="Column11618"/>
    <tableColumn id="11621" xr3:uid="{C8CE3623-7FA6-4044-942E-A423F5947A41}" name="Column11619"/>
    <tableColumn id="11622" xr3:uid="{B5173DBC-7733-4203-AFE7-07C4D22DDB80}" name="Column11620"/>
    <tableColumn id="11623" xr3:uid="{CBECC35E-9FA3-40B6-8E8F-A03A2776BA21}" name="Column11621"/>
    <tableColumn id="11624" xr3:uid="{C2F49965-7ADF-421A-836E-211E8C928E0D}" name="Column11622"/>
    <tableColumn id="11625" xr3:uid="{275814BD-536B-4710-BCDE-7A35C57D3CA4}" name="Column11623"/>
    <tableColumn id="11626" xr3:uid="{6D12545A-9D09-481C-AC56-D87C8A4209B8}" name="Column11624"/>
    <tableColumn id="11627" xr3:uid="{DDA6CB79-EEC5-43C9-8BBB-4A81A7CCD88C}" name="Column11625"/>
    <tableColumn id="11628" xr3:uid="{3B29F643-D260-493E-93CB-8D59FBC7FF52}" name="Column11626"/>
    <tableColumn id="11629" xr3:uid="{4F0574EC-02CA-41F6-A141-CE9F595E065C}" name="Column11627"/>
    <tableColumn id="11630" xr3:uid="{5994E319-4C4E-41C4-8EA7-1E7FB2FE79AF}" name="Column11628"/>
    <tableColumn id="11631" xr3:uid="{6C4761E4-3498-40B6-9DB6-B7ED2B1E6744}" name="Column11629"/>
    <tableColumn id="11632" xr3:uid="{E1B96707-6E25-4CD9-A9A3-71D8911C6250}" name="Column11630"/>
    <tableColumn id="11633" xr3:uid="{51B982D0-1E2D-44A0-ACEA-21658A1C3AD9}" name="Column11631"/>
    <tableColumn id="11634" xr3:uid="{4A4B2DC0-54CD-469F-BD8A-61B388469BA7}" name="Column11632"/>
    <tableColumn id="11635" xr3:uid="{32F1C5F4-9748-4342-9F7C-42C0E6E7A345}" name="Column11633"/>
    <tableColumn id="11636" xr3:uid="{88DC9ADB-B2FA-43AD-BD63-5F0E1F333BE3}" name="Column11634"/>
    <tableColumn id="11637" xr3:uid="{8C0D7367-780B-4DD4-ADA4-BDADB9974478}" name="Column11635"/>
    <tableColumn id="11638" xr3:uid="{52E50C1D-C8CB-4441-AF59-362211828B09}" name="Column11636"/>
    <tableColumn id="11639" xr3:uid="{072EECF3-AE9E-4D44-981C-83E25E626F36}" name="Column11637"/>
    <tableColumn id="11640" xr3:uid="{A4590935-5DD0-463C-AE5F-EDB67517C19E}" name="Column11638"/>
    <tableColumn id="11641" xr3:uid="{7F16AD9F-3910-4425-88A5-DF7F5129ECEB}" name="Column11639"/>
    <tableColumn id="11642" xr3:uid="{C4CCBC7E-78D2-4AB6-87A4-567BCE32ED1B}" name="Column11640"/>
    <tableColumn id="11643" xr3:uid="{FD46FC48-4F40-4F15-BB63-A371B61A3FAE}" name="Column11641"/>
    <tableColumn id="11644" xr3:uid="{90DDAF79-DCB0-4BEE-B326-4F48AC796F6D}" name="Column11642"/>
    <tableColumn id="11645" xr3:uid="{61864757-3866-4B27-99F4-F2172E21E774}" name="Column11643"/>
    <tableColumn id="11646" xr3:uid="{DABEF6F6-9701-4941-B216-80E21F6D73DA}" name="Column11644"/>
    <tableColumn id="11647" xr3:uid="{AAC9F6B8-3858-4D0D-92D3-D6630F1B5ED4}" name="Column11645"/>
    <tableColumn id="11648" xr3:uid="{38C516EE-BBE3-4998-9566-8D24BF3D5259}" name="Column11646"/>
    <tableColumn id="11649" xr3:uid="{920F24F5-93A4-4DB5-87FA-9370160271F8}" name="Column11647"/>
    <tableColumn id="11650" xr3:uid="{47B2B320-BC4C-4AC1-A3E7-1A3F0D4FC2A3}" name="Column11648"/>
    <tableColumn id="11651" xr3:uid="{9A6D1A9E-6907-45CE-86BA-8ECE893B230F}" name="Column11649"/>
    <tableColumn id="11652" xr3:uid="{73CCB37E-4102-440E-9D47-520589877FF3}" name="Column11650"/>
    <tableColumn id="11653" xr3:uid="{C97D7613-D750-4052-8E84-7A383D87E977}" name="Column11651"/>
    <tableColumn id="11654" xr3:uid="{CAAFD1FF-BAAE-4A90-9421-A7EA14FE674A}" name="Column11652"/>
    <tableColumn id="11655" xr3:uid="{C3DFA33F-51C3-49D6-9A60-2D92018C56DC}" name="Column11653"/>
    <tableColumn id="11656" xr3:uid="{457BBB3F-DBFB-4E1B-937A-6EE067E2322B}" name="Column11654"/>
    <tableColumn id="11657" xr3:uid="{3EF832EB-E7B2-4006-85E9-E0C3F54E38CE}" name="Column11655"/>
    <tableColumn id="11658" xr3:uid="{9BFA104B-8461-4071-87BD-A8163EB879C8}" name="Column11656"/>
    <tableColumn id="11659" xr3:uid="{9DDF6A6B-3FB4-4368-B534-5EAF5C40C95F}" name="Column11657"/>
    <tableColumn id="11660" xr3:uid="{19BBD106-81FC-4F07-BF14-908A4D5028F1}" name="Column11658"/>
    <tableColumn id="11661" xr3:uid="{CF0652CE-3974-45F5-815B-36D94F078268}" name="Column11659"/>
    <tableColumn id="11662" xr3:uid="{55222C42-10C7-4C35-8B94-61232498EC98}" name="Column11660"/>
    <tableColumn id="11663" xr3:uid="{223698E9-DDD8-46F1-8FC0-3ABDFF6D70BF}" name="Column11661"/>
    <tableColumn id="11664" xr3:uid="{F8DB3A7E-0E08-4997-ABE4-5BD36CEC22E2}" name="Column11662"/>
    <tableColumn id="11665" xr3:uid="{CC6A6F36-E66F-4F17-A63C-6C1B324BF315}" name="Column11663"/>
    <tableColumn id="11666" xr3:uid="{535365D3-E4EA-4103-93C9-8C912A1074BA}" name="Column11664"/>
    <tableColumn id="11667" xr3:uid="{8144D496-9008-4336-AA12-1EE97305471D}" name="Column11665"/>
    <tableColumn id="11668" xr3:uid="{D1B5C876-29FD-4D1F-9462-45D2CCEFFDC1}" name="Column11666"/>
    <tableColumn id="11669" xr3:uid="{8165BE33-DEAF-4C01-95B3-09B1A8ECC90E}" name="Column11667"/>
    <tableColumn id="11670" xr3:uid="{38DDBAA6-54C0-4925-A1A9-97021C58CB46}" name="Column11668"/>
    <tableColumn id="11671" xr3:uid="{29E031C7-E117-4B3E-BEAB-3CFE934F9BCD}" name="Column11669"/>
    <tableColumn id="11672" xr3:uid="{69BCD83C-ECB2-4FF6-B6D5-3A67FB03F2C2}" name="Column11670"/>
    <tableColumn id="11673" xr3:uid="{1B87706D-15B5-4596-99E3-FC94AA81B51A}" name="Column11671"/>
    <tableColumn id="11674" xr3:uid="{3EE0A1A8-73BD-4D48-92DA-383C385B9EB1}" name="Column11672"/>
    <tableColumn id="11675" xr3:uid="{F8185C84-83BE-4B36-B8A7-6F4B1FEB8103}" name="Column11673"/>
    <tableColumn id="11676" xr3:uid="{517DC331-24C2-4735-8A35-5A97DE86CBB8}" name="Column11674"/>
    <tableColumn id="11677" xr3:uid="{66EACCFC-E924-41D2-BE4E-CB9BACCDDB2E}" name="Column11675"/>
    <tableColumn id="11678" xr3:uid="{593825F7-0AA7-4B62-8C2C-364C7D3F054C}" name="Column11676"/>
    <tableColumn id="11679" xr3:uid="{4E38BBF4-C427-4AAE-9E95-6F7E508510A6}" name="Column11677"/>
    <tableColumn id="11680" xr3:uid="{12E27A69-55A3-4FB6-B968-4EACFD633493}" name="Column11678"/>
    <tableColumn id="11681" xr3:uid="{A5EB1ED1-4061-490F-9D71-847AF52ECE90}" name="Column11679"/>
    <tableColumn id="11682" xr3:uid="{FCB08833-3E09-4B14-9AF2-C589B9947603}" name="Column11680"/>
    <tableColumn id="11683" xr3:uid="{D66255FF-7915-4242-AFFE-D4DD7B5A9618}" name="Column11681"/>
    <tableColumn id="11684" xr3:uid="{4534BA69-CAF0-4024-8285-1ADD549F43FD}" name="Column11682"/>
    <tableColumn id="11685" xr3:uid="{A66CD8AA-BC01-4274-917D-7CB24B034C64}" name="Column11683"/>
    <tableColumn id="11686" xr3:uid="{D3C5194E-A8DD-4F0F-A0E4-0E84F11C63C9}" name="Column11684"/>
    <tableColumn id="11687" xr3:uid="{ED0A80C0-9694-4317-BB39-AB0197A4F77E}" name="Column11685"/>
    <tableColumn id="11688" xr3:uid="{05B81ACC-ADE5-4EF0-B901-2F64A6A1B948}" name="Column11686"/>
    <tableColumn id="11689" xr3:uid="{D4A34C19-EF75-4B23-A721-D43748F9438D}" name="Column11687"/>
    <tableColumn id="11690" xr3:uid="{EC323980-2E4A-4C17-8199-06593DAE8AF0}" name="Column11688"/>
    <tableColumn id="11691" xr3:uid="{2F157644-2718-4F27-A332-84D754A5F93E}" name="Column11689"/>
    <tableColumn id="11692" xr3:uid="{4CA6ABB6-59D0-4B57-BF31-162004DBA9BD}" name="Column11690"/>
    <tableColumn id="11693" xr3:uid="{548ECD0E-1E21-4BA2-A9AD-4B59B0F6B4A4}" name="Column11691"/>
    <tableColumn id="11694" xr3:uid="{05E79975-EEC4-4CBC-8960-D46C45CB2E86}" name="Column11692"/>
    <tableColumn id="11695" xr3:uid="{D7DF3B92-47F4-4C08-AA3F-241DC724EFAD}" name="Column11693"/>
    <tableColumn id="11696" xr3:uid="{08AC0BFD-8C47-4FDB-9B2D-63575D34A55C}" name="Column11694"/>
    <tableColumn id="11697" xr3:uid="{2149003C-D359-4CB9-BB61-A0204F63CBA9}" name="Column11695"/>
    <tableColumn id="11698" xr3:uid="{000547A9-FA98-4B9B-9B72-CEB2E393F793}" name="Column11696"/>
    <tableColumn id="11699" xr3:uid="{1032A8CB-9EDD-496D-8D98-FA0B7C40452D}" name="Column11697"/>
    <tableColumn id="11700" xr3:uid="{3AF68F32-ACD3-4614-BEB3-F9C14975BB0F}" name="Column11698"/>
    <tableColumn id="11701" xr3:uid="{2349B8B0-73AD-4A42-9529-160FF84157AC}" name="Column11699"/>
    <tableColumn id="11702" xr3:uid="{4A3754DB-A9D2-46EB-A6E7-97485C57968A}" name="Column11700"/>
    <tableColumn id="11703" xr3:uid="{77B3A3E9-EA54-45E1-94B7-20F177EEC95C}" name="Column11701"/>
    <tableColumn id="11704" xr3:uid="{A3096447-A281-4831-BCEC-A986ACA22A84}" name="Column11702"/>
    <tableColumn id="11705" xr3:uid="{2570B994-CDD3-4F0F-8371-C98E4CF6B36A}" name="Column11703"/>
    <tableColumn id="11706" xr3:uid="{09BC647A-52F5-4A54-A1C3-8C9359494D5E}" name="Column11704"/>
    <tableColumn id="11707" xr3:uid="{FDE4BE92-5EFD-4270-80B8-D7FA7D78744A}" name="Column11705"/>
    <tableColumn id="11708" xr3:uid="{A51BA92B-87F7-4A62-8EE4-1A172EB3E163}" name="Column11706"/>
    <tableColumn id="11709" xr3:uid="{15A52D5B-70E0-465A-9A02-ACA8E3709EFB}" name="Column11707"/>
    <tableColumn id="11710" xr3:uid="{A50665DF-6BEA-4155-866F-21D5D92D4A38}" name="Column11708"/>
    <tableColumn id="11711" xr3:uid="{30C69DCE-5EB9-48A4-B4D9-B0D42FECB6E9}" name="Column11709"/>
    <tableColumn id="11712" xr3:uid="{1788CA56-4ECE-4286-A46F-86B5B8475EF9}" name="Column11710"/>
    <tableColumn id="11713" xr3:uid="{06AD8A44-C775-48B1-A32A-1FD8280382E2}" name="Column11711"/>
    <tableColumn id="11714" xr3:uid="{676608E5-4134-4D68-8AE6-2A2C579605E6}" name="Column11712"/>
    <tableColumn id="11715" xr3:uid="{1D813BCA-74C6-4C61-9B58-9F10B125C1BA}" name="Column11713"/>
    <tableColumn id="11716" xr3:uid="{B746BEF1-8CFD-4ACF-90D1-CF7FA9D770E0}" name="Column11714"/>
    <tableColumn id="11717" xr3:uid="{110AFB9F-3DEA-482C-BAF9-BBBAEBD0C5AD}" name="Column11715"/>
    <tableColumn id="11718" xr3:uid="{56AD88D0-ED9F-408F-A46F-28CAF548713B}" name="Column11716"/>
    <tableColumn id="11719" xr3:uid="{C1167D1A-C19B-42C2-B50B-1F2FE43A25C2}" name="Column11717"/>
    <tableColumn id="11720" xr3:uid="{FCC31042-756B-4D3B-A0F0-490EA23360DC}" name="Column11718"/>
    <tableColumn id="11721" xr3:uid="{FB105C41-C146-43F0-8A4C-613DB41B86B9}" name="Column11719"/>
    <tableColumn id="11722" xr3:uid="{D0C9B8B3-4E18-42CC-B3D2-26F0B227D56C}" name="Column11720"/>
    <tableColumn id="11723" xr3:uid="{9FC7F8FF-D2DA-4214-A26E-7403F73D16AC}" name="Column11721"/>
    <tableColumn id="11724" xr3:uid="{327864F0-41C3-4771-A4B9-E13CB34308FD}" name="Column11722"/>
    <tableColumn id="11725" xr3:uid="{9A3B2F4D-ADA6-4F99-9195-78364112543B}" name="Column11723"/>
    <tableColumn id="11726" xr3:uid="{63E8E8FD-9E84-4601-83FD-94FBE1EB38FC}" name="Column11724"/>
    <tableColumn id="11727" xr3:uid="{11411153-833B-4333-BBA8-36D5C70CAB0D}" name="Column11725"/>
    <tableColumn id="11728" xr3:uid="{6FE7C5FC-A5C6-4B93-8F2A-B35ABE52C4C9}" name="Column11726"/>
    <tableColumn id="11729" xr3:uid="{7A95D1FF-864A-4D27-B56A-D97674F966E4}" name="Column11727"/>
    <tableColumn id="11730" xr3:uid="{A4B8BB60-A2B9-473B-8CE3-7BF1621163C0}" name="Column11728"/>
    <tableColumn id="11731" xr3:uid="{8BC6C26A-C7AC-4070-8AED-7EF48C80273B}" name="Column11729"/>
    <tableColumn id="11732" xr3:uid="{96895EFA-E278-4F50-8508-628B2AED417A}" name="Column11730"/>
    <tableColumn id="11733" xr3:uid="{B8A39726-888F-4671-BD10-0B81745EFE19}" name="Column11731"/>
    <tableColumn id="11734" xr3:uid="{3F1B815C-7C98-4453-BD2B-D4E98990427F}" name="Column11732"/>
    <tableColumn id="11735" xr3:uid="{9A4E5759-E0B2-452D-92AA-3F237C4A3C1A}" name="Column11733"/>
    <tableColumn id="11736" xr3:uid="{C63E2798-6645-4DEF-9032-6B9816A3A4FE}" name="Column11734"/>
    <tableColumn id="11737" xr3:uid="{D839885C-0576-4A39-B8BE-BC99CC0A13F8}" name="Column11735"/>
    <tableColumn id="11738" xr3:uid="{809CCB46-C5AE-4511-9BB8-FDF867AFE186}" name="Column11736"/>
    <tableColumn id="11739" xr3:uid="{460E1F60-7CFC-406B-BC4A-56B9334F204C}" name="Column11737"/>
    <tableColumn id="11740" xr3:uid="{FA6B40DC-2707-42D2-BC0B-3176074A3D90}" name="Column11738"/>
    <tableColumn id="11741" xr3:uid="{9D4C2C4C-9DD8-4B4D-BABD-8D3916C9F18E}" name="Column11739"/>
    <tableColumn id="11742" xr3:uid="{DE57B110-7C5D-4105-BD60-2D2B19CFE4E6}" name="Column11740"/>
    <tableColumn id="11743" xr3:uid="{C0B60C3B-7659-4707-B110-7E9467A0FB87}" name="Column11741"/>
    <tableColumn id="11744" xr3:uid="{1C556EEB-2BAE-4C18-A7EF-9E440674C5AC}" name="Column11742"/>
    <tableColumn id="11745" xr3:uid="{ADB0B0B9-835C-4E4F-9331-F3280C4A7068}" name="Column11743"/>
    <tableColumn id="11746" xr3:uid="{9ED886BA-4EDD-4AEE-9A83-A7ECE41EBB1C}" name="Column11744"/>
    <tableColumn id="11747" xr3:uid="{ED3390CD-A834-42C4-9CD0-D8DF8CE5BF48}" name="Column11745"/>
    <tableColumn id="11748" xr3:uid="{96654869-7A77-417D-BF4D-1CB57CBCDDBC}" name="Column11746"/>
    <tableColumn id="11749" xr3:uid="{F21FD368-90CC-40AA-AABA-AF5486E50751}" name="Column11747"/>
    <tableColumn id="11750" xr3:uid="{526B3463-40AE-4C86-A4BB-577AB2BF798D}" name="Column11748"/>
    <tableColumn id="11751" xr3:uid="{78CE732E-154A-490D-81B8-62C79D5BECC1}" name="Column11749"/>
    <tableColumn id="11752" xr3:uid="{8045F78E-4D3C-4F7E-8D64-EBDDB57318EC}" name="Column11750"/>
    <tableColumn id="11753" xr3:uid="{D118E54A-1E03-4571-BF96-5728064B6B90}" name="Column11751"/>
    <tableColumn id="11754" xr3:uid="{BD8C6CF9-C7CF-4816-993A-8AB97FA8C01A}" name="Column11752"/>
    <tableColumn id="11755" xr3:uid="{B3533A97-B675-4D72-9DF1-EF263305DE48}" name="Column11753"/>
    <tableColumn id="11756" xr3:uid="{720FD4AE-F419-47A0-8A62-253BC1F572DC}" name="Column11754"/>
    <tableColumn id="11757" xr3:uid="{9E0C6233-444D-4983-9DCD-3EC53BE719F3}" name="Column11755"/>
    <tableColumn id="11758" xr3:uid="{DCDC1B0D-D156-41DA-90FA-8704AA2116A8}" name="Column11756"/>
    <tableColumn id="11759" xr3:uid="{A065DBF9-54AC-4FB9-803D-3EBC01938F78}" name="Column11757"/>
    <tableColumn id="11760" xr3:uid="{FEBDA140-05BD-4FAC-85C6-CC938FD08398}" name="Column11758"/>
    <tableColumn id="11761" xr3:uid="{28062233-2B50-4743-A6F5-0EA1FA4682A0}" name="Column11759"/>
    <tableColumn id="11762" xr3:uid="{07DC59E0-1EC5-4982-8F82-D77D90A15740}" name="Column11760"/>
    <tableColumn id="11763" xr3:uid="{A7E01649-49EF-4F24-B19D-6A712CF4B6CB}" name="Column11761"/>
    <tableColumn id="11764" xr3:uid="{95FEA6A9-8F8D-42CB-B1DF-8AF4635BCEEB}" name="Column11762"/>
    <tableColumn id="11765" xr3:uid="{54D9E5B1-5C03-406E-A47D-171549092C76}" name="Column11763"/>
    <tableColumn id="11766" xr3:uid="{6F62CF9B-1476-45AF-B262-209D251B9B40}" name="Column11764"/>
    <tableColumn id="11767" xr3:uid="{863ADCEE-6BE1-4626-B051-B6C3F3609323}" name="Column11765"/>
    <tableColumn id="11768" xr3:uid="{794CAE68-28DF-4D9F-A5E3-C9F9D6093008}" name="Column11766"/>
    <tableColumn id="11769" xr3:uid="{8D2E853B-E53A-4F94-9754-2859E1764155}" name="Column11767"/>
    <tableColumn id="11770" xr3:uid="{DF7AC13F-AF82-4CD6-A21C-7AFF629F09F3}" name="Column11768"/>
    <tableColumn id="11771" xr3:uid="{BC5F6949-A6D7-4AF0-B1E5-E0B584967151}" name="Column11769"/>
    <tableColumn id="11772" xr3:uid="{A8CFDAD7-1182-47E5-BD3F-35D5E6C9F762}" name="Column11770"/>
    <tableColumn id="11773" xr3:uid="{AA0AA3B1-2525-4A47-BE74-7642FD9DE0F7}" name="Column11771"/>
    <tableColumn id="11774" xr3:uid="{872EA729-DD97-43E9-8683-27574A6BE03A}" name="Column11772"/>
    <tableColumn id="11775" xr3:uid="{4A2E7063-3833-4F6F-A097-E7902340542F}" name="Column11773"/>
    <tableColumn id="11776" xr3:uid="{565075FF-BA6E-4590-98C4-DCC1D6D50173}" name="Column11774"/>
    <tableColumn id="11777" xr3:uid="{A3B8822D-E925-4CC3-BEF5-9C4838E585B2}" name="Column11775"/>
    <tableColumn id="11778" xr3:uid="{06C44F85-08B9-4900-838E-9D256C3ED85F}" name="Column11776"/>
    <tableColumn id="11779" xr3:uid="{0922C5A0-6F6A-4BA2-9936-0FA9FC605439}" name="Column11777"/>
    <tableColumn id="11780" xr3:uid="{DD524F86-4763-4C71-8B2C-5340FFA15523}" name="Column11778"/>
    <tableColumn id="11781" xr3:uid="{9E4811DD-CCB1-4235-9B8D-4D1C9575410D}" name="Column11779"/>
    <tableColumn id="11782" xr3:uid="{E43B664E-8702-4225-8158-6E131DF9A921}" name="Column11780"/>
    <tableColumn id="11783" xr3:uid="{F8A49B30-2857-4FF0-8DAC-B1727C52E0A8}" name="Column11781"/>
    <tableColumn id="11784" xr3:uid="{DCE9E8B3-2CA1-4A88-8A96-5D1C5C77FC8F}" name="Column11782"/>
    <tableColumn id="11785" xr3:uid="{9F135F3D-F2B0-4901-8536-0217A09C415A}" name="Column11783"/>
    <tableColumn id="11786" xr3:uid="{BC4E6869-E585-47B9-9626-F2593D90BAED}" name="Column11784"/>
    <tableColumn id="11787" xr3:uid="{C0DC5F8F-101D-40A6-9BE5-AB4D48033185}" name="Column11785"/>
    <tableColumn id="11788" xr3:uid="{AAEC5FF0-5B15-4188-B892-34DCAED385DB}" name="Column11786"/>
    <tableColumn id="11789" xr3:uid="{E08BEAD6-13BF-4096-9203-388CFB88D214}" name="Column11787"/>
    <tableColumn id="11790" xr3:uid="{5CB313B1-B420-4382-A1A8-38988E70700E}" name="Column11788"/>
    <tableColumn id="11791" xr3:uid="{16DFEEAB-690E-460E-A0B8-128246B73DFC}" name="Column11789"/>
    <tableColumn id="11792" xr3:uid="{2DCA9013-769E-49A3-AF0A-37E78A4C7D21}" name="Column11790"/>
    <tableColumn id="11793" xr3:uid="{53517433-B456-4896-8ECE-6735802C180C}" name="Column11791"/>
    <tableColumn id="11794" xr3:uid="{5A0D72B0-BC79-4AB2-B9C0-713DD5D79D92}" name="Column11792"/>
    <tableColumn id="11795" xr3:uid="{C11306FF-29F6-4B19-A7DF-1304FEC19185}" name="Column11793"/>
    <tableColumn id="11796" xr3:uid="{24EC4FD7-E99E-4196-8480-45D15CC78656}" name="Column11794"/>
    <tableColumn id="11797" xr3:uid="{B6774271-87D8-4935-AEB5-7A53E5EBADC8}" name="Column11795"/>
    <tableColumn id="11798" xr3:uid="{1A717FFF-AE0E-4369-AC56-B784A9A09CC5}" name="Column11796"/>
    <tableColumn id="11799" xr3:uid="{B0F4E29F-5494-4937-ABBD-387217272C9A}" name="Column11797"/>
    <tableColumn id="11800" xr3:uid="{797023BF-0805-45FB-87DB-2F542C399B46}" name="Column11798"/>
    <tableColumn id="11801" xr3:uid="{88A997D3-2B7A-418B-822D-8DCC8BE393F7}" name="Column11799"/>
    <tableColumn id="11802" xr3:uid="{EEB1C4BF-0A7F-4C17-B752-D19D87E184F5}" name="Column11800"/>
    <tableColumn id="11803" xr3:uid="{89600D97-5E0F-4B01-91D0-7F83D007C36B}" name="Column11801"/>
    <tableColumn id="11804" xr3:uid="{0C6B4B30-3790-463B-A1F3-0C064F2F5BF1}" name="Column11802"/>
    <tableColumn id="11805" xr3:uid="{651A26CF-09A7-42DC-981F-448451D962EC}" name="Column11803"/>
    <tableColumn id="11806" xr3:uid="{65B687F0-214A-4D22-93C7-B2AFBE586FFA}" name="Column11804"/>
    <tableColumn id="11807" xr3:uid="{E4A7CB68-F995-4C6C-8211-C20FE0ADDF7C}" name="Column11805"/>
    <tableColumn id="11808" xr3:uid="{E6F80A9B-6B34-4400-AC92-6152E56C16A8}" name="Column11806"/>
    <tableColumn id="11809" xr3:uid="{A707D165-2DC8-4DF4-9DF4-E558E44D16CB}" name="Column11807"/>
    <tableColumn id="11810" xr3:uid="{CCC9EE02-4199-4874-8861-9AE843CD79D7}" name="Column11808"/>
    <tableColumn id="11811" xr3:uid="{C7803E65-5D32-473C-ACAB-5EB2F188A999}" name="Column11809"/>
    <tableColumn id="11812" xr3:uid="{A3CF0ADB-F506-4A27-A1F4-CA805A50D6A3}" name="Column11810"/>
    <tableColumn id="11813" xr3:uid="{CAEA96BC-5F85-4B38-BE4B-D20CF32DBF45}" name="Column11811"/>
    <tableColumn id="11814" xr3:uid="{4A158552-5D93-4832-B1DD-686611149C7C}" name="Column11812"/>
    <tableColumn id="11815" xr3:uid="{42F8FF70-F8EC-4661-BA87-AF9C8B245EA1}" name="Column11813"/>
    <tableColumn id="11816" xr3:uid="{BB450CB7-FCE6-411D-B609-FBB72B8A9899}" name="Column11814"/>
    <tableColumn id="11817" xr3:uid="{2B48CB55-FD24-4DF6-89B1-B6C6DB5A1BFE}" name="Column11815"/>
    <tableColumn id="11818" xr3:uid="{F5EEAD7E-8D7F-4023-9CE3-753209FB5277}" name="Column11816"/>
    <tableColumn id="11819" xr3:uid="{5E744AF1-C33C-4A78-AD61-866FDAC9428D}" name="Column11817"/>
    <tableColumn id="11820" xr3:uid="{4945A017-BCA6-4012-BE3B-136A51D77A71}" name="Column11818"/>
    <tableColumn id="11821" xr3:uid="{8C65B5EF-E91F-40BF-A254-4609EE938754}" name="Column11819"/>
    <tableColumn id="11822" xr3:uid="{21740783-9392-4798-B8EC-A54782C6352E}" name="Column11820"/>
    <tableColumn id="11823" xr3:uid="{54394C42-3B95-410F-A54F-73CB060B2B72}" name="Column11821"/>
    <tableColumn id="11824" xr3:uid="{5333AE58-8B73-4618-8C7F-9B54689F6875}" name="Column11822"/>
    <tableColumn id="11825" xr3:uid="{49463BCE-2C49-472E-ADDA-360E0DC0D892}" name="Column11823"/>
    <tableColumn id="11826" xr3:uid="{1959EE72-9263-4299-8EBB-F8E03AD45FFC}" name="Column11824"/>
    <tableColumn id="11827" xr3:uid="{1FC90B5B-2A9D-4458-9DC5-6E8CEAAD0C1D}" name="Column11825"/>
    <tableColumn id="11828" xr3:uid="{EF24F189-0EA1-4774-9708-56EAFAF2F239}" name="Column11826"/>
    <tableColumn id="11829" xr3:uid="{A3EE273B-C961-4522-8449-D2049319348C}" name="Column11827"/>
    <tableColumn id="11830" xr3:uid="{01973A03-E1C1-4496-9264-21816C2C6816}" name="Column11828"/>
    <tableColumn id="11831" xr3:uid="{E8E9771E-CD44-4B34-B578-C8587797400E}" name="Column11829"/>
    <tableColumn id="11832" xr3:uid="{25BF16B1-5009-4D83-8284-BC01A019C4CC}" name="Column11830"/>
    <tableColumn id="11833" xr3:uid="{86790179-5D5D-4EDB-B6AC-ADEE7D1AEC25}" name="Column11831"/>
    <tableColumn id="11834" xr3:uid="{B5CC6DCC-7BAE-4543-ABE3-C7F3A0B5DB29}" name="Column11832"/>
    <tableColumn id="11835" xr3:uid="{8CBA827D-BE6D-4644-A75C-6273927ED834}" name="Column11833"/>
    <tableColumn id="11836" xr3:uid="{83681C16-8A2C-48E4-B7D5-AC7D97124ECC}" name="Column11834"/>
    <tableColumn id="11837" xr3:uid="{02F242F9-3416-4297-9D95-ECA480EA92E4}" name="Column11835"/>
    <tableColumn id="11838" xr3:uid="{7AC02007-D192-4D99-9FB2-8D354E817670}" name="Column11836"/>
    <tableColumn id="11839" xr3:uid="{E887583D-2CBF-4C86-AC6A-2E81D1D33ABE}" name="Column11837"/>
    <tableColumn id="11840" xr3:uid="{A822424D-3D0D-4951-9C09-D1FCB590D2D4}" name="Column11838"/>
    <tableColumn id="11841" xr3:uid="{AF0FDF4F-4BAA-4F4F-B11F-6422BDE9152F}" name="Column11839"/>
    <tableColumn id="11842" xr3:uid="{E0DDE256-73F5-41F1-8FD6-F1A5C79DA981}" name="Column11840"/>
    <tableColumn id="11843" xr3:uid="{E60B1F92-089F-471D-8ADA-21D74D80964F}" name="Column11841"/>
    <tableColumn id="11844" xr3:uid="{22C1BA4C-8814-4CAE-B6F5-15D6C53C480D}" name="Column11842"/>
    <tableColumn id="11845" xr3:uid="{CBE9AE9A-3EF0-44FF-93C5-AC678ADE0915}" name="Column11843"/>
    <tableColumn id="11846" xr3:uid="{4AD0D0BA-924A-49B2-BA8D-ED1ED8A75C6B}" name="Column11844"/>
    <tableColumn id="11847" xr3:uid="{7A94B081-8DE1-4386-A3C2-983119FB1B0A}" name="Column11845"/>
    <tableColumn id="11848" xr3:uid="{0B9290D5-E86A-43E5-AF64-386BA5B8DC72}" name="Column11846"/>
    <tableColumn id="11849" xr3:uid="{49C3B673-5E29-4D12-9751-65E397904E61}" name="Column11847"/>
    <tableColumn id="11850" xr3:uid="{44356D62-6701-439A-8C95-CA055A639EDE}" name="Column11848"/>
    <tableColumn id="11851" xr3:uid="{01231571-F9CD-4948-B48F-105904477E30}" name="Column11849"/>
    <tableColumn id="11852" xr3:uid="{A13B7AC0-788D-4E7B-AD1E-627E02C1C9FD}" name="Column11850"/>
    <tableColumn id="11853" xr3:uid="{6FFDF48B-D6FA-4EC7-BA7E-B8E7BE8E2224}" name="Column11851"/>
    <tableColumn id="11854" xr3:uid="{34084671-BC07-4AE5-96DC-39C18B547339}" name="Column11852"/>
    <tableColumn id="11855" xr3:uid="{5DFFA455-77F6-445C-A030-ECF984EBD807}" name="Column11853"/>
    <tableColumn id="11856" xr3:uid="{520C5703-C81C-4DC8-8F62-27EFBFE47E51}" name="Column11854"/>
    <tableColumn id="11857" xr3:uid="{469FBABE-F68C-4D77-8A85-1F1C5FA56D65}" name="Column11855"/>
    <tableColumn id="11858" xr3:uid="{1B2FD3FE-6617-4C61-AE73-53E995A5E7EF}" name="Column11856"/>
    <tableColumn id="11859" xr3:uid="{1285AF0A-7918-4524-842A-4B52B62981E0}" name="Column11857"/>
    <tableColumn id="11860" xr3:uid="{E4FA3564-CA79-4D8F-8C2A-27A43FC6DF9B}" name="Column11858"/>
    <tableColumn id="11861" xr3:uid="{7054A705-3F18-4D80-9FA8-27F72F59FCEB}" name="Column11859"/>
    <tableColumn id="11862" xr3:uid="{18037F99-F841-4D77-B3D4-69ADB5E73949}" name="Column11860"/>
    <tableColumn id="11863" xr3:uid="{546575AF-37A8-4E17-96E1-90C6DF2479DA}" name="Column11861"/>
    <tableColumn id="11864" xr3:uid="{FA08D386-788E-4FAC-BAE1-39224E822DC6}" name="Column11862"/>
    <tableColumn id="11865" xr3:uid="{40790274-FB05-4412-9CFC-C19C4FA358E6}" name="Column11863"/>
    <tableColumn id="11866" xr3:uid="{DEC4A66D-6789-40F2-A2A6-E4C9C775B60F}" name="Column11864"/>
    <tableColumn id="11867" xr3:uid="{5E920A92-85E9-47B7-BD64-812830E5E136}" name="Column11865"/>
    <tableColumn id="11868" xr3:uid="{ACC5B356-3E2B-4C1A-9666-72093F9B1FDA}" name="Column11866"/>
    <tableColumn id="11869" xr3:uid="{B33235DA-3C2E-4383-86E8-9237AFF7CAB8}" name="Column11867"/>
    <tableColumn id="11870" xr3:uid="{453CDBFD-D86E-4050-9D4B-1931C005A8F9}" name="Column11868"/>
    <tableColumn id="11871" xr3:uid="{E868035E-8724-41C1-AE7F-981705E80222}" name="Column11869"/>
    <tableColumn id="11872" xr3:uid="{5C5F0D1D-EE0A-4D5B-B531-9F71C2AA7F27}" name="Column11870"/>
    <tableColumn id="11873" xr3:uid="{5CBE27C4-7EBD-4FB4-A6EA-7A13EBB2D024}" name="Column11871"/>
    <tableColumn id="11874" xr3:uid="{F0865330-8A59-4A8A-96D7-2CECC1BDB654}" name="Column11872"/>
    <tableColumn id="11875" xr3:uid="{0F7EEEC0-7181-45D4-80AB-9798FE1130EB}" name="Column11873"/>
    <tableColumn id="11876" xr3:uid="{1339AC59-58E6-4AC6-981B-F57F4AF000C1}" name="Column11874"/>
    <tableColumn id="11877" xr3:uid="{7DDAC9CF-8522-4AAA-941E-02E04E7B032E}" name="Column11875"/>
    <tableColumn id="11878" xr3:uid="{E8F45361-7D91-4593-9D2A-D3F99A9E5511}" name="Column11876"/>
    <tableColumn id="11879" xr3:uid="{3F2A0D46-97C4-4B4A-8A84-FBC27769A5DB}" name="Column11877"/>
    <tableColumn id="11880" xr3:uid="{2451C1BE-0A4A-41B4-9D44-F22B56489E12}" name="Column11878"/>
    <tableColumn id="11881" xr3:uid="{22A2B49D-536E-469D-B1E0-5590C08BAD47}" name="Column11879"/>
    <tableColumn id="11882" xr3:uid="{46D1F2EA-9182-4ECB-9498-01509180B06A}" name="Column11880"/>
    <tableColumn id="11883" xr3:uid="{3F496805-8023-4BBC-9E64-BE07052B6C7C}" name="Column11881"/>
    <tableColumn id="11884" xr3:uid="{5FD2B257-9DAC-448E-A5ED-B68FA04A8FFD}" name="Column11882"/>
    <tableColumn id="11885" xr3:uid="{312872ED-A410-46F7-9352-A08BCF422D94}" name="Column11883"/>
    <tableColumn id="11886" xr3:uid="{30324B7E-434A-47C9-B998-B277476C5A70}" name="Column11884"/>
    <tableColumn id="11887" xr3:uid="{620E90AA-93B3-4E20-AA17-99C539578AA9}" name="Column11885"/>
    <tableColumn id="11888" xr3:uid="{1904F58F-7C84-4BF0-BFC8-2EACAB5ED6F0}" name="Column11886"/>
    <tableColumn id="11889" xr3:uid="{2D105129-5957-433C-BAC8-9F6509F963F5}" name="Column11887"/>
    <tableColumn id="11890" xr3:uid="{15D21FEB-B55F-459C-8ACF-DFEA6E48198C}" name="Column11888"/>
    <tableColumn id="11891" xr3:uid="{28134A19-915F-4FB3-9BD2-BE2CA9B802C9}" name="Column11889"/>
    <tableColumn id="11892" xr3:uid="{F93AA089-02DD-49CE-B4C9-695BAC76A76C}" name="Column11890"/>
    <tableColumn id="11893" xr3:uid="{91B7CFDA-4A10-419E-B7FC-BB3F32E0574B}" name="Column11891"/>
    <tableColumn id="11894" xr3:uid="{5342B418-C64C-4390-88E9-E6F037B7CD44}" name="Column11892"/>
    <tableColumn id="11895" xr3:uid="{92179BE0-AE1D-409D-9D5B-09BFA129339B}" name="Column11893"/>
    <tableColumn id="11896" xr3:uid="{E34A99BE-321B-4075-A6F5-949FDCF5DADE}" name="Column11894"/>
    <tableColumn id="11897" xr3:uid="{68F4B30A-9F4F-4C67-AE4A-214450028275}" name="Column11895"/>
    <tableColumn id="11898" xr3:uid="{16830481-72B8-4136-AEBD-16C431475189}" name="Column11896"/>
    <tableColumn id="11899" xr3:uid="{5062EEA8-A321-4879-A902-2241CB6FC80A}" name="Column11897"/>
    <tableColumn id="11900" xr3:uid="{0916158E-4FFF-4EED-9D72-6A20D1AFB8F2}" name="Column11898"/>
    <tableColumn id="11901" xr3:uid="{09A9DD9B-3E01-4A32-AB2C-A937E456F857}" name="Column11899"/>
    <tableColumn id="11902" xr3:uid="{FB3489CE-D112-49E8-8280-029CFDA7D75F}" name="Column11900"/>
    <tableColumn id="11903" xr3:uid="{553AEC9F-FD1D-4F0C-8206-91B3B3A6034E}" name="Column11901"/>
    <tableColumn id="11904" xr3:uid="{AA9BB69C-94D3-4B06-AF6C-7BB5CC80A78E}" name="Column11902"/>
    <tableColumn id="11905" xr3:uid="{3CFA8DB3-D903-4C80-8FD0-DEA29F03B4BE}" name="Column11903"/>
    <tableColumn id="11906" xr3:uid="{D495082E-C14A-44C9-BC34-363D39050DD6}" name="Column11904"/>
    <tableColumn id="11907" xr3:uid="{EC5E1E52-6268-4E39-9794-93ECE5AB2866}" name="Column11905"/>
    <tableColumn id="11908" xr3:uid="{C267D068-C3BF-402C-93C0-DC5FB611D488}" name="Column11906"/>
    <tableColumn id="11909" xr3:uid="{3E8F1C7E-5E25-4B7F-9250-54C10FB301CC}" name="Column11907"/>
    <tableColumn id="11910" xr3:uid="{D0DBCE44-D105-4262-8F9F-B7BCC540A2FE}" name="Column11908"/>
    <tableColumn id="11911" xr3:uid="{163AD298-C74D-4299-8EA3-1A27DFAB244A}" name="Column11909"/>
    <tableColumn id="11912" xr3:uid="{C782A800-343E-41DF-869A-0CF0E0DCAECA}" name="Column11910"/>
    <tableColumn id="11913" xr3:uid="{602170FC-1254-4022-9648-566DE09F2BBE}" name="Column11911"/>
    <tableColumn id="11914" xr3:uid="{90A4EA2E-60A9-463D-BBEE-F5F5DAE46D4B}" name="Column11912"/>
    <tableColumn id="11915" xr3:uid="{29F82659-9DE8-41C1-9894-CDF64EE4BF12}" name="Column11913"/>
    <tableColumn id="11916" xr3:uid="{3631F8E5-8442-40BB-B73F-6888FB0DDC72}" name="Column11914"/>
    <tableColumn id="11917" xr3:uid="{3BC548C3-A3AB-4F22-9EED-A96523B6F550}" name="Column11915"/>
    <tableColumn id="11918" xr3:uid="{B0C1C720-72F2-45C5-A3BD-B4A5450617DE}" name="Column11916"/>
    <tableColumn id="11919" xr3:uid="{04E54549-10B4-4568-9AF0-81E665EE2C30}" name="Column11917"/>
    <tableColumn id="11920" xr3:uid="{17837196-424A-4394-9CD5-360513435CB6}" name="Column11918"/>
    <tableColumn id="11921" xr3:uid="{3178D977-BCC3-4528-915E-82C6C9EC0B54}" name="Column11919"/>
    <tableColumn id="11922" xr3:uid="{C6BF81DE-8472-4E39-B069-CCC76412597A}" name="Column11920"/>
    <tableColumn id="11923" xr3:uid="{71ACE1D4-3BDE-4E41-A3B9-11EE899160E2}" name="Column11921"/>
    <tableColumn id="11924" xr3:uid="{5A888A74-CE75-4AB4-A843-D995AF31C962}" name="Column11922"/>
    <tableColumn id="11925" xr3:uid="{B80D9822-5AB7-40F9-B544-BB68E10E7246}" name="Column11923"/>
    <tableColumn id="11926" xr3:uid="{E9350C11-3318-4D44-97E9-496B5B3FB2C3}" name="Column11924"/>
    <tableColumn id="11927" xr3:uid="{2B1328DA-BA1A-4F64-9CCF-C5092C2325E7}" name="Column11925"/>
    <tableColumn id="11928" xr3:uid="{0BCD212B-5103-4E84-A23F-C0B6F21F5796}" name="Column11926"/>
    <tableColumn id="11929" xr3:uid="{5C7D1D81-3C98-42CA-B440-394571596394}" name="Column11927"/>
    <tableColumn id="11930" xr3:uid="{50CFF86A-D5A5-43BF-961A-045275AA336B}" name="Column11928"/>
    <tableColumn id="11931" xr3:uid="{2BD01BE3-C46F-4DB0-8FF3-4B173847A602}" name="Column11929"/>
    <tableColumn id="11932" xr3:uid="{4FA873A7-9F8D-4773-A39C-F2484831ACD0}" name="Column11930"/>
    <tableColumn id="11933" xr3:uid="{5100C3DC-CE90-4889-B027-DD7A8C0E3C0E}" name="Column11931"/>
    <tableColumn id="11934" xr3:uid="{E72446D8-A42C-4C36-A53D-2A099826178F}" name="Column11932"/>
    <tableColumn id="11935" xr3:uid="{15E50EF7-4CFB-4991-A085-E7D8A924953D}" name="Column11933"/>
    <tableColumn id="11936" xr3:uid="{6FE3B0E9-E5FA-4034-B4E9-69DDF4DDB1D7}" name="Column11934"/>
    <tableColumn id="11937" xr3:uid="{5A47BDA2-1758-40E4-9367-0A13F5CC2A50}" name="Column11935"/>
    <tableColumn id="11938" xr3:uid="{261F4DDC-A49C-4861-97CC-52D3C2A8152A}" name="Column11936"/>
    <tableColumn id="11939" xr3:uid="{47A07C69-8850-4A16-B339-7D562B7477EC}" name="Column11937"/>
    <tableColumn id="11940" xr3:uid="{FEB76E8A-A412-42AD-9411-168E1E4159B1}" name="Column11938"/>
    <tableColumn id="11941" xr3:uid="{49F0C641-2686-44CE-8270-8F4E7E1CA31E}" name="Column11939"/>
    <tableColumn id="11942" xr3:uid="{350E6EE5-5934-4157-BAAC-D3A42F8B9A26}" name="Column11940"/>
    <tableColumn id="11943" xr3:uid="{646A037F-D7E9-42A8-B2A9-63249DD53ED7}" name="Column11941"/>
    <tableColumn id="11944" xr3:uid="{DC0FCF1E-7BF5-4B46-84A7-6FA25F363F3E}" name="Column11942"/>
    <tableColumn id="11945" xr3:uid="{74ADD37A-7D2B-4CF0-ACB7-D40FF1C6FA5F}" name="Column11943"/>
    <tableColumn id="11946" xr3:uid="{818E2AE8-E0E6-4FE5-B305-09FC78C1D816}" name="Column11944"/>
    <tableColumn id="11947" xr3:uid="{C123A526-39BF-42EF-B8EA-B20E3022A55D}" name="Column11945"/>
    <tableColumn id="11948" xr3:uid="{ECFF4F55-72BE-41E9-AC97-7876BF309CEA}" name="Column11946"/>
    <tableColumn id="11949" xr3:uid="{5F096FDB-83CC-4278-B953-C28729CDF86A}" name="Column11947"/>
    <tableColumn id="11950" xr3:uid="{100C9F99-CAF8-445A-B01C-6536AAF3020B}" name="Column11948"/>
    <tableColumn id="11951" xr3:uid="{070C378F-33FE-40F1-AEEC-9BB122622394}" name="Column11949"/>
    <tableColumn id="11952" xr3:uid="{9A9DE1EC-C242-4599-8D15-2EBF215B90B6}" name="Column11950"/>
    <tableColumn id="11953" xr3:uid="{C09076F0-BE58-4BA4-A034-4C7C0B6D666A}" name="Column11951"/>
    <tableColumn id="11954" xr3:uid="{64F43A92-CF5F-4A2C-8A24-760B54D61B0D}" name="Column11952"/>
    <tableColumn id="11955" xr3:uid="{4A41B78D-62A2-4619-A543-8F759BE0EE59}" name="Column11953"/>
    <tableColumn id="11956" xr3:uid="{4DB9F7CF-B2CB-4934-B9F9-C39D9F3ADA6D}" name="Column11954"/>
    <tableColumn id="11957" xr3:uid="{AAB926A0-1A7C-4A60-9C10-DED43D9CB9D2}" name="Column11955"/>
    <tableColumn id="11958" xr3:uid="{E07A99FA-97E7-4182-8386-3FC69E27A794}" name="Column11956"/>
    <tableColumn id="11959" xr3:uid="{E6787E15-29EB-41CB-AACB-81EDC1DBD142}" name="Column11957"/>
    <tableColumn id="11960" xr3:uid="{137AD5FB-F685-4C24-BACB-0AF95066C1F9}" name="Column11958"/>
    <tableColumn id="11961" xr3:uid="{3340C771-CDAF-4E52-A54A-2FAC89BA5F74}" name="Column11959"/>
    <tableColumn id="11962" xr3:uid="{161E22EE-7310-41AF-BA7C-6AEAD582137B}" name="Column11960"/>
    <tableColumn id="11963" xr3:uid="{C1B0DEE8-7983-4263-8264-DAA70574FD6E}" name="Column11961"/>
    <tableColumn id="11964" xr3:uid="{AE7AB812-25D4-472E-9AA9-25151D0315C9}" name="Column11962"/>
    <tableColumn id="11965" xr3:uid="{C28130AD-7DB1-44F6-A5F8-8B7545A3A70D}" name="Column11963"/>
    <tableColumn id="11966" xr3:uid="{25AA12FB-7BFE-4158-8C21-BC89A756D3B3}" name="Column11964"/>
    <tableColumn id="11967" xr3:uid="{9B4A157D-4766-40E2-BBD1-CD57806A9E70}" name="Column11965"/>
    <tableColumn id="11968" xr3:uid="{1A34FD4E-42C7-41C5-84EC-C7D6E9FF7CFA}" name="Column11966"/>
    <tableColumn id="11969" xr3:uid="{48C137D5-632E-4026-9372-269E84973A85}" name="Column11967"/>
    <tableColumn id="11970" xr3:uid="{90BA4A2E-4525-46C2-AD01-83556997BAC9}" name="Column11968"/>
    <tableColumn id="11971" xr3:uid="{66BB3B9E-8117-4CC8-9909-3B4EFE4428E0}" name="Column11969"/>
    <tableColumn id="11972" xr3:uid="{0412B38F-FEEC-44C4-A61C-1D1D22DDA214}" name="Column11970"/>
    <tableColumn id="11973" xr3:uid="{71E16422-F97D-413A-8A83-59FEEA0BAE3B}" name="Column11971"/>
    <tableColumn id="11974" xr3:uid="{BA7CE567-E77B-44F8-8DAC-04EFBC736F28}" name="Column11972"/>
    <tableColumn id="11975" xr3:uid="{B3047013-A5A6-4558-B789-3182164540BF}" name="Column11973"/>
    <tableColumn id="11976" xr3:uid="{A510859F-BC17-427E-BEC8-808E5622CF54}" name="Column11974"/>
    <tableColumn id="11977" xr3:uid="{9234BDD2-3ABD-4DF8-9F6E-7C162821A353}" name="Column11975"/>
    <tableColumn id="11978" xr3:uid="{2F352100-0842-4D06-AEE1-9662CFB4A0EF}" name="Column11976"/>
    <tableColumn id="11979" xr3:uid="{D3AA6F84-C378-4580-B9B2-276C2C2B39C3}" name="Column11977"/>
    <tableColumn id="11980" xr3:uid="{CB706B4B-2B86-4862-8E14-C6EF22C5FCD1}" name="Column11978"/>
    <tableColumn id="11981" xr3:uid="{88FB7FF8-B9FA-4C1C-BB4A-AD094B813301}" name="Column11979"/>
    <tableColumn id="11982" xr3:uid="{C91811AF-E802-4C14-B756-3A0DFE408DD0}" name="Column11980"/>
    <tableColumn id="11983" xr3:uid="{58456307-CAC3-421E-AD37-A5C4DA057B18}" name="Column11981"/>
    <tableColumn id="11984" xr3:uid="{4A6C31FA-C4AB-4585-9BA5-3B1BBDDC867D}" name="Column11982"/>
    <tableColumn id="11985" xr3:uid="{7A33EE18-7D08-4340-8BFE-ADD4B11A4C6C}" name="Column11983"/>
    <tableColumn id="11986" xr3:uid="{6C657C39-8B39-4CD2-A944-66DB9400BB86}" name="Column11984"/>
    <tableColumn id="11987" xr3:uid="{C30024E5-7011-4B44-A15F-4D8087ADF7EC}" name="Column11985"/>
    <tableColumn id="11988" xr3:uid="{B6334003-62AF-46C5-AD00-5B3B4887BD16}" name="Column11986"/>
    <tableColumn id="11989" xr3:uid="{14180C94-A436-4363-8398-B6AC297FD71A}" name="Column11987"/>
    <tableColumn id="11990" xr3:uid="{CD79FE4E-A0D0-4436-BC40-119ABE4C12F3}" name="Column11988"/>
    <tableColumn id="11991" xr3:uid="{45D4B497-B7B6-4DD3-B28C-15601E80006C}" name="Column11989"/>
    <tableColumn id="11992" xr3:uid="{30A7F918-385D-4998-A06E-0997A5434AF5}" name="Column11990"/>
    <tableColumn id="11993" xr3:uid="{8000342C-ED5C-4A7C-AA87-41E1E5301F8D}" name="Column11991"/>
    <tableColumn id="11994" xr3:uid="{214CC0CA-1E04-4870-92C9-052B2323A538}" name="Column11992"/>
    <tableColumn id="11995" xr3:uid="{F83EF00E-8277-4DD4-974C-B15134534724}" name="Column11993"/>
    <tableColumn id="11996" xr3:uid="{645E23C9-DD44-4F0D-953B-910E31E42882}" name="Column11994"/>
    <tableColumn id="11997" xr3:uid="{343A4208-4449-4458-8904-7F1D03D1BE25}" name="Column11995"/>
    <tableColumn id="11998" xr3:uid="{3D640433-616E-4E9F-9D57-D7983141EF7B}" name="Column11996"/>
    <tableColumn id="11999" xr3:uid="{6027891C-8588-4C1B-8888-C75D185A4E75}" name="Column11997"/>
    <tableColumn id="12000" xr3:uid="{13A7D322-2756-49DF-9FDD-0566D38047A1}" name="Column11998"/>
    <tableColumn id="12001" xr3:uid="{EF789720-FD35-428B-9502-1A4E5836E685}" name="Column11999"/>
    <tableColumn id="12002" xr3:uid="{D21EB925-F93F-46DB-895F-70C95C9A8457}" name="Column12000"/>
    <tableColumn id="12003" xr3:uid="{A10AB5B7-9A5E-4B77-AB54-31E64BAFEE1E}" name="Column12001"/>
    <tableColumn id="12004" xr3:uid="{FDECA4D2-562E-48CC-99F8-41E833CC9143}" name="Column12002"/>
    <tableColumn id="12005" xr3:uid="{5E2F5689-5364-44AF-9AAE-93742565552C}" name="Column12003"/>
    <tableColumn id="12006" xr3:uid="{CB29BA60-EA87-4A0E-86F3-27DC65991F5D}" name="Column12004"/>
    <tableColumn id="12007" xr3:uid="{E0BD82AA-39A9-4D44-A750-4DAFC17113CF}" name="Column12005"/>
    <tableColumn id="12008" xr3:uid="{C9DCB2E5-21C1-4325-8C26-A04E72AE64A4}" name="Column12006"/>
    <tableColumn id="12009" xr3:uid="{E1528B92-D45D-4181-B2AC-7BCE0869F579}" name="Column12007"/>
    <tableColumn id="12010" xr3:uid="{4FE726D1-C1AD-4F21-BADF-48DAC571CA37}" name="Column12008"/>
    <tableColumn id="12011" xr3:uid="{B8370026-6695-4460-9E02-7D6079C9749F}" name="Column12009"/>
    <tableColumn id="12012" xr3:uid="{E0F78208-F755-45CE-AB04-8938C45E3713}" name="Column12010"/>
    <tableColumn id="12013" xr3:uid="{ECF7DDC4-43DD-4C8B-A2FA-9692324E56A9}" name="Column12011"/>
    <tableColumn id="12014" xr3:uid="{15136F62-8687-4692-897C-8E8875C7F693}" name="Column12012"/>
    <tableColumn id="12015" xr3:uid="{0FEEC6DE-9DF3-49F2-8EE9-E647C048D641}" name="Column12013"/>
    <tableColumn id="12016" xr3:uid="{E6CA7483-0511-4772-B8E9-774FE027C13D}" name="Column12014"/>
    <tableColumn id="12017" xr3:uid="{DA15F3A0-FAFD-4CCA-A853-730FEE96088F}" name="Column12015"/>
    <tableColumn id="12018" xr3:uid="{155CB879-A183-46C4-B844-B42E2A8F465E}" name="Column12016"/>
    <tableColumn id="12019" xr3:uid="{05009E19-1171-494E-BC40-F3D916777513}" name="Column12017"/>
    <tableColumn id="12020" xr3:uid="{E41C9B8F-4035-42B3-8E79-BE2EB35E48BF}" name="Column12018"/>
    <tableColumn id="12021" xr3:uid="{24A7939D-3DB5-4AFC-8820-CDE547457ACB}" name="Column12019"/>
    <tableColumn id="12022" xr3:uid="{81E70816-2750-4B3A-AEC6-6E20174D3B9A}" name="Column12020"/>
    <tableColumn id="12023" xr3:uid="{2919111F-D87D-4339-8CB2-7227C60BBD1A}" name="Column12021"/>
    <tableColumn id="12024" xr3:uid="{7B67B2E5-DDB4-4550-8C0C-D2A903D09CD4}" name="Column12022"/>
    <tableColumn id="12025" xr3:uid="{CE59D2F4-E050-49EE-BFA0-6A87446271FC}" name="Column12023"/>
    <tableColumn id="12026" xr3:uid="{79CC6A0C-4BEF-4C8C-924F-75A887AA2735}" name="Column12024"/>
    <tableColumn id="12027" xr3:uid="{22472AF1-96DA-4325-85C5-EE74E71678ED}" name="Column12025"/>
    <tableColumn id="12028" xr3:uid="{2F9276CF-C673-4E3C-98C7-60B0173EAFB3}" name="Column12026"/>
    <tableColumn id="12029" xr3:uid="{1F841500-7016-414B-B62E-6142BF56CC38}" name="Column12027"/>
    <tableColumn id="12030" xr3:uid="{9F9DAA1B-B2A0-4DDB-9DE4-9B4B403245FC}" name="Column12028"/>
    <tableColumn id="12031" xr3:uid="{B3966486-2708-4EA7-9A28-331C354247C2}" name="Column12029"/>
    <tableColumn id="12032" xr3:uid="{5F7DF0CE-B9BF-44D8-BC64-F9318261FBD9}" name="Column12030"/>
    <tableColumn id="12033" xr3:uid="{589CA5EB-5EC1-4A40-92A2-5825892AD1A8}" name="Column12031"/>
    <tableColumn id="12034" xr3:uid="{4CB2C580-EB8D-427D-89FF-D0C0E85FEF2C}" name="Column12032"/>
    <tableColumn id="12035" xr3:uid="{85934E53-AB08-44EC-AE78-5675EE505285}" name="Column12033"/>
    <tableColumn id="12036" xr3:uid="{5299A923-C7A3-43F2-80AB-4CB815C6E6A7}" name="Column12034"/>
    <tableColumn id="12037" xr3:uid="{4094BB8D-BDA9-43A7-8868-B2597793E1E6}" name="Column12035"/>
    <tableColumn id="12038" xr3:uid="{EE163963-71BF-4193-83CD-BBE1B578A61E}" name="Column12036"/>
    <tableColumn id="12039" xr3:uid="{0DFF7117-82D2-4D1B-BFFD-D0BCF02CFC1A}" name="Column12037"/>
    <tableColumn id="12040" xr3:uid="{CAAD58E7-9568-4C6B-9C74-D03B692A85CF}" name="Column12038"/>
    <tableColumn id="12041" xr3:uid="{21D0D955-275C-41C5-AD48-986F526796A4}" name="Column12039"/>
    <tableColumn id="12042" xr3:uid="{11DEED47-81AA-40CE-B287-372237CA0DBE}" name="Column12040"/>
    <tableColumn id="12043" xr3:uid="{5E1F0E6A-BF79-45B1-96EC-F1BE9CF0D506}" name="Column12041"/>
    <tableColumn id="12044" xr3:uid="{A665BBEE-7CBD-46F8-BE5C-219015FA5392}" name="Column12042"/>
    <tableColumn id="12045" xr3:uid="{129AE669-9B55-4FC4-825A-FA6040DBA9D2}" name="Column12043"/>
    <tableColumn id="12046" xr3:uid="{A8CB4C31-9ED5-48C7-86B7-0B0D37752D4E}" name="Column12044"/>
    <tableColumn id="12047" xr3:uid="{64D1C91F-1003-464E-9BF6-79AAD2AC6FD6}" name="Column12045"/>
    <tableColumn id="12048" xr3:uid="{8B4E9C6C-2A73-481C-B4BB-8D829A0CAF44}" name="Column12046"/>
    <tableColumn id="12049" xr3:uid="{DAD7CFA2-A820-4BA5-8A07-99B568DC9984}" name="Column12047"/>
    <tableColumn id="12050" xr3:uid="{3D6CBCEA-593F-4B54-9035-E5030F8FFB30}" name="Column12048"/>
    <tableColumn id="12051" xr3:uid="{9D1B7701-9B67-417D-9EBA-8937B522C084}" name="Column12049"/>
    <tableColumn id="12052" xr3:uid="{E80BF1AD-B4D1-4751-A4E9-D4490D680A9D}" name="Column12050"/>
    <tableColumn id="12053" xr3:uid="{63C97ADE-E33C-4F42-8618-3EF7A2A02562}" name="Column12051"/>
    <tableColumn id="12054" xr3:uid="{DCE39482-934A-4FCC-B3C5-7096BFBAB89F}" name="Column12052"/>
    <tableColumn id="12055" xr3:uid="{3F50E533-7B3E-4DD9-AFA0-B2C01D6A7215}" name="Column12053"/>
    <tableColumn id="12056" xr3:uid="{2438BFA4-07DF-4A04-90F5-31189F78FE69}" name="Column12054"/>
    <tableColumn id="12057" xr3:uid="{B27B684A-3F79-46D0-965F-6404B080EFA2}" name="Column12055"/>
    <tableColumn id="12058" xr3:uid="{55C02ABB-FE7C-482F-99FF-E090E67EE168}" name="Column12056"/>
    <tableColumn id="12059" xr3:uid="{2C0788B2-8B0E-4BA8-B4B5-8A4B1EAD8C7D}" name="Column12057"/>
    <tableColumn id="12060" xr3:uid="{F6CA8D9B-93DD-486C-9D20-44B0C38CFDC7}" name="Column12058"/>
    <tableColumn id="12061" xr3:uid="{7B4A1F04-F0F5-4817-94DD-E086F83943D6}" name="Column12059"/>
    <tableColumn id="12062" xr3:uid="{811BA9FB-ED7D-445C-93C5-D124B074F094}" name="Column12060"/>
    <tableColumn id="12063" xr3:uid="{2AB3643B-AF89-4A80-BE4E-064C245BD808}" name="Column12061"/>
    <tableColumn id="12064" xr3:uid="{834CDC00-048C-4615-85BA-6D23AAB968BF}" name="Column12062"/>
    <tableColumn id="12065" xr3:uid="{7C1BFD09-237E-4AAB-AE70-B439AC809048}" name="Column12063"/>
    <tableColumn id="12066" xr3:uid="{101EA286-6BE5-444F-A0A5-BC434DA7303A}" name="Column12064"/>
    <tableColumn id="12067" xr3:uid="{7F66786B-0B76-4BD5-8747-DEDA5D63815A}" name="Column12065"/>
    <tableColumn id="12068" xr3:uid="{087D1997-B0E6-4495-A01B-A89AA13F3DCF}" name="Column12066"/>
    <tableColumn id="12069" xr3:uid="{6946BFA4-4FB4-4C0E-95B9-E5AF4F9C58A8}" name="Column12067"/>
    <tableColumn id="12070" xr3:uid="{E0A64489-7D28-4419-BD52-E2037FAF18F8}" name="Column12068"/>
    <tableColumn id="12071" xr3:uid="{705DF1F7-1988-4BD3-B45A-64D30CB5E38B}" name="Column12069"/>
    <tableColumn id="12072" xr3:uid="{B213B493-C2C8-4336-BB08-06D2E8DC9834}" name="Column12070"/>
    <tableColumn id="12073" xr3:uid="{1EDEF52A-7A59-4044-B15E-8ABC426DDED9}" name="Column12071"/>
    <tableColumn id="12074" xr3:uid="{45D704BC-9348-4360-8BF9-E8068D2D2D37}" name="Column12072"/>
    <tableColumn id="12075" xr3:uid="{D9B94CF6-B7DD-42A5-BDCB-ABCB6E38D1C8}" name="Column12073"/>
    <tableColumn id="12076" xr3:uid="{A27D91EE-0A05-4858-BA01-AA8A9849231A}" name="Column12074"/>
    <tableColumn id="12077" xr3:uid="{F2D82798-87B1-4BA6-9A92-BFA4FD585887}" name="Column12075"/>
    <tableColumn id="12078" xr3:uid="{B69345B2-32BE-4996-9E30-189B4BA133F3}" name="Column12076"/>
    <tableColumn id="12079" xr3:uid="{E6EC2948-9108-42BE-8A69-348C2F90BD14}" name="Column12077"/>
    <tableColumn id="12080" xr3:uid="{C12425A0-680E-4665-9501-174311C86513}" name="Column12078"/>
    <tableColumn id="12081" xr3:uid="{FD2D82B4-53DC-4444-BA63-E4EADC340B58}" name="Column12079"/>
    <tableColumn id="12082" xr3:uid="{8EEA9F6F-2813-4C4D-A487-5A491EC9082F}" name="Column12080"/>
    <tableColumn id="12083" xr3:uid="{3C95F437-59E8-4C08-9FFE-604E1B3EA939}" name="Column12081"/>
    <tableColumn id="12084" xr3:uid="{9D7DCF6E-0D7A-47F2-B068-205B344748B0}" name="Column12082"/>
    <tableColumn id="12085" xr3:uid="{DB9D18D7-9EEE-460B-9611-52A1C0027BE9}" name="Column12083"/>
    <tableColumn id="12086" xr3:uid="{9D4D2BE7-3A9B-4B78-8A2F-96EC09D1A21D}" name="Column12084"/>
    <tableColumn id="12087" xr3:uid="{C6E603B4-E90E-49C1-A47C-EAB87B18B633}" name="Column12085"/>
    <tableColumn id="12088" xr3:uid="{D3AF354F-6BDF-4712-91A2-F3046143BDEF}" name="Column12086"/>
    <tableColumn id="12089" xr3:uid="{10D06F22-175D-4BF1-B11E-83470315F644}" name="Column12087"/>
    <tableColumn id="12090" xr3:uid="{57417D8D-13D9-440A-A053-71AB9B176A75}" name="Column12088"/>
    <tableColumn id="12091" xr3:uid="{5C557EE1-D3F7-427F-BF5A-543B579DE0BD}" name="Column12089"/>
    <tableColumn id="12092" xr3:uid="{02ABC6D1-77AF-4BA7-B2F5-863AAFB08BC4}" name="Column12090"/>
    <tableColumn id="12093" xr3:uid="{EE3E563E-78E1-499B-B018-AA3F1C249C86}" name="Column12091"/>
    <tableColumn id="12094" xr3:uid="{CD875A20-16A5-482A-81F4-43DB9D1ADC5F}" name="Column12092"/>
    <tableColumn id="12095" xr3:uid="{84E0DC33-22F9-4D12-B78C-52F192A12473}" name="Column12093"/>
    <tableColumn id="12096" xr3:uid="{2A734216-D97C-43A2-8944-1E21329F62D2}" name="Column12094"/>
    <tableColumn id="12097" xr3:uid="{0910C260-84E9-401C-8EC9-69F3AF562BAD}" name="Column12095"/>
    <tableColumn id="12098" xr3:uid="{3A58644F-D3C8-463B-B475-CA6C0239C331}" name="Column12096"/>
    <tableColumn id="12099" xr3:uid="{229A6D9E-8921-478D-8C34-73EF1B7B2EC9}" name="Column12097"/>
    <tableColumn id="12100" xr3:uid="{652AB217-6E9A-44A3-BF53-06C0DF62C74B}" name="Column12098"/>
    <tableColumn id="12101" xr3:uid="{2A00022A-805F-4FC6-B324-745D2E8972B8}" name="Column12099"/>
    <tableColumn id="12102" xr3:uid="{9A21AC70-8FA5-491A-834F-9B769A151F64}" name="Column12100"/>
    <tableColumn id="12103" xr3:uid="{861D5B47-A7F8-4383-B684-6C3CF2A17E7B}" name="Column12101"/>
    <tableColumn id="12104" xr3:uid="{7DF1E7BB-512A-4C8D-B6C7-3D96ADD9C385}" name="Column12102"/>
    <tableColumn id="12105" xr3:uid="{83169BC1-6C86-4BE2-AE85-6B9932036467}" name="Column12103"/>
    <tableColumn id="12106" xr3:uid="{4E6F99A5-5CAE-4FB3-8B86-103F4DB3F46A}" name="Column12104"/>
    <tableColumn id="12107" xr3:uid="{965C920B-552B-4541-AC22-D7D38381E1A3}" name="Column12105"/>
    <tableColumn id="12108" xr3:uid="{5E9ABD1E-5FCB-4526-BFAC-2AA87E50B19D}" name="Column12106"/>
    <tableColumn id="12109" xr3:uid="{1EABBD6E-4914-48B3-9DD1-E313A90F4995}" name="Column12107"/>
    <tableColumn id="12110" xr3:uid="{D0D45D8D-4622-4FDB-8249-02CB7D363063}" name="Column12108"/>
    <tableColumn id="12111" xr3:uid="{326164CB-AC2D-4907-84EB-3E4E118515CF}" name="Column12109"/>
    <tableColumn id="12112" xr3:uid="{9DC8536A-F485-48F9-A3B1-D639097F7208}" name="Column12110"/>
    <tableColumn id="12113" xr3:uid="{6AD1BBD2-3DCB-4C16-B734-D62D59860129}" name="Column12111"/>
    <tableColumn id="12114" xr3:uid="{1190ABD3-20E5-49EF-8384-5C446974410A}" name="Column12112"/>
    <tableColumn id="12115" xr3:uid="{86E25823-5692-4C77-8212-5B952E2BDE91}" name="Column12113"/>
    <tableColumn id="12116" xr3:uid="{D5508EE5-EB1B-4D54-B75E-1498C1874CA0}" name="Column12114"/>
    <tableColumn id="12117" xr3:uid="{AB507D0B-B06F-4B87-9BF7-309351E45E01}" name="Column12115"/>
    <tableColumn id="12118" xr3:uid="{790AB234-FBC8-4431-A505-36603508AC70}" name="Column12116"/>
    <tableColumn id="12119" xr3:uid="{6D3B987E-AE1C-4BD7-A8D8-87839B3856A9}" name="Column12117"/>
    <tableColumn id="12120" xr3:uid="{F66D8951-8AB3-4AF5-898B-7301ED4D066A}" name="Column12118"/>
    <tableColumn id="12121" xr3:uid="{DB81D7B1-8A80-49AF-93B6-19729B6B4DAC}" name="Column12119"/>
    <tableColumn id="12122" xr3:uid="{6B4EEAB3-A5BA-4FD9-903B-A9903655F25E}" name="Column12120"/>
    <tableColumn id="12123" xr3:uid="{A7CFC231-F4D6-432A-89DD-14898E13F329}" name="Column12121"/>
    <tableColumn id="12124" xr3:uid="{D56052BF-BEBF-46C1-950C-F4EB424B7EF7}" name="Column12122"/>
    <tableColumn id="12125" xr3:uid="{A79FF87A-EB11-4E96-BC65-776630974C98}" name="Column12123"/>
    <tableColumn id="12126" xr3:uid="{43198BCA-9522-4E2D-8A55-62A1763F6D75}" name="Column12124"/>
    <tableColumn id="12127" xr3:uid="{6F8508A1-4DF8-47B8-9924-1A773D5256FB}" name="Column12125"/>
    <tableColumn id="12128" xr3:uid="{1C633504-E967-4209-9C15-ED25282C216A}" name="Column12126"/>
    <tableColumn id="12129" xr3:uid="{248EFD43-8F91-4D6D-A164-FD4453FB2D9C}" name="Column12127"/>
    <tableColumn id="12130" xr3:uid="{5FBE9C14-5748-4471-BE46-A6846CF255FF}" name="Column12128"/>
    <tableColumn id="12131" xr3:uid="{F86F25B3-E278-4C5A-AADB-9985B728B2D9}" name="Column12129"/>
    <tableColumn id="12132" xr3:uid="{4FB22FAB-6C8E-47E2-9411-ACA424129A58}" name="Column12130"/>
    <tableColumn id="12133" xr3:uid="{B9ED63F6-936B-4E1E-AA55-6A6C2592BC9A}" name="Column12131"/>
    <tableColumn id="12134" xr3:uid="{3FABC464-FC3B-45B0-89D1-59B134072BC3}" name="Column12132"/>
    <tableColumn id="12135" xr3:uid="{F41428CD-9A91-4945-B28A-DA9096A031F0}" name="Column12133"/>
    <tableColumn id="12136" xr3:uid="{F4C4CD83-E6C6-44D5-A6E4-D7D6F6851648}" name="Column12134"/>
    <tableColumn id="12137" xr3:uid="{FE6AFB73-F01F-4F3A-8E16-4F46961D011A}" name="Column12135"/>
    <tableColumn id="12138" xr3:uid="{055EFFC6-2C97-401A-A72F-D59D29E2925A}" name="Column12136"/>
    <tableColumn id="12139" xr3:uid="{15B9114A-11AB-461F-9DC3-690DE5CFEA19}" name="Column12137"/>
    <tableColumn id="12140" xr3:uid="{55C08519-B405-4AAB-ACDB-A4F9B5C52DDB}" name="Column12138"/>
    <tableColumn id="12141" xr3:uid="{96A4D618-FCB6-40D4-A63B-89C62D042671}" name="Column12139"/>
    <tableColumn id="12142" xr3:uid="{1F5371BF-FFAA-4B0D-97BB-3C605FCBE441}" name="Column12140"/>
    <tableColumn id="12143" xr3:uid="{136FC479-29DB-4446-B013-1F8F64EFD94C}" name="Column12141"/>
    <tableColumn id="12144" xr3:uid="{2AC0AACE-9DAD-4825-865F-0AC103A50D48}" name="Column12142"/>
    <tableColumn id="12145" xr3:uid="{AD796420-5B86-4FE8-B8DC-B830913D2FDA}" name="Column12143"/>
    <tableColumn id="12146" xr3:uid="{BF0FAAAF-CA4D-431A-A087-FFBA3701F96B}" name="Column12144"/>
    <tableColumn id="12147" xr3:uid="{8C5EDAEF-93F2-4862-AD06-4C5E6BC320FF}" name="Column12145"/>
    <tableColumn id="12148" xr3:uid="{AF9BAA0C-D92C-471E-A2CA-E3B8F2E50DCC}" name="Column12146"/>
    <tableColumn id="12149" xr3:uid="{6C980179-1887-4AE4-9E0D-03E9FAB097F7}" name="Column12147"/>
    <tableColumn id="12150" xr3:uid="{60EAAE11-D00A-4544-A5E6-988962F581BD}" name="Column12148"/>
    <tableColumn id="12151" xr3:uid="{A364531B-EAD1-4815-BA21-D805F720CF83}" name="Column12149"/>
    <tableColumn id="12152" xr3:uid="{25CABA0F-10E2-438F-B3B6-8C432539479A}" name="Column12150"/>
    <tableColumn id="12153" xr3:uid="{7327F6FD-7E85-4F7F-9487-A6743792E63F}" name="Column12151"/>
    <tableColumn id="12154" xr3:uid="{B89CAC4F-7E3F-47C1-A574-55025FB0F027}" name="Column12152"/>
    <tableColumn id="12155" xr3:uid="{2B1848BD-89DE-4402-9DB5-C2D72742B058}" name="Column12153"/>
    <tableColumn id="12156" xr3:uid="{72800FBA-C682-4880-A827-2C98DC1E6C4C}" name="Column12154"/>
    <tableColumn id="12157" xr3:uid="{43678E2C-1236-4C01-AEAB-20CD977F0C78}" name="Column12155"/>
    <tableColumn id="12158" xr3:uid="{08699DE1-147A-4B9A-AD04-BCE81FE378C5}" name="Column12156"/>
    <tableColumn id="12159" xr3:uid="{0645DEB5-D451-433F-9F3C-D5A01000494A}" name="Column12157"/>
    <tableColumn id="12160" xr3:uid="{9FE79FA4-E1B9-4D08-8837-303B0C095F8C}" name="Column12158"/>
    <tableColumn id="12161" xr3:uid="{E43B666A-B58F-4B7A-915A-7F2EC3E3DEAB}" name="Column12159"/>
    <tableColumn id="12162" xr3:uid="{2D46D7AE-CFE3-4955-8306-739918EBF663}" name="Column12160"/>
    <tableColumn id="12163" xr3:uid="{C36A79CB-7A33-4BBE-89EE-2654F94CD5C4}" name="Column12161"/>
    <tableColumn id="12164" xr3:uid="{101A50E4-B4A9-4721-8F5D-DB29F68C687A}" name="Column12162"/>
    <tableColumn id="12165" xr3:uid="{0BDD2A12-CD74-4FAE-B8B4-0EB83F31D2E9}" name="Column12163"/>
    <tableColumn id="12166" xr3:uid="{FA485CBA-4265-43AB-AD53-848A398DAE06}" name="Column12164"/>
    <tableColumn id="12167" xr3:uid="{9C699C99-2496-4259-9B77-5C8D40DE3DBF}" name="Column12165"/>
    <tableColumn id="12168" xr3:uid="{44320477-A82B-49D9-9F7E-BDA8508D6A5A}" name="Column12166"/>
    <tableColumn id="12169" xr3:uid="{449EC493-50E8-49EE-87C7-A5693413C3D7}" name="Column12167"/>
    <tableColumn id="12170" xr3:uid="{E43D9EA0-6049-4DE0-9ED8-F7F7395195ED}" name="Column12168"/>
    <tableColumn id="12171" xr3:uid="{236295F9-4E0D-4CAB-925E-98CD3C407BD1}" name="Column12169"/>
    <tableColumn id="12172" xr3:uid="{33067763-87BF-4EBC-8759-14DB304FFE25}" name="Column12170"/>
    <tableColumn id="12173" xr3:uid="{4EF95018-6530-4B53-99BF-76224994DD3C}" name="Column12171"/>
    <tableColumn id="12174" xr3:uid="{8B161E90-90E7-4484-AFE7-6499CC33C0E3}" name="Column12172"/>
    <tableColumn id="12175" xr3:uid="{05C1C23A-5684-4CBD-8F4B-5D2CD18A4EBB}" name="Column12173"/>
    <tableColumn id="12176" xr3:uid="{0B5F249C-B0F3-4681-AB1A-D516180622B3}" name="Column12174"/>
    <tableColumn id="12177" xr3:uid="{225F0660-E0BF-4040-94F9-A35140B7F598}" name="Column12175"/>
    <tableColumn id="12178" xr3:uid="{860E1BFB-229F-4384-89C1-C92DBC42F8AD}" name="Column12176"/>
    <tableColumn id="12179" xr3:uid="{ADC0A3D8-4C71-40FC-AB8E-0C55CDF03AAA}" name="Column12177"/>
    <tableColumn id="12180" xr3:uid="{3FDBC47F-AD32-43E9-AF4B-47F44190A0E0}" name="Column12178"/>
    <tableColumn id="12181" xr3:uid="{A6AB1F19-1784-4CC6-B07F-911A118F66ED}" name="Column12179"/>
    <tableColumn id="12182" xr3:uid="{06019BFC-033E-4968-92FA-F885496A8756}" name="Column12180"/>
    <tableColumn id="12183" xr3:uid="{99CE39D1-5A45-4338-95AE-517AF6FAAA1F}" name="Column12181"/>
    <tableColumn id="12184" xr3:uid="{A2162D8D-F333-4904-827E-80197E91DCC3}" name="Column12182"/>
    <tableColumn id="12185" xr3:uid="{F60560CC-2D0A-40C5-9AA8-2DE679917D2A}" name="Column12183"/>
    <tableColumn id="12186" xr3:uid="{D0AED731-B469-40C2-9DDE-C6B9B4F1E8D9}" name="Column12184"/>
    <tableColumn id="12187" xr3:uid="{CE07CAC5-26E1-4CA3-9C70-F45AC269B1FB}" name="Column12185"/>
    <tableColumn id="12188" xr3:uid="{96C3E5F4-F8D1-46DD-85ED-84880F8F2892}" name="Column12186"/>
    <tableColumn id="12189" xr3:uid="{C229C94A-3910-4CA2-B5BA-9E840625F02C}" name="Column12187"/>
    <tableColumn id="12190" xr3:uid="{E05D87C2-5511-46AB-A58A-6B60121FAE3A}" name="Column12188"/>
    <tableColumn id="12191" xr3:uid="{4AA08C93-A93D-44F8-AD71-6ADD557DF359}" name="Column12189"/>
    <tableColumn id="12192" xr3:uid="{6A869129-BBCB-4CC3-BBC4-C7A41959E988}" name="Column12190"/>
    <tableColumn id="12193" xr3:uid="{B60D8180-681D-4FDE-9DCD-533F894F38E2}" name="Column12191"/>
    <tableColumn id="12194" xr3:uid="{E7251690-68DA-415F-8CB2-E1C4DF3F13F8}" name="Column12192"/>
    <tableColumn id="12195" xr3:uid="{97D03C45-966F-4DAD-B6F9-943C8635E76E}" name="Column12193"/>
    <tableColumn id="12196" xr3:uid="{C96619CA-C2C7-4835-BB23-4F9EA2287C7F}" name="Column12194"/>
    <tableColumn id="12197" xr3:uid="{24F4AE86-4214-400A-994D-64E67192BEF6}" name="Column12195"/>
    <tableColumn id="12198" xr3:uid="{76AA1600-679F-49E4-80F8-6F99180FCAF5}" name="Column12196"/>
    <tableColumn id="12199" xr3:uid="{EA9C86C3-2BE8-4B52-8955-136CEF2F50B9}" name="Column12197"/>
    <tableColumn id="12200" xr3:uid="{AC977AE1-87E6-4242-A1EE-DFAAFD34CC8C}" name="Column12198"/>
    <tableColumn id="12201" xr3:uid="{865F091B-29B8-4DB8-BB34-8FAFD5466841}" name="Column12199"/>
    <tableColumn id="12202" xr3:uid="{CDC0040E-5AFE-40A4-A3CD-0900D4380C92}" name="Column12200"/>
    <tableColumn id="12203" xr3:uid="{F9EC09C3-8F1C-4F4D-9965-BC82FE917AA2}" name="Column12201"/>
    <tableColumn id="12204" xr3:uid="{D236DEC9-C44D-4974-AB5B-206EBC10D155}" name="Column12202"/>
    <tableColumn id="12205" xr3:uid="{55EC5BDA-7BE1-4B1C-83D2-DD2A6DDECEB2}" name="Column12203"/>
    <tableColumn id="12206" xr3:uid="{397A1ADC-B666-44F3-8983-371986D0F4AD}" name="Column12204"/>
    <tableColumn id="12207" xr3:uid="{B8AC70DD-B9BA-4C7E-8867-56738B20ABD9}" name="Column12205"/>
    <tableColumn id="12208" xr3:uid="{55605804-1C36-41A2-8F2F-34BF8F9FE4EA}" name="Column12206"/>
    <tableColumn id="12209" xr3:uid="{206B18CF-98CF-410C-9F06-B5E640F928CB}" name="Column12207"/>
    <tableColumn id="12210" xr3:uid="{0E74F4F2-198F-4717-BF53-B2D2AC2C9B1C}" name="Column12208"/>
    <tableColumn id="12211" xr3:uid="{5B4921B4-8FB2-47C2-A607-1A543135328C}" name="Column12209"/>
    <tableColumn id="12212" xr3:uid="{89A7270B-904E-49D1-B6C1-E5CA89EF932B}" name="Column12210"/>
    <tableColumn id="12213" xr3:uid="{19884414-10F9-415A-AA4B-71CDDF7460E1}" name="Column12211"/>
    <tableColumn id="12214" xr3:uid="{A016725B-BDEF-49B7-B3F6-56513F7E4D99}" name="Column12212"/>
    <tableColumn id="12215" xr3:uid="{C98805B5-5223-4DD3-BC4A-040BE37239A3}" name="Column12213"/>
    <tableColumn id="12216" xr3:uid="{3771459F-CEEA-4113-B2AE-8C918487E13F}" name="Column12214"/>
    <tableColumn id="12217" xr3:uid="{42ECDBF3-1BFE-4CD4-80D0-28B0134E09BB}" name="Column12215"/>
    <tableColumn id="12218" xr3:uid="{DCA83F45-8B08-418A-A36C-BD6F2374497C}" name="Column12216"/>
    <tableColumn id="12219" xr3:uid="{52070BE2-8A08-417D-A882-767AC0E652FF}" name="Column12217"/>
    <tableColumn id="12220" xr3:uid="{487E621E-6CC4-45DF-BC5B-892A26E1BA96}" name="Column12218"/>
    <tableColumn id="12221" xr3:uid="{99A84C17-B95A-452C-9B74-8C80F55595B9}" name="Column12219"/>
    <tableColumn id="12222" xr3:uid="{737DABC3-4AB6-460F-972C-39CE6E4C0174}" name="Column12220"/>
    <tableColumn id="12223" xr3:uid="{F8405374-35E3-4A66-906F-5D1AB6B88C58}" name="Column12221"/>
    <tableColumn id="12224" xr3:uid="{8B56BCDE-33CA-4F31-A512-68C0412B390E}" name="Column12222"/>
    <tableColumn id="12225" xr3:uid="{0F3457FB-C81E-4035-871B-C326ABA8A0E2}" name="Column12223"/>
    <tableColumn id="12226" xr3:uid="{3BCBDFB7-3C86-4B9B-88DA-AAA1FD88E0E5}" name="Column12224"/>
    <tableColumn id="12227" xr3:uid="{91CB83CF-95E7-4757-8E60-54D5EF88FF8C}" name="Column12225"/>
    <tableColumn id="12228" xr3:uid="{F7ABA513-5F46-4FAC-B13F-E84FD39C2CBB}" name="Column12226"/>
    <tableColumn id="12229" xr3:uid="{0E79A514-0331-4752-AAFC-5C03EDB0B219}" name="Column12227"/>
    <tableColumn id="12230" xr3:uid="{E5A80B5B-03F1-4D32-9F18-A7B455194942}" name="Column12228"/>
    <tableColumn id="12231" xr3:uid="{5750D6D8-0A22-4C9F-908F-EA8142EF0E05}" name="Column12229"/>
    <tableColumn id="12232" xr3:uid="{D3364B13-E143-4A19-8E16-E468B7EA98C7}" name="Column12230"/>
    <tableColumn id="12233" xr3:uid="{2F08EB33-8D99-40B4-A2B4-E2F13E20F902}" name="Column12231"/>
    <tableColumn id="12234" xr3:uid="{FC5942A2-884B-4FF9-BF4E-744AC4E335F4}" name="Column12232"/>
    <tableColumn id="12235" xr3:uid="{2799F90F-BA0F-4B6C-854E-73779FF5465E}" name="Column12233"/>
    <tableColumn id="12236" xr3:uid="{69BBB787-ED17-47C0-8947-50BB3C8C8EDE}" name="Column12234"/>
    <tableColumn id="12237" xr3:uid="{00AA438E-421F-478A-8EBB-ACDAA7072C2A}" name="Column12235"/>
    <tableColumn id="12238" xr3:uid="{E768313A-C74A-48D3-A80E-3A8037A2D8AD}" name="Column12236"/>
    <tableColumn id="12239" xr3:uid="{CA9EF33A-5951-45E1-81E7-D99B4AB07FA4}" name="Column12237"/>
    <tableColumn id="12240" xr3:uid="{85F0BEB1-0A07-4BBF-BCCE-5478AD67D5E0}" name="Column12238"/>
    <tableColumn id="12241" xr3:uid="{3B400DEE-F8EB-466E-B948-E9827E1717CD}" name="Column12239"/>
    <tableColumn id="12242" xr3:uid="{F9E65874-5C59-450F-BFE1-35387294A755}" name="Column12240"/>
    <tableColumn id="12243" xr3:uid="{603B37EF-6B40-4178-BD56-C5C244ED6961}" name="Column12241"/>
    <tableColumn id="12244" xr3:uid="{7D6CFFDD-08A0-44A9-8988-F61EF0D94CDE}" name="Column12242"/>
    <tableColumn id="12245" xr3:uid="{57F99079-F645-4F2E-B6A7-DA0A1E21629E}" name="Column12243"/>
    <tableColumn id="12246" xr3:uid="{A1AC91E6-6E9A-4442-9297-72A597F46E00}" name="Column12244"/>
    <tableColumn id="12247" xr3:uid="{E8300012-ABB2-4FCB-B41D-6C330DC5E81D}" name="Column12245"/>
    <tableColumn id="12248" xr3:uid="{637E5E9C-59B1-468F-B10A-4F35E0D2637B}" name="Column12246"/>
    <tableColumn id="12249" xr3:uid="{38D32F49-2DB5-454A-995B-CF8D4A122267}" name="Column12247"/>
    <tableColumn id="12250" xr3:uid="{346F77DB-6C62-41CB-B221-271FDF32DB76}" name="Column12248"/>
    <tableColumn id="12251" xr3:uid="{46846964-4911-41B3-A895-50A0DE596658}" name="Column12249"/>
    <tableColumn id="12252" xr3:uid="{9A68C441-3408-4C3A-80AC-3009AA5B7405}" name="Column12250"/>
    <tableColumn id="12253" xr3:uid="{E0368B4B-B488-4193-940B-FFA2802FBE32}" name="Column12251"/>
    <tableColumn id="12254" xr3:uid="{C1619D13-3332-43A5-BB32-C201664532AB}" name="Column12252"/>
    <tableColumn id="12255" xr3:uid="{5363F027-76EE-486C-A9A5-1F7E645688ED}" name="Column12253"/>
    <tableColumn id="12256" xr3:uid="{B3557A18-01B1-4ED1-8210-AD0EA748B515}" name="Column12254"/>
    <tableColumn id="12257" xr3:uid="{19CD70CE-24DD-4E82-AD31-CADE432D052C}" name="Column12255"/>
    <tableColumn id="12258" xr3:uid="{320757E9-9D10-4615-95AB-57CD740F75D1}" name="Column12256"/>
    <tableColumn id="12259" xr3:uid="{1CB43229-80D3-4D0A-9CE9-72D3B0B38C18}" name="Column12257"/>
    <tableColumn id="12260" xr3:uid="{52966E7B-4192-4E44-A4E0-92475EF55885}" name="Column12258"/>
    <tableColumn id="12261" xr3:uid="{3BA41D85-2B24-41F4-A49C-38DA6B30B25F}" name="Column12259"/>
    <tableColumn id="12262" xr3:uid="{5489A96F-4E12-4B40-A5B9-822C16CFC3E6}" name="Column12260"/>
    <tableColumn id="12263" xr3:uid="{9F493A64-C0E8-467E-B9AF-C780CBE49C20}" name="Column12261"/>
    <tableColumn id="12264" xr3:uid="{7A492B65-5812-422D-B7DA-7075A005A5BC}" name="Column12262"/>
    <tableColumn id="12265" xr3:uid="{5E09C182-8BF1-4F4D-AE08-5D3EB32EACA0}" name="Column12263"/>
    <tableColumn id="12266" xr3:uid="{1B26DA1B-FFA7-494D-8D64-6C7DB0053755}" name="Column12264"/>
    <tableColumn id="12267" xr3:uid="{8EB31BCA-FFE0-4BC0-B337-C6AB828A0A70}" name="Column12265"/>
    <tableColumn id="12268" xr3:uid="{A6CEBB95-815B-4B4F-B808-BDA6E44168D6}" name="Column12266"/>
    <tableColumn id="12269" xr3:uid="{C53A3223-F7EF-450C-80B0-7CEA7D3DC482}" name="Column12267"/>
    <tableColumn id="12270" xr3:uid="{2EA47104-E214-4109-BDAA-42CDB6F4BC6E}" name="Column12268"/>
    <tableColumn id="12271" xr3:uid="{491EDEBA-195E-4132-829C-33E933E4CBA1}" name="Column12269"/>
    <tableColumn id="12272" xr3:uid="{F7FF3319-5C79-4509-8181-1B068A084F8A}" name="Column12270"/>
    <tableColumn id="12273" xr3:uid="{76D4E0C9-9130-4472-8C0C-EFB180ABD7C3}" name="Column12271"/>
    <tableColumn id="12274" xr3:uid="{E122CA8B-0B28-4E5F-BC37-713FDEA2AA0F}" name="Column12272"/>
    <tableColumn id="12275" xr3:uid="{E024C1C4-1E35-4B84-BFEA-49534321357C}" name="Column12273"/>
    <tableColumn id="12276" xr3:uid="{36E18C6B-1594-4105-9F9C-29DAE543FCC4}" name="Column12274"/>
    <tableColumn id="12277" xr3:uid="{2FE15FF4-11ED-4FC1-AC40-C7E5DCC598B4}" name="Column12275"/>
    <tableColumn id="12278" xr3:uid="{DA03A8D0-E5A0-472F-9133-CA115FBF558D}" name="Column12276"/>
    <tableColumn id="12279" xr3:uid="{8CA4EE12-6C36-4626-8A90-56CD1CA173F9}" name="Column12277"/>
    <tableColumn id="12280" xr3:uid="{F5A24FFE-576D-49B3-893D-ADA1E9F5B92D}" name="Column12278"/>
    <tableColumn id="12281" xr3:uid="{E0EF3187-3A28-4DF3-9004-4B3CC6093ABE}" name="Column12279"/>
    <tableColumn id="12282" xr3:uid="{742B86F8-4E3D-4E8F-918E-9E32F766A714}" name="Column12280"/>
    <tableColumn id="12283" xr3:uid="{DEC393F5-2B5B-4581-A036-2B46AE1CFA0A}" name="Column12281"/>
    <tableColumn id="12284" xr3:uid="{DBD8EB27-B0F5-4023-A31E-C98E8528195F}" name="Column12282"/>
    <tableColumn id="12285" xr3:uid="{9A1E04FA-391A-4E3F-BFA9-66CC6703224A}" name="Column12283"/>
    <tableColumn id="12286" xr3:uid="{B017A119-44F5-4E7C-9E9B-3550FEA83E11}" name="Column12284"/>
    <tableColumn id="12287" xr3:uid="{ADDED6A2-A153-4B00-B619-99317DB1A515}" name="Column12285"/>
    <tableColumn id="12288" xr3:uid="{8D769A03-6C87-4038-B9F1-D471D315F74D}" name="Column12286"/>
    <tableColumn id="12289" xr3:uid="{C674E0F1-59BD-42BA-BE1D-F9BA14799DBA}" name="Column12287"/>
    <tableColumn id="12290" xr3:uid="{62D6C6E3-8076-4B70-B08D-49EDEF6B208E}" name="Column12288"/>
    <tableColumn id="12291" xr3:uid="{FDF58C3C-34FF-4E5C-ADFB-057EA6291BED}" name="Column12289"/>
    <tableColumn id="12292" xr3:uid="{071B3978-7A59-4407-9BF2-319B89735AC0}" name="Column12290"/>
    <tableColumn id="12293" xr3:uid="{F0468268-58FB-4D4A-9432-37777D069973}" name="Column12291"/>
    <tableColumn id="12294" xr3:uid="{0601AD8F-FF5A-483F-8C91-715061268DA9}" name="Column12292"/>
    <tableColumn id="12295" xr3:uid="{FAEC9EF1-2F1F-4F98-8390-E7D5C43383C4}" name="Column12293"/>
    <tableColumn id="12296" xr3:uid="{2F218453-04A5-4F75-8112-0E208F06F228}" name="Column12294"/>
    <tableColumn id="12297" xr3:uid="{4D5347A7-F887-4ACD-A81A-9866C198CF5C}" name="Column12295"/>
    <tableColumn id="12298" xr3:uid="{D9A45F4C-06B8-4765-A289-070A4E23D924}" name="Column12296"/>
    <tableColumn id="12299" xr3:uid="{1B2B8D82-9587-45DB-A46F-424B74D03930}" name="Column12297"/>
    <tableColumn id="12300" xr3:uid="{DA143270-5381-4A55-A359-1649C4884C83}" name="Column12298"/>
    <tableColumn id="12301" xr3:uid="{DB303D1B-3560-4506-BB5D-F535425557A2}" name="Column12299"/>
    <tableColumn id="12302" xr3:uid="{2E8ECA17-F7E3-4307-A3DC-CB15CAAA7A0C}" name="Column12300"/>
    <tableColumn id="12303" xr3:uid="{0E4D031A-1F20-47B0-9527-165CBDB68CAE}" name="Column12301"/>
    <tableColumn id="12304" xr3:uid="{B80C4D83-5011-4F61-A49F-32C1EDDC1F75}" name="Column12302"/>
    <tableColumn id="12305" xr3:uid="{181DD968-ABFC-4923-8BE4-D5B747FC446A}" name="Column12303"/>
    <tableColumn id="12306" xr3:uid="{9E2EC2AE-3036-4B68-A1A6-C69EA93B15C6}" name="Column12304"/>
    <tableColumn id="12307" xr3:uid="{C032792E-082F-455B-9484-94471FE2FBDF}" name="Column12305"/>
    <tableColumn id="12308" xr3:uid="{B7227BCD-1215-4DED-A12F-AAE9F9D17392}" name="Column12306"/>
    <tableColumn id="12309" xr3:uid="{7CDDC679-1126-4867-A6C5-D32A6EB06602}" name="Column12307"/>
    <tableColumn id="12310" xr3:uid="{AB1D0D3F-BBFC-4B7C-9F15-46EEEF5864D6}" name="Column12308"/>
    <tableColumn id="12311" xr3:uid="{5739F45F-FB35-472C-B88B-BC90642F23DC}" name="Column12309"/>
    <tableColumn id="12312" xr3:uid="{35BFF498-9E42-4893-9330-549BE183C888}" name="Column12310"/>
    <tableColumn id="12313" xr3:uid="{1FFF0698-1058-4A8C-8226-5CE80663D50C}" name="Column12311"/>
    <tableColumn id="12314" xr3:uid="{D539FFB1-BE15-421C-9E6D-6F9F71595351}" name="Column12312"/>
    <tableColumn id="12315" xr3:uid="{715C038F-25BB-4F41-9747-E4D285864232}" name="Column12313"/>
    <tableColumn id="12316" xr3:uid="{ACB66B36-572A-4288-A902-B4023003251C}" name="Column12314"/>
    <tableColumn id="12317" xr3:uid="{755FAFC4-CB59-4BCE-9093-465D7ADAB694}" name="Column12315"/>
    <tableColumn id="12318" xr3:uid="{206AF5C0-C879-45CC-930B-7675D7E4C4AE}" name="Column12316"/>
    <tableColumn id="12319" xr3:uid="{4D932243-943A-40FD-8774-0B05C82A7507}" name="Column12317"/>
    <tableColumn id="12320" xr3:uid="{B2882FFA-F07C-4C3E-9812-248871A7A1FD}" name="Column12318"/>
    <tableColumn id="12321" xr3:uid="{C2CF516B-6872-4A06-8DD1-B2A2F6544331}" name="Column12319"/>
    <tableColumn id="12322" xr3:uid="{719255D5-15E7-41E5-B45D-FB71D4263971}" name="Column12320"/>
    <tableColumn id="12323" xr3:uid="{F929D472-B7C4-47CE-9022-4565C30CEA21}" name="Column12321"/>
    <tableColumn id="12324" xr3:uid="{55145C0B-049F-4CCC-96F4-ED5E5C787982}" name="Column12322"/>
    <tableColumn id="12325" xr3:uid="{6E983422-E079-48F4-8102-27EBE26F4C1A}" name="Column12323"/>
    <tableColumn id="12326" xr3:uid="{E965C4F0-2C45-4E1C-A552-9E99750E3BD4}" name="Column12324"/>
    <tableColumn id="12327" xr3:uid="{492F49FE-03F0-430F-80CD-4CD46D412589}" name="Column12325"/>
    <tableColumn id="12328" xr3:uid="{DFE6CC78-1CB1-4B2A-A40F-549B09ED5B30}" name="Column12326"/>
    <tableColumn id="12329" xr3:uid="{0AE974E8-E2DB-43DC-BCA5-CED0FDEA4936}" name="Column12327"/>
    <tableColumn id="12330" xr3:uid="{2F6BBDC7-8E1C-473A-BD71-4FE611B806B6}" name="Column12328"/>
    <tableColumn id="12331" xr3:uid="{7A8B14BE-73E0-4955-967A-08D131160E94}" name="Column12329"/>
    <tableColumn id="12332" xr3:uid="{1FAA8775-B12E-4785-A416-EE3E58D8D928}" name="Column12330"/>
    <tableColumn id="12333" xr3:uid="{C4F19407-0F75-403E-915B-44B196E6451A}" name="Column12331"/>
    <tableColumn id="12334" xr3:uid="{3F3B660D-E192-4B48-92B3-15012A51BD5B}" name="Column12332"/>
    <tableColumn id="12335" xr3:uid="{B3F27484-017E-4936-8022-29DB8044E2D7}" name="Column12333"/>
    <tableColumn id="12336" xr3:uid="{A3BC05A4-F9CD-4258-B3E9-4B0CA0CDD6EB}" name="Column12334"/>
    <tableColumn id="12337" xr3:uid="{CB708782-A075-4749-95D8-6FB6A5DDD99B}" name="Column12335"/>
    <tableColumn id="12338" xr3:uid="{5721B6BA-77D1-4C12-8E90-967D23382CF5}" name="Column12336"/>
    <tableColumn id="12339" xr3:uid="{AD296DEE-66C4-407D-9A6D-FB6B4201C9E1}" name="Column12337"/>
    <tableColumn id="12340" xr3:uid="{BBDB71D2-8EC7-4904-BE80-428749453FC7}" name="Column12338"/>
    <tableColumn id="12341" xr3:uid="{B03934F9-47EF-413F-ABCC-F07A01BFBA59}" name="Column12339"/>
    <tableColumn id="12342" xr3:uid="{76626545-2186-4A78-856A-1394149F9787}" name="Column12340"/>
    <tableColumn id="12343" xr3:uid="{DF34FA1F-310C-4893-B91F-A51FEC764D13}" name="Column12341"/>
    <tableColumn id="12344" xr3:uid="{B8C0F0F2-C687-4C7B-AF42-4C6582C1EB0E}" name="Column12342"/>
    <tableColumn id="12345" xr3:uid="{3BF84605-1BE7-45A1-9B9E-17D9F88BC29F}" name="Column12343"/>
    <tableColumn id="12346" xr3:uid="{EECD850C-F96C-40B9-9E3C-4461D446D47B}" name="Column12344"/>
    <tableColumn id="12347" xr3:uid="{66C7B0AA-AB90-4D0A-B090-24529B26D6D8}" name="Column12345"/>
    <tableColumn id="12348" xr3:uid="{3F4BB232-4636-4719-8895-541945F7A281}" name="Column12346"/>
    <tableColumn id="12349" xr3:uid="{EBECAC58-AA0C-4935-A04D-EFB3D8B749E9}" name="Column12347"/>
    <tableColumn id="12350" xr3:uid="{57FB9016-C0D1-47A7-9382-293F5BFDA5FC}" name="Column12348"/>
    <tableColumn id="12351" xr3:uid="{EB1D847F-5335-4AB7-AF01-50A614A23D5F}" name="Column12349"/>
    <tableColumn id="12352" xr3:uid="{F920CAC0-4511-4FA4-89F9-E20559AA65C5}" name="Column12350"/>
    <tableColumn id="12353" xr3:uid="{5A85CB08-E425-4336-8182-619193BD7E81}" name="Column12351"/>
    <tableColumn id="12354" xr3:uid="{023EFA5F-8785-4BA9-9865-1EA0CE828009}" name="Column12352"/>
    <tableColumn id="12355" xr3:uid="{9C174EAC-E9AD-4413-A537-2B3C292C5F60}" name="Column12353"/>
    <tableColumn id="12356" xr3:uid="{0E09CEAC-260B-4856-B29A-076B818A8DCB}" name="Column12354"/>
    <tableColumn id="12357" xr3:uid="{6D319835-2578-4F34-BF0E-66585918C4E6}" name="Column12355"/>
    <tableColumn id="12358" xr3:uid="{C3701C6C-6379-4A1D-823E-2371C2431B28}" name="Column12356"/>
    <tableColumn id="12359" xr3:uid="{EE152916-B1F2-4E7E-8F8C-02D41663FC30}" name="Column12357"/>
    <tableColumn id="12360" xr3:uid="{85C683CF-DAFB-455B-9865-0DACB027AFD5}" name="Column12358"/>
    <tableColumn id="12361" xr3:uid="{68426952-8F47-4006-9165-2E78DBA35EB9}" name="Column12359"/>
    <tableColumn id="12362" xr3:uid="{D2B4A086-C892-4D27-B740-327B0E829E22}" name="Column12360"/>
    <tableColumn id="12363" xr3:uid="{8FCF1D0B-38B3-4707-958E-8B62BF364B24}" name="Column12361"/>
    <tableColumn id="12364" xr3:uid="{24C7E028-AF72-4B2B-B44A-C3853E4F6338}" name="Column12362"/>
    <tableColumn id="12365" xr3:uid="{202D71FE-D08A-4527-BBBF-29B4B1DA7B9C}" name="Column12363"/>
    <tableColumn id="12366" xr3:uid="{978EBF2C-63B4-426B-AA75-1C3ECC5ACA65}" name="Column12364"/>
    <tableColumn id="12367" xr3:uid="{E91131F3-FB83-4374-A3B8-E089A792F561}" name="Column12365"/>
    <tableColumn id="12368" xr3:uid="{C039E02D-8BFA-41E4-A8B3-630390C309AB}" name="Column12366"/>
    <tableColumn id="12369" xr3:uid="{2254AD34-1ABD-4208-947A-60528A6840A2}" name="Column12367"/>
    <tableColumn id="12370" xr3:uid="{78FE5480-64CC-4326-BEF3-6FAA8E7C4A36}" name="Column12368"/>
    <tableColumn id="12371" xr3:uid="{14FC0188-064D-4364-826B-EB0EDEF29E27}" name="Column12369"/>
    <tableColumn id="12372" xr3:uid="{BACBF056-863D-4F8E-B2FA-8EAEB849FDC8}" name="Column12370"/>
    <tableColumn id="12373" xr3:uid="{2266DE8D-E67D-4BFE-9897-84F800A8C719}" name="Column12371"/>
    <tableColumn id="12374" xr3:uid="{AB01D9FD-E7E6-4D2B-84F3-444FF3DE5695}" name="Column12372"/>
    <tableColumn id="12375" xr3:uid="{36D52017-DAD4-4527-B9B0-40CD7D02932B}" name="Column12373"/>
    <tableColumn id="12376" xr3:uid="{F773E818-1C42-45F9-9045-2BAD02C3373B}" name="Column12374"/>
    <tableColumn id="12377" xr3:uid="{36D9597C-FFCA-42A5-B8FE-BC0C73C00C46}" name="Column12375"/>
    <tableColumn id="12378" xr3:uid="{3A61D159-6B97-49EF-858F-4266655C061C}" name="Column12376"/>
    <tableColumn id="12379" xr3:uid="{71B0A05F-D971-4B04-A162-0834E62163E1}" name="Column12377"/>
    <tableColumn id="12380" xr3:uid="{394D425C-CC99-4DB9-836E-41A90EA9BE6A}" name="Column12378"/>
    <tableColumn id="12381" xr3:uid="{046D5F5C-9CDF-4EBD-B8C7-9BCC6D928650}" name="Column12379"/>
    <tableColumn id="12382" xr3:uid="{D837463C-70A0-4973-A2B0-C3E9EB23AA53}" name="Column12380"/>
    <tableColumn id="12383" xr3:uid="{9716CE20-AC01-41EC-A1D3-9F04532A35D2}" name="Column12381"/>
    <tableColumn id="12384" xr3:uid="{E4AE0DFE-C4B9-47F5-A6EC-DAE6E19343E5}" name="Column12382"/>
    <tableColumn id="12385" xr3:uid="{D5E9D7C6-28A8-42E0-84B3-1F4C56A15FE2}" name="Column12383"/>
    <tableColumn id="12386" xr3:uid="{288F57F7-25D4-41BE-A134-D123007FE4F0}" name="Column12384"/>
    <tableColumn id="12387" xr3:uid="{0E87FE2F-7E70-4852-9393-3AC829D82C54}" name="Column12385"/>
    <tableColumn id="12388" xr3:uid="{F2192D49-296C-4AB3-8FA8-CC5E9ACC2C4D}" name="Column12386"/>
    <tableColumn id="12389" xr3:uid="{DC12B6EF-07D8-43BD-A962-4F77705ADE3F}" name="Column12387"/>
    <tableColumn id="12390" xr3:uid="{FF753C0E-FF8B-43A6-82C1-FE0ADD61692D}" name="Column12388"/>
    <tableColumn id="12391" xr3:uid="{E6D014B2-7991-49DF-86CF-C56FF3DE6831}" name="Column12389"/>
    <tableColumn id="12392" xr3:uid="{214A8F4A-1C1F-4F8A-A414-4948F7198123}" name="Column12390"/>
    <tableColumn id="12393" xr3:uid="{90A62DE2-5D35-4081-895E-8124EA5F7741}" name="Column12391"/>
    <tableColumn id="12394" xr3:uid="{BB544595-6F2C-446C-B226-CC6DE7CC3100}" name="Column12392"/>
    <tableColumn id="12395" xr3:uid="{769E28B6-36EA-464A-AE99-D3A6ED245161}" name="Column12393"/>
    <tableColumn id="12396" xr3:uid="{4580219D-836D-4555-B688-88175344D0DB}" name="Column12394"/>
    <tableColumn id="12397" xr3:uid="{A185A540-B528-4D9D-A504-AE8BF8310589}" name="Column12395"/>
    <tableColumn id="12398" xr3:uid="{C95257BB-B6C0-4E98-A4A9-567E612C5E28}" name="Column12396"/>
    <tableColumn id="12399" xr3:uid="{398468E9-025C-4C52-8B6F-13BBDEBCF78F}" name="Column12397"/>
    <tableColumn id="12400" xr3:uid="{BB3D2A05-D493-4377-849B-3F2E1601E946}" name="Column12398"/>
    <tableColumn id="12401" xr3:uid="{6CA66057-8907-47E6-8E5D-02AA175E83CF}" name="Column12399"/>
    <tableColumn id="12402" xr3:uid="{5A6B93AB-3BD0-43E9-B031-F8E1B657DC06}" name="Column12400"/>
    <tableColumn id="12403" xr3:uid="{A43144B8-1D33-43DB-BD7B-B47574CDAFA3}" name="Column12401"/>
    <tableColumn id="12404" xr3:uid="{2E243E7B-7DCA-4DE5-BB9F-77FAE77CB1F7}" name="Column12402"/>
    <tableColumn id="12405" xr3:uid="{41E1090F-A19C-454B-B2D3-3B48B2500738}" name="Column12403"/>
    <tableColumn id="12406" xr3:uid="{CD5954BF-F44B-47F0-A36B-560B900C363F}" name="Column12404"/>
    <tableColumn id="12407" xr3:uid="{4A4E5F40-710D-4D77-A1F5-CA15DB30359E}" name="Column12405"/>
    <tableColumn id="12408" xr3:uid="{087419B5-C295-485F-BB6C-70619FB2A2FD}" name="Column12406"/>
    <tableColumn id="12409" xr3:uid="{02AA318C-D5F4-4E14-AACD-0DBFB8124E4A}" name="Column12407"/>
    <tableColumn id="12410" xr3:uid="{B48B7BD9-0A29-4E21-8CCA-E66E8A762877}" name="Column12408"/>
    <tableColumn id="12411" xr3:uid="{B64C4939-81EB-45D4-BA0D-0F45FCC02B65}" name="Column12409"/>
    <tableColumn id="12412" xr3:uid="{A5F64A2B-B29F-464C-A381-2C55EE79ECF1}" name="Column12410"/>
    <tableColumn id="12413" xr3:uid="{51B0B72F-60E7-45A6-A284-D79E7D367F7D}" name="Column12411"/>
    <tableColumn id="12414" xr3:uid="{1E1ACC28-2D15-4898-9AB8-4E2FFB47CC84}" name="Column12412"/>
    <tableColumn id="12415" xr3:uid="{492EF987-5C4D-4FCA-B8C5-B6F2A2CEA7D5}" name="Column12413"/>
    <tableColumn id="12416" xr3:uid="{76A4CE5A-2D97-4D80-9966-45AFAB423D39}" name="Column12414"/>
    <tableColumn id="12417" xr3:uid="{478AE375-1DFB-4895-B97F-268B85D74691}" name="Column12415"/>
    <tableColumn id="12418" xr3:uid="{AFF32CC0-327A-45D9-9E18-E672FACB6A48}" name="Column12416"/>
    <tableColumn id="12419" xr3:uid="{4C268FB2-244F-4A9F-A39D-C3D11EFC40ED}" name="Column12417"/>
    <tableColumn id="12420" xr3:uid="{CB5B9229-7696-429B-9A24-20286B202F9F}" name="Column12418"/>
    <tableColumn id="12421" xr3:uid="{602D2BB9-964C-4EF6-A043-3566C35F3D92}" name="Column12419"/>
    <tableColumn id="12422" xr3:uid="{DF51A3CD-0EB4-410F-86E8-7A81089AA348}" name="Column12420"/>
    <tableColumn id="12423" xr3:uid="{4C76139B-737E-46C9-9441-B629EC63AF5C}" name="Column12421"/>
    <tableColumn id="12424" xr3:uid="{2247108C-0AC9-4601-BABC-09E02C18163E}" name="Column12422"/>
    <tableColumn id="12425" xr3:uid="{A4DF8B19-03CD-4F88-91A6-EB6393FB9766}" name="Column12423"/>
    <tableColumn id="12426" xr3:uid="{6ABD71A3-F50B-48F3-B7E6-7EEFB43E42B4}" name="Column12424"/>
    <tableColumn id="12427" xr3:uid="{063AD3C2-F0F2-441B-A963-DC2F6E5409BF}" name="Column12425"/>
    <tableColumn id="12428" xr3:uid="{821616D8-BC40-452C-8294-00B34457EC74}" name="Column12426"/>
    <tableColumn id="12429" xr3:uid="{A4C79E97-D1F0-4660-BCE7-ECE37C3335DD}" name="Column12427"/>
    <tableColumn id="12430" xr3:uid="{15A88AD6-D4B8-40D0-9C83-49F30870D219}" name="Column12428"/>
    <tableColumn id="12431" xr3:uid="{55E23265-026C-4916-A6E2-2D9F262272FE}" name="Column12429"/>
    <tableColumn id="12432" xr3:uid="{7C468F20-7537-4F58-B64F-409A0F1B44FC}" name="Column12430"/>
    <tableColumn id="12433" xr3:uid="{7EAF979E-5606-4D5D-B6E9-811EA6FD198D}" name="Column12431"/>
    <tableColumn id="12434" xr3:uid="{EB9E8E1A-AF39-4335-89C8-4C6147B0B2E3}" name="Column12432"/>
    <tableColumn id="12435" xr3:uid="{6E9C1741-ABFC-47FC-87AE-26E11CD2C411}" name="Column12433"/>
    <tableColumn id="12436" xr3:uid="{97F5E035-0B5B-4E6C-95FD-5EB7F7DA44CE}" name="Column12434"/>
    <tableColumn id="12437" xr3:uid="{58468E44-FB8E-4A1F-B96D-F4DA1CFE5174}" name="Column12435"/>
    <tableColumn id="12438" xr3:uid="{5C591154-E272-430E-AA6A-4ED04CB558B6}" name="Column12436"/>
    <tableColumn id="12439" xr3:uid="{AE2A6CA3-780A-45C1-A407-66FF741524BC}" name="Column12437"/>
    <tableColumn id="12440" xr3:uid="{75DEE075-F174-461D-BF25-FC9BACFACB57}" name="Column12438"/>
    <tableColumn id="12441" xr3:uid="{5E5F9103-C266-495D-977C-C6B68A944ADE}" name="Column12439"/>
    <tableColumn id="12442" xr3:uid="{AD988F8C-F19A-4752-A756-0E3D91E10E8E}" name="Column12440"/>
    <tableColumn id="12443" xr3:uid="{06F0CC90-F52B-42F2-BD0D-275C6045AA5B}" name="Column12441"/>
    <tableColumn id="12444" xr3:uid="{8BCBDF0F-A42E-456D-83E0-280491B64811}" name="Column12442"/>
    <tableColumn id="12445" xr3:uid="{6A49ACDC-44AF-44A1-B923-9FEE936FF10A}" name="Column12443"/>
    <tableColumn id="12446" xr3:uid="{3ACB065E-5D05-4039-B330-2DA1A97346F1}" name="Column12444"/>
    <tableColumn id="12447" xr3:uid="{29618C11-A9B9-4ECB-B78B-CEB58184A079}" name="Column12445"/>
    <tableColumn id="12448" xr3:uid="{6C08525F-AF13-413D-B7AF-CC5FCA949EB4}" name="Column12446"/>
    <tableColumn id="12449" xr3:uid="{7DDE178D-89E3-4936-A970-E9F90479C702}" name="Column12447"/>
    <tableColumn id="12450" xr3:uid="{59E904F1-E957-4811-8D34-A393CE8171BC}" name="Column12448"/>
    <tableColumn id="12451" xr3:uid="{A5248345-A06C-4E9F-8146-2281B94A0BEE}" name="Column12449"/>
    <tableColumn id="12452" xr3:uid="{0392F562-59C0-40A1-9A49-06E3C041A744}" name="Column12450"/>
    <tableColumn id="12453" xr3:uid="{A5C92E31-2A0B-4444-9C27-19287ED811B7}" name="Column12451"/>
    <tableColumn id="12454" xr3:uid="{31ED60AC-B7FD-422C-A9FF-2470B847B9C9}" name="Column12452"/>
    <tableColumn id="12455" xr3:uid="{4DAF45F8-1A29-410F-8BFA-CE0BAA6AA19E}" name="Column12453"/>
    <tableColumn id="12456" xr3:uid="{FB375D93-D6E4-4386-B82E-9096AFC3AE54}" name="Column12454"/>
    <tableColumn id="12457" xr3:uid="{8FE3DEA9-8ECB-48A1-B642-19FCA55CA39F}" name="Column12455"/>
    <tableColumn id="12458" xr3:uid="{3BB62798-B55D-4CB5-B571-7354A6E2899B}" name="Column12456"/>
    <tableColumn id="12459" xr3:uid="{7D30203F-57ED-4A4E-89D3-78F568285F52}" name="Column12457"/>
    <tableColumn id="12460" xr3:uid="{8A3350D3-4A37-479C-BF39-F585FEB5171D}" name="Column12458"/>
    <tableColumn id="12461" xr3:uid="{41D55BC2-36B9-413F-BFCB-DEA2D8A978DB}" name="Column12459"/>
    <tableColumn id="12462" xr3:uid="{B4B7E983-B50E-478C-A166-ABFE7774E95A}" name="Column12460"/>
    <tableColumn id="12463" xr3:uid="{8E3F77C7-3FC7-4F8B-80FB-492593B63BA4}" name="Column12461"/>
    <tableColumn id="12464" xr3:uid="{31EC81A5-69F8-4E71-BE8E-4430E5D29E43}" name="Column12462"/>
    <tableColumn id="12465" xr3:uid="{88748D56-96C0-4158-B525-982FED256FA9}" name="Column12463"/>
    <tableColumn id="12466" xr3:uid="{55A2C8A9-5683-4100-8F56-98EB3CCF7ED8}" name="Column12464"/>
    <tableColumn id="12467" xr3:uid="{A90BFF93-1180-457E-BDAA-F0591863C579}" name="Column12465"/>
    <tableColumn id="12468" xr3:uid="{60C6696F-F035-4A25-B32C-4BA907D83D09}" name="Column12466"/>
    <tableColumn id="12469" xr3:uid="{1E8EBD4B-B6C9-4EC2-987E-14EE6D0C6F82}" name="Column12467"/>
    <tableColumn id="12470" xr3:uid="{B2F3AD36-5CFE-4134-9E74-EE2C75B225D8}" name="Column12468"/>
    <tableColumn id="12471" xr3:uid="{14F4C862-D80B-4320-9705-C6E3163C368B}" name="Column12469"/>
    <tableColumn id="12472" xr3:uid="{5468AFE6-698F-47AF-BB3E-E288968891D9}" name="Column12470"/>
    <tableColumn id="12473" xr3:uid="{D0FAD27D-8B67-4C12-98B6-D4519D08FE3B}" name="Column12471"/>
    <tableColumn id="12474" xr3:uid="{4F404F7C-3B83-4924-B002-EBE1D7EEE85E}" name="Column12472"/>
    <tableColumn id="12475" xr3:uid="{9D537506-DA64-4FDA-BA86-8FED93014BD1}" name="Column12473"/>
    <tableColumn id="12476" xr3:uid="{B7216392-B6F0-42EE-A057-EDA6ADAE39DC}" name="Column12474"/>
    <tableColumn id="12477" xr3:uid="{E94CB820-3D5B-42B1-B4CA-3FBEC8BEB375}" name="Column12475"/>
    <tableColumn id="12478" xr3:uid="{3E0A134A-B85B-4B99-997C-73DFD58237F6}" name="Column12476"/>
    <tableColumn id="12479" xr3:uid="{83FA2452-E7F9-46FA-9955-96D40BCCED32}" name="Column12477"/>
    <tableColumn id="12480" xr3:uid="{1C529CC3-F4DB-4FE8-8B8B-92E449953FE8}" name="Column12478"/>
    <tableColumn id="12481" xr3:uid="{CFCC6102-2EB9-49A3-9D2A-BECC62B3F5C4}" name="Column12479"/>
    <tableColumn id="12482" xr3:uid="{3758ADA6-7BB6-4B55-BE2A-98AFBE866663}" name="Column12480"/>
    <tableColumn id="12483" xr3:uid="{04000EB7-5711-44B9-B613-5DDE09D99C37}" name="Column12481"/>
    <tableColumn id="12484" xr3:uid="{3F796D34-3077-4595-8765-43FE4AC69F4B}" name="Column12482"/>
    <tableColumn id="12485" xr3:uid="{C93EBE4B-B804-4099-B22F-137A12E6FE4B}" name="Column12483"/>
    <tableColumn id="12486" xr3:uid="{4EC10B7D-0EE3-4491-A8D2-DBD3A2426339}" name="Column12484"/>
    <tableColumn id="12487" xr3:uid="{926ABD20-1D93-4F02-9EDE-1F948DAD2637}" name="Column12485"/>
    <tableColumn id="12488" xr3:uid="{73F194A8-FFBD-4219-B9BE-FD3764498021}" name="Column12486"/>
    <tableColumn id="12489" xr3:uid="{8F707A0A-3C65-4685-8C79-71B5402CE140}" name="Column12487"/>
    <tableColumn id="12490" xr3:uid="{2BD9FC71-690A-4B39-A7F4-56D4D0E68130}" name="Column12488"/>
    <tableColumn id="12491" xr3:uid="{5A7A386D-C51B-4DE9-8EC4-6003D1CFD34D}" name="Column12489"/>
    <tableColumn id="12492" xr3:uid="{7960E37D-9442-48A3-9E53-31D0E30BFE37}" name="Column12490"/>
    <tableColumn id="12493" xr3:uid="{85DAA879-3C7D-4102-9069-3B4D9FFF1D4C}" name="Column12491"/>
    <tableColumn id="12494" xr3:uid="{BCFA5E9A-A54A-42FC-94D5-F8CC3ADC13DF}" name="Column12492"/>
    <tableColumn id="12495" xr3:uid="{800071D4-A858-4B53-BCC3-1754C864A00F}" name="Column12493"/>
    <tableColumn id="12496" xr3:uid="{26F4775C-C1D8-42BD-AF38-F129BD0A0F43}" name="Column12494"/>
    <tableColumn id="12497" xr3:uid="{FC1087ED-449F-4680-B78D-CA96B345D83F}" name="Column12495"/>
    <tableColumn id="12498" xr3:uid="{3F8FDDBD-FE53-4509-B069-F02FEAC6256A}" name="Column12496"/>
    <tableColumn id="12499" xr3:uid="{A4CEC0C6-504E-4F04-85DF-93B91150C153}" name="Column12497"/>
    <tableColumn id="12500" xr3:uid="{4140B1C3-5AE9-45DB-BD2E-8248DFCEAD81}" name="Column12498"/>
    <tableColumn id="12501" xr3:uid="{6ED922AF-5A8D-4E1D-BD7C-20C195C31ABB}" name="Column12499"/>
    <tableColumn id="12502" xr3:uid="{4720A4DC-4D65-4661-BC11-4B74EE694B66}" name="Column12500"/>
    <tableColumn id="12503" xr3:uid="{272F29E1-6A0F-45B0-A40E-878E931A50D3}" name="Column12501"/>
    <tableColumn id="12504" xr3:uid="{15B53CF8-8441-43BA-A7D6-B76353A3E472}" name="Column12502"/>
    <tableColumn id="12505" xr3:uid="{61D4C510-5BD0-4E8A-84DC-31090BD57BEC}" name="Column12503"/>
    <tableColumn id="12506" xr3:uid="{7B3979F0-7009-4E64-AFD2-40C4D41EA137}" name="Column12504"/>
    <tableColumn id="12507" xr3:uid="{35296FE9-AC49-46BD-93E3-EE80CD548FB9}" name="Column12505"/>
    <tableColumn id="12508" xr3:uid="{562C4B0C-7331-4DC1-B55C-6198E332F911}" name="Column12506"/>
    <tableColumn id="12509" xr3:uid="{4321C8C1-E5F5-4C62-9BED-523A2ED98CFE}" name="Column12507"/>
    <tableColumn id="12510" xr3:uid="{BCFB2630-2263-495B-A138-96D5F52149FE}" name="Column12508"/>
    <tableColumn id="12511" xr3:uid="{C957D5FF-EC3E-49C2-B510-BCEE36E61F3C}" name="Column12509"/>
    <tableColumn id="12512" xr3:uid="{83CA9585-6E28-49E5-9D5F-294CA4CEA2BF}" name="Column12510"/>
    <tableColumn id="12513" xr3:uid="{4D1E1028-F44B-4FA4-8528-1CB2B2C9EFA4}" name="Column12511"/>
    <tableColumn id="12514" xr3:uid="{88C63879-D9EC-46FD-A431-2CE418DCE4C9}" name="Column12512"/>
    <tableColumn id="12515" xr3:uid="{953328E7-023D-49CB-8F28-57F57AE1C38D}" name="Column12513"/>
    <tableColumn id="12516" xr3:uid="{0B599092-33EC-4696-82D0-5456189D6136}" name="Column12514"/>
    <tableColumn id="12517" xr3:uid="{92C45B7A-15AD-4DE4-A413-38A6C10B1268}" name="Column12515"/>
    <tableColumn id="12518" xr3:uid="{5F492320-797D-4DA1-A073-AC8FD12F7B81}" name="Column12516"/>
    <tableColumn id="12519" xr3:uid="{11C26287-16CD-40B5-A520-B56197085499}" name="Column12517"/>
    <tableColumn id="12520" xr3:uid="{6CC921C7-F499-4659-9F0A-104AA8CC6BD0}" name="Column12518"/>
    <tableColumn id="12521" xr3:uid="{BF390632-E8BF-486D-8F69-7F67254BED91}" name="Column12519"/>
    <tableColumn id="12522" xr3:uid="{73F9FD81-B43C-42B7-A10A-5C76F18C7F85}" name="Column12520"/>
    <tableColumn id="12523" xr3:uid="{280DBE0B-F3DA-4AE5-86A6-5A6A82491F4A}" name="Column12521"/>
    <tableColumn id="12524" xr3:uid="{63698878-575C-4666-92ED-CF12F5EE93F2}" name="Column12522"/>
    <tableColumn id="12525" xr3:uid="{DB841003-9FDC-425C-AEAC-C5F3A61FA605}" name="Column12523"/>
    <tableColumn id="12526" xr3:uid="{66BAB89A-0FBD-4E75-A92F-BD2ACC8F553D}" name="Column12524"/>
    <tableColumn id="12527" xr3:uid="{5406E1F8-F2A1-4A12-A958-86CAAC0FEBB3}" name="Column12525"/>
    <tableColumn id="12528" xr3:uid="{73C3F469-06D5-43AE-8855-984E28D5145C}" name="Column12526"/>
    <tableColumn id="12529" xr3:uid="{C4DE497D-3365-4320-A458-03DB2D4DFB46}" name="Column12527"/>
    <tableColumn id="12530" xr3:uid="{DF205F75-26D0-4F15-8A80-0EA17B7E7D0C}" name="Column12528"/>
    <tableColumn id="12531" xr3:uid="{DEB52FEB-0240-4A87-843B-A7625691DA11}" name="Column12529"/>
    <tableColumn id="12532" xr3:uid="{5519AA8B-8B66-4ED7-8F66-3A438CF8FFDB}" name="Column12530"/>
    <tableColumn id="12533" xr3:uid="{5CE99360-12E7-41B3-B648-1280324D995C}" name="Column12531"/>
    <tableColumn id="12534" xr3:uid="{0A77C613-9974-4718-ABB4-F5126E4083FF}" name="Column12532"/>
    <tableColumn id="12535" xr3:uid="{E42EC52B-C2E8-4BBC-B448-7B0F3C198A3B}" name="Column12533"/>
    <tableColumn id="12536" xr3:uid="{6E1DFF95-5AD3-4083-A690-A29C8F015D18}" name="Column12534"/>
    <tableColumn id="12537" xr3:uid="{4EDF4938-6C84-4F1F-990D-94511F6C6D36}" name="Column12535"/>
    <tableColumn id="12538" xr3:uid="{C2F8C412-0E1F-4118-8E6D-E8FE6CCCC8AC}" name="Column12536"/>
    <tableColumn id="12539" xr3:uid="{8E2D0551-4796-4E6B-A53E-CD1D0E9A8A5A}" name="Column12537"/>
    <tableColumn id="12540" xr3:uid="{0CC700DE-10A7-48D1-87AE-E51EA4314D0F}" name="Column12538"/>
    <tableColumn id="12541" xr3:uid="{096B82E0-D2FD-42AF-B98A-EAC3E99A211D}" name="Column12539"/>
    <tableColumn id="12542" xr3:uid="{19790536-8E1A-47C0-9087-E4E43BC6B9BF}" name="Column12540"/>
    <tableColumn id="12543" xr3:uid="{C6731E81-1742-49B1-BBFC-74C7B92D8537}" name="Column12541"/>
    <tableColumn id="12544" xr3:uid="{48A37355-8A99-44E5-AA9C-9EBEBCB46091}" name="Column12542"/>
    <tableColumn id="12545" xr3:uid="{AD8DCBC8-46DF-440B-A762-CB6386C3AD71}" name="Column12543"/>
    <tableColumn id="12546" xr3:uid="{F498313D-5966-4B00-AB13-52E789D66636}" name="Column12544"/>
    <tableColumn id="12547" xr3:uid="{C4C1CCAC-A6A5-4408-BF4F-7225CF6921CE}" name="Column12545"/>
    <tableColumn id="12548" xr3:uid="{6CEBFF32-1C35-4EAF-A499-52E8A05A93DC}" name="Column12546"/>
    <tableColumn id="12549" xr3:uid="{79C9CD9D-60F5-45A8-8A5C-9D0D73580C11}" name="Column12547"/>
    <tableColumn id="12550" xr3:uid="{EDE2F587-C1DF-4546-809A-1A69ABD5CD25}" name="Column12548"/>
    <tableColumn id="12551" xr3:uid="{39EDE553-C1D8-41AB-A662-F0BDF0F6A101}" name="Column12549"/>
    <tableColumn id="12552" xr3:uid="{EB088A33-A952-4C81-AD38-C87DE15324F5}" name="Column12550"/>
    <tableColumn id="12553" xr3:uid="{C93E62C1-FCDA-4457-BAC1-7FE0E7779A36}" name="Column12551"/>
    <tableColumn id="12554" xr3:uid="{8B3E9AB6-E961-4B1F-8141-56E35F62B762}" name="Column12552"/>
    <tableColumn id="12555" xr3:uid="{8CECBEEE-035B-4D10-A0B8-2C7C116C32C4}" name="Column12553"/>
    <tableColumn id="12556" xr3:uid="{19B65023-25E8-4699-8E4F-A53353DD4B12}" name="Column12554"/>
    <tableColumn id="12557" xr3:uid="{E997DC0D-9B2F-44A4-B2C7-5216F2BC432E}" name="Column12555"/>
    <tableColumn id="12558" xr3:uid="{C74A5451-6A37-490E-A0FC-0E783CCB2696}" name="Column12556"/>
    <tableColumn id="12559" xr3:uid="{A4FF8383-EB39-4A28-89C7-A8660CF32A4D}" name="Column12557"/>
    <tableColumn id="12560" xr3:uid="{6E3B6EFE-0888-48F0-BF95-E8DA933EB0A4}" name="Column12558"/>
    <tableColumn id="12561" xr3:uid="{A112860E-6668-4499-9F0B-977F78CFD133}" name="Column12559"/>
    <tableColumn id="12562" xr3:uid="{E1B780BE-1350-4D65-8D7A-A95871E4D8DE}" name="Column12560"/>
    <tableColumn id="12563" xr3:uid="{CBB7D22F-7E8E-43C9-8356-4479FF51BA41}" name="Column12561"/>
    <tableColumn id="12564" xr3:uid="{E720E161-52FD-472E-8291-1974CDBEFA5F}" name="Column12562"/>
    <tableColumn id="12565" xr3:uid="{EE62679B-1968-4FFC-8E02-04B5204D6A14}" name="Column12563"/>
    <tableColumn id="12566" xr3:uid="{C0C3BF54-0AAC-4A85-B96E-12488FC27C29}" name="Column12564"/>
    <tableColumn id="12567" xr3:uid="{38F1BA15-E738-48A6-BF22-03D82A8E6602}" name="Column12565"/>
    <tableColumn id="12568" xr3:uid="{6263D3A1-E7CA-4B3F-B4B5-B84BEC5A4076}" name="Column12566"/>
    <tableColumn id="12569" xr3:uid="{F1826A39-440A-45C1-9B6A-067A88046895}" name="Column12567"/>
    <tableColumn id="12570" xr3:uid="{40FAEB95-BE56-45C1-841C-F6180C033365}" name="Column12568"/>
    <tableColumn id="12571" xr3:uid="{36109803-ABBC-4BD4-90C7-209F1D0BDDA2}" name="Column12569"/>
    <tableColumn id="12572" xr3:uid="{28059DB3-CC01-4ED0-A841-A8E5A55062C3}" name="Column12570"/>
    <tableColumn id="12573" xr3:uid="{73424C48-F683-4806-BC80-4FE82E53ED74}" name="Column12571"/>
    <tableColumn id="12574" xr3:uid="{4D6E18E9-68CA-4FAB-9DEA-1D5B8B345581}" name="Column12572"/>
    <tableColumn id="12575" xr3:uid="{DEA3A3AA-FB7A-4736-9FAC-F3912A463A39}" name="Column12573"/>
    <tableColumn id="12576" xr3:uid="{D895DF5E-1ADE-47EE-946A-F4AE58F1FD51}" name="Column12574"/>
    <tableColumn id="12577" xr3:uid="{B5103E3D-C6E6-4751-B51A-CD58B4ED23EA}" name="Column12575"/>
    <tableColumn id="12578" xr3:uid="{522ED9A3-02E0-4B99-BE7D-ED8D099453E0}" name="Column12576"/>
    <tableColumn id="12579" xr3:uid="{1D92D498-B5C4-4A53-BB51-7698A2255790}" name="Column12577"/>
    <tableColumn id="12580" xr3:uid="{08B19B76-C661-4007-97F7-4B76EFF3A338}" name="Column12578"/>
    <tableColumn id="12581" xr3:uid="{08E31973-41CE-4904-838A-B97CC899882E}" name="Column12579"/>
    <tableColumn id="12582" xr3:uid="{D456FFFB-06A3-4620-84D0-0E657C507E6F}" name="Column12580"/>
    <tableColumn id="12583" xr3:uid="{99FB2F90-64BF-4E26-84B6-DB722B168980}" name="Column12581"/>
    <tableColumn id="12584" xr3:uid="{EC685D9B-273F-47D4-8061-A647D0DC92DD}" name="Column12582"/>
    <tableColumn id="12585" xr3:uid="{6CE64A15-4DD5-40CA-8527-C350E35F6DCB}" name="Column12583"/>
    <tableColumn id="12586" xr3:uid="{6A452ADF-79E2-4050-8A09-1C4E86F95648}" name="Column12584"/>
    <tableColumn id="12587" xr3:uid="{E80B8F51-A4B8-44C7-B14E-DFCCB76FBF64}" name="Column12585"/>
    <tableColumn id="12588" xr3:uid="{056DBB1F-CAF1-4CBD-83F1-BC64A480762A}" name="Column12586"/>
    <tableColumn id="12589" xr3:uid="{0CB784D3-5231-4B6D-82DF-C044BD95FDF4}" name="Column12587"/>
    <tableColumn id="12590" xr3:uid="{A75C28C9-CFBD-42E2-A0B6-478BBA83C373}" name="Column12588"/>
    <tableColumn id="12591" xr3:uid="{245A7E3A-634D-4CE7-B9EF-EBEF0CF075A1}" name="Column12589"/>
    <tableColumn id="12592" xr3:uid="{37F2D606-4115-4743-8483-63D5829243FC}" name="Column12590"/>
    <tableColumn id="12593" xr3:uid="{49EB56DC-77B7-4AFE-9078-127B567F2A6B}" name="Column12591"/>
    <tableColumn id="12594" xr3:uid="{D5BC2DD9-5E42-463D-B377-4C964831E174}" name="Column12592"/>
    <tableColumn id="12595" xr3:uid="{26E1A0FD-544A-49D3-82D5-5EBAAD4BDDD7}" name="Column12593"/>
    <tableColumn id="12596" xr3:uid="{BBF29BE1-63F4-438F-94EA-951095CD9320}" name="Column12594"/>
    <tableColumn id="12597" xr3:uid="{050F2FD0-4CD4-4F5A-83E9-906606CD8F85}" name="Column12595"/>
    <tableColumn id="12598" xr3:uid="{3DCC3053-7DA1-4B24-B1CA-5C8C002C0F74}" name="Column12596"/>
    <tableColumn id="12599" xr3:uid="{19A774DC-E7D1-4C75-B0FB-6AF5F90B5F3B}" name="Column12597"/>
    <tableColumn id="12600" xr3:uid="{ED64DBAB-77EF-45F6-9C9C-76AEF6EAA86E}" name="Column12598"/>
    <tableColumn id="12601" xr3:uid="{4D8F4E62-A181-4839-AEF5-87D7E1D88889}" name="Column12599"/>
    <tableColumn id="12602" xr3:uid="{4863C55B-1D4B-4146-AA7F-1D650535A69D}" name="Column12600"/>
    <tableColumn id="12603" xr3:uid="{CD9F64F1-6006-4320-BCC4-37C91F24DD25}" name="Column12601"/>
    <tableColumn id="12604" xr3:uid="{2C729B22-FE28-47CF-B063-93CED3D76E21}" name="Column12602"/>
    <tableColumn id="12605" xr3:uid="{F55719DA-9A80-43D2-A2B6-AA22D0B777DA}" name="Column12603"/>
    <tableColumn id="12606" xr3:uid="{26AE84AA-FAA7-4310-9492-FAF99C4CEC1F}" name="Column12604"/>
    <tableColumn id="12607" xr3:uid="{4B161602-27BD-4C00-B4EC-70A8B288B290}" name="Column12605"/>
    <tableColumn id="12608" xr3:uid="{C6ACC2F0-C2B9-4841-AD28-AAB81D7B3800}" name="Column12606"/>
    <tableColumn id="12609" xr3:uid="{7434D387-CC43-42AD-8CF7-15E53E01E257}" name="Column12607"/>
    <tableColumn id="12610" xr3:uid="{D9ED2C09-E427-44DC-8DDE-1332201E6405}" name="Column12608"/>
    <tableColumn id="12611" xr3:uid="{65FB2641-2878-4710-BD13-135D34D01E1C}" name="Column12609"/>
    <tableColumn id="12612" xr3:uid="{F76C9C0D-3550-4710-A51D-F5FF81BB676C}" name="Column12610"/>
    <tableColumn id="12613" xr3:uid="{07DAFDAA-EA17-4A8A-91F3-DC75B2F56C65}" name="Column12611"/>
    <tableColumn id="12614" xr3:uid="{15545421-7D1D-4A9E-B0B3-864DF8F132C4}" name="Column12612"/>
    <tableColumn id="12615" xr3:uid="{30040F42-A09A-4D19-A094-5B5BC1B69B98}" name="Column12613"/>
    <tableColumn id="12616" xr3:uid="{8606CBB2-70D7-43E2-8BAF-81DC89CAFD2B}" name="Column12614"/>
    <tableColumn id="12617" xr3:uid="{03D3CACC-5071-407B-8592-AF7D92A0258C}" name="Column12615"/>
    <tableColumn id="12618" xr3:uid="{8CDA7618-04F9-4566-8A07-FEF61481B4DF}" name="Column12616"/>
    <tableColumn id="12619" xr3:uid="{4F091190-465D-4C6B-A8B0-EE9AC6006BE6}" name="Column12617"/>
    <tableColumn id="12620" xr3:uid="{E3C66A3E-4904-44FD-8650-CAC279A43986}" name="Column12618"/>
    <tableColumn id="12621" xr3:uid="{3351DBA5-FEB3-4898-BF48-EAF0B013E1DB}" name="Column12619"/>
    <tableColumn id="12622" xr3:uid="{F235763F-007F-4F3B-88B6-CDA1863E7EEB}" name="Column12620"/>
    <tableColumn id="12623" xr3:uid="{27F88BF3-58AD-4B18-9DCE-E229E348D4D4}" name="Column12621"/>
    <tableColumn id="12624" xr3:uid="{03B099CD-5C55-43F0-BACD-737CDD80EAEF}" name="Column12622"/>
    <tableColumn id="12625" xr3:uid="{002A76C2-6448-4FB7-A660-BED75F699EA0}" name="Column12623"/>
    <tableColumn id="12626" xr3:uid="{F624DA0D-D84B-4E98-8D3B-2249281E061A}" name="Column12624"/>
    <tableColumn id="12627" xr3:uid="{3A8B47A0-D991-41CC-B3A7-8AD7273E2D94}" name="Column12625"/>
    <tableColumn id="12628" xr3:uid="{DC9CA167-A2FB-4B64-881C-0E451C61E75C}" name="Column12626"/>
    <tableColumn id="12629" xr3:uid="{A6F0731C-4CFF-48FB-8E9F-E9857060D71D}" name="Column12627"/>
    <tableColumn id="12630" xr3:uid="{176303C0-8F8A-41DC-88AC-52DEAB92252D}" name="Column12628"/>
    <tableColumn id="12631" xr3:uid="{09F29C50-DC25-4AB1-A00C-EAB5A9340D63}" name="Column12629"/>
    <tableColumn id="12632" xr3:uid="{FD5FAEE0-BAF1-4A66-A121-96DE8A8297B7}" name="Column12630"/>
    <tableColumn id="12633" xr3:uid="{3AAB660A-5464-43CD-8120-4AD8B9619702}" name="Column12631"/>
    <tableColumn id="12634" xr3:uid="{99F97D2C-A812-469B-A0A8-70211B57E5DB}" name="Column12632"/>
    <tableColumn id="12635" xr3:uid="{3CC218A0-A5EC-4AB8-944E-AD98CB0852BC}" name="Column12633"/>
    <tableColumn id="12636" xr3:uid="{31C54105-5369-45EB-AE57-0825BE241C57}" name="Column12634"/>
    <tableColumn id="12637" xr3:uid="{60B4DBEF-F535-4D3D-90C8-A6EF522EA74C}" name="Column12635"/>
    <tableColumn id="12638" xr3:uid="{C163BCF4-612F-4B9C-A11D-9F1A45DE3574}" name="Column12636"/>
    <tableColumn id="12639" xr3:uid="{BBEF6BDD-42C8-46BC-A982-CAD8E7DD2079}" name="Column12637"/>
    <tableColumn id="12640" xr3:uid="{5CFBD8DC-2E87-4F1A-83F3-AE45773CE589}" name="Column12638"/>
    <tableColumn id="12641" xr3:uid="{10EB3E82-1D6E-49CD-AD42-53967C5F09BF}" name="Column12639"/>
    <tableColumn id="12642" xr3:uid="{7C2BE285-DB84-4430-8C4F-312EC1CBBE73}" name="Column12640"/>
    <tableColumn id="12643" xr3:uid="{3795558D-3C03-46EE-8C54-D1A76E2101D4}" name="Column12641"/>
    <tableColumn id="12644" xr3:uid="{A879A7EC-59CB-4501-9EA4-F63E8CC61639}" name="Column12642"/>
    <tableColumn id="12645" xr3:uid="{59FC6C04-3FAC-4C93-A3D9-22B7271A22F5}" name="Column12643"/>
    <tableColumn id="12646" xr3:uid="{9DCD1783-283A-45B3-BFBB-35E3A6EDC7F0}" name="Column12644"/>
    <tableColumn id="12647" xr3:uid="{CC6F73E4-4B46-4F66-94D9-E0F35183916F}" name="Column12645"/>
    <tableColumn id="12648" xr3:uid="{EAE621F7-D5EB-470A-9507-465C0CA9F9BC}" name="Column12646"/>
    <tableColumn id="12649" xr3:uid="{59F06018-5686-4E81-AEB2-DD5EA6C41B97}" name="Column12647"/>
    <tableColumn id="12650" xr3:uid="{C701FE58-1F77-41E9-A147-6B6B0F772171}" name="Column12648"/>
    <tableColumn id="12651" xr3:uid="{4764BC35-8441-4992-9CBD-F17E9653087F}" name="Column12649"/>
    <tableColumn id="12652" xr3:uid="{1274A6A6-2C11-42E5-A226-7C57E75CBFB3}" name="Column12650"/>
    <tableColumn id="12653" xr3:uid="{4598CEBE-A041-4F26-B517-6946A7940B68}" name="Column12651"/>
    <tableColumn id="12654" xr3:uid="{1010A3F7-A6BE-4F76-8C61-58BC5299E33F}" name="Column12652"/>
    <tableColumn id="12655" xr3:uid="{8BD88FF5-3C27-45D9-91BB-6A9BA6876673}" name="Column12653"/>
    <tableColumn id="12656" xr3:uid="{2324F839-D766-40F6-A03D-6F421EE09D4C}" name="Column12654"/>
    <tableColumn id="12657" xr3:uid="{8C303B6C-C5E8-4EAE-B985-0E9DEE05A157}" name="Column12655"/>
    <tableColumn id="12658" xr3:uid="{878C19E1-C0F6-4354-9A2C-43A6F71B02D5}" name="Column12656"/>
    <tableColumn id="12659" xr3:uid="{2A601C75-FC5C-447F-9131-9ECC794086B8}" name="Column12657"/>
    <tableColumn id="12660" xr3:uid="{42D4A716-7DA3-4D77-938F-33CFC588FFBA}" name="Column12658"/>
    <tableColumn id="12661" xr3:uid="{8BD86471-625B-4D33-A619-1C7A40DEC8B7}" name="Column12659"/>
    <tableColumn id="12662" xr3:uid="{68BBBC6A-BB48-4DBE-A975-46D4BBEC3B00}" name="Column12660"/>
    <tableColumn id="12663" xr3:uid="{2E6B890F-0BB3-4FDD-BCDC-A836580B1E74}" name="Column12661"/>
    <tableColumn id="12664" xr3:uid="{9A9F373D-D304-4A1A-A599-09E95902F5FF}" name="Column12662"/>
    <tableColumn id="12665" xr3:uid="{8368EF23-1826-480A-8E1A-F3246BF0CDCC}" name="Column12663"/>
    <tableColumn id="12666" xr3:uid="{87D7A5C1-9D22-468E-A55E-98BAEE4038A8}" name="Column12664"/>
    <tableColumn id="12667" xr3:uid="{E058FBBD-F3A8-4CD6-8B8F-D4EBFF11A3C1}" name="Column12665"/>
    <tableColumn id="12668" xr3:uid="{C72137E2-D54D-4199-8854-3E273A03A94A}" name="Column12666"/>
    <tableColumn id="12669" xr3:uid="{44DEF8B6-6F16-4E2F-BB8C-AB89DA3831DB}" name="Column12667"/>
    <tableColumn id="12670" xr3:uid="{51C096DC-CB1A-4BED-9BD9-E91BAB5289D4}" name="Column12668"/>
    <tableColumn id="12671" xr3:uid="{77E9F478-914E-402B-9E8C-703F1172DA7C}" name="Column12669"/>
    <tableColumn id="12672" xr3:uid="{F62B1006-8EC3-4833-BA36-B190C1D65C9D}" name="Column12670"/>
    <tableColumn id="12673" xr3:uid="{3A3DA640-DC65-4E49-B230-7A0BE91D8FF9}" name="Column12671"/>
    <tableColumn id="12674" xr3:uid="{4EC2329C-A4EC-4D2B-9B2B-FE877C3D6703}" name="Column12672"/>
    <tableColumn id="12675" xr3:uid="{5F54E84F-CBD8-4C60-9A76-367FADA343A6}" name="Column12673"/>
    <tableColumn id="12676" xr3:uid="{2521111A-9E0F-49DE-BE29-41D1FB388052}" name="Column12674"/>
    <tableColumn id="12677" xr3:uid="{02836B59-84D9-434E-988C-E1B995B3E4D6}" name="Column12675"/>
    <tableColumn id="12678" xr3:uid="{24F4D089-C657-4E82-A074-127DE0C695D3}" name="Column12676"/>
    <tableColumn id="12679" xr3:uid="{701730CA-2A75-4552-8731-0C9632B5035A}" name="Column12677"/>
    <tableColumn id="12680" xr3:uid="{8FFF1AE7-F67E-4BDA-8B89-78D4FE08A066}" name="Column12678"/>
    <tableColumn id="12681" xr3:uid="{8D6C4381-B2D2-4B5F-B1BA-0C2E9085758F}" name="Column12679"/>
    <tableColumn id="12682" xr3:uid="{D7377CED-3003-45CC-B4DF-9B221B02A60A}" name="Column12680"/>
    <tableColumn id="12683" xr3:uid="{F8573BC6-1106-4F59-9288-143ED739446C}" name="Column12681"/>
    <tableColumn id="12684" xr3:uid="{F695C8C0-82F4-4DF2-901F-B901984A0B60}" name="Column12682"/>
    <tableColumn id="12685" xr3:uid="{47C03476-937E-4C64-89D0-A89917ABBA23}" name="Column12683"/>
    <tableColumn id="12686" xr3:uid="{B048BF65-6964-46B5-9316-D56D8F446906}" name="Column12684"/>
    <tableColumn id="12687" xr3:uid="{4338C431-34CF-49E6-BAC7-F217590871ED}" name="Column12685"/>
    <tableColumn id="12688" xr3:uid="{17483AE9-BA57-4279-AC50-DA5515C99868}" name="Column12686"/>
    <tableColumn id="12689" xr3:uid="{EC505106-85DB-443E-AEC6-4E8E11C988A8}" name="Column12687"/>
    <tableColumn id="12690" xr3:uid="{89A3ADE5-DBE8-48C9-B538-52D06ADBF245}" name="Column12688"/>
    <tableColumn id="12691" xr3:uid="{670DDE84-C25D-42CB-AF9B-63C3470E9E2F}" name="Column12689"/>
    <tableColumn id="12692" xr3:uid="{0982C595-3ADA-4C43-B71C-23F1F2E85C63}" name="Column12690"/>
    <tableColumn id="12693" xr3:uid="{CC03B073-98A2-413B-82B3-604015F5AE5B}" name="Column12691"/>
    <tableColumn id="12694" xr3:uid="{233A6952-89F0-4B54-952D-79C1FED066B8}" name="Column12692"/>
    <tableColumn id="12695" xr3:uid="{09A981BD-9495-4F5A-AB00-EF29F2346D8B}" name="Column12693"/>
    <tableColumn id="12696" xr3:uid="{CC0B2E43-69A4-4514-83AF-2D90151E75CA}" name="Column12694"/>
    <tableColumn id="12697" xr3:uid="{40032F6F-E03F-41F4-866C-55635F6719BD}" name="Column12695"/>
    <tableColumn id="12698" xr3:uid="{D3339FC4-FA08-4176-8555-29C7B78280B9}" name="Column12696"/>
    <tableColumn id="12699" xr3:uid="{A6CBE38E-3064-4665-92E3-4E0031286FC3}" name="Column12697"/>
    <tableColumn id="12700" xr3:uid="{498DA237-A83E-46B0-A699-E31A358AA8B5}" name="Column12698"/>
    <tableColumn id="12701" xr3:uid="{D6054809-4A7E-4D4F-A3E1-20A1CF0773B8}" name="Column12699"/>
    <tableColumn id="12702" xr3:uid="{A0E6A47B-A7F7-4159-915E-A9DB24F13293}" name="Column12700"/>
    <tableColumn id="12703" xr3:uid="{0CB8E56C-57A7-4362-80C2-A11848462768}" name="Column12701"/>
    <tableColumn id="12704" xr3:uid="{5C12871B-7D35-423C-9145-32A8E0AAC9B2}" name="Column12702"/>
    <tableColumn id="12705" xr3:uid="{05B1402C-4A87-4237-B842-D09AFD193569}" name="Column12703"/>
    <tableColumn id="12706" xr3:uid="{8AF031EA-F08D-4100-998F-C4179D0687EF}" name="Column12704"/>
    <tableColumn id="12707" xr3:uid="{F7FF23FB-3665-49B8-A93A-ABA542F5EC2F}" name="Column12705"/>
    <tableColumn id="12708" xr3:uid="{2E85E101-1B58-4792-BC9E-E68A41652CDD}" name="Column12706"/>
    <tableColumn id="12709" xr3:uid="{2EC8111A-1066-4A5D-A916-04B044139B78}" name="Column12707"/>
    <tableColumn id="12710" xr3:uid="{B80FD4E6-F400-4C9F-B242-843A4A774D75}" name="Column12708"/>
    <tableColumn id="12711" xr3:uid="{02A5AC89-CA7A-424E-8B2E-0C02B989EEFB}" name="Column12709"/>
    <tableColumn id="12712" xr3:uid="{CE2FB37B-B74A-4148-836F-B5517A525F5B}" name="Column12710"/>
    <tableColumn id="12713" xr3:uid="{9C675E21-2FAF-445C-8BA0-DC066814C79C}" name="Column12711"/>
    <tableColumn id="12714" xr3:uid="{1B4ECECF-AE59-4093-9622-6441D602FD6D}" name="Column12712"/>
    <tableColumn id="12715" xr3:uid="{D2943A15-C406-463D-A0F6-8B9B1FEE1E4E}" name="Column12713"/>
    <tableColumn id="12716" xr3:uid="{A4EFF6AB-A442-4FF9-B953-0AB807A25FC3}" name="Column12714"/>
    <tableColumn id="12717" xr3:uid="{7A0EEF00-2646-40A1-B377-5B659BF41D18}" name="Column12715"/>
    <tableColumn id="12718" xr3:uid="{184BE3F4-A740-4910-BA7F-07389E49FE5D}" name="Column12716"/>
    <tableColumn id="12719" xr3:uid="{37F4186A-4562-46A9-B86A-7C6AF1334A29}" name="Column12717"/>
    <tableColumn id="12720" xr3:uid="{6325C873-D86A-493E-9A5D-EEF1F2882B4F}" name="Column12718"/>
    <tableColumn id="12721" xr3:uid="{CC8DAEF3-4C2F-4D0D-B2E3-95560B7F46AC}" name="Column12719"/>
    <tableColumn id="12722" xr3:uid="{8BE5C605-6321-4687-BAF7-7FD527083503}" name="Column12720"/>
    <tableColumn id="12723" xr3:uid="{49DEA763-E56D-444E-A388-9061C089C657}" name="Column12721"/>
    <tableColumn id="12724" xr3:uid="{0ECCC8E6-C101-4313-BBB8-7BD2D6C638C4}" name="Column12722"/>
    <tableColumn id="12725" xr3:uid="{01FE48C1-B758-4588-A484-1DC6112D85A7}" name="Column12723"/>
    <tableColumn id="12726" xr3:uid="{D31F9518-ED27-42A4-86D7-94553DB143EC}" name="Column12724"/>
    <tableColumn id="12727" xr3:uid="{4F2F77DD-681D-427E-9793-7B3506DC3CF0}" name="Column12725"/>
    <tableColumn id="12728" xr3:uid="{8AD3EFD8-F673-4755-90E2-471DD0459333}" name="Column12726"/>
    <tableColumn id="12729" xr3:uid="{58660189-F15F-4B09-9B4F-2990AB8A2945}" name="Column12727"/>
    <tableColumn id="12730" xr3:uid="{1653B2A0-007B-4089-A6B3-3155A73600E2}" name="Column12728"/>
    <tableColumn id="12731" xr3:uid="{2B9ECAC3-1DB8-418B-B869-73422025AE2B}" name="Column12729"/>
    <tableColumn id="12732" xr3:uid="{77C5F1D9-8CFE-4646-A7E3-CE55925A81FF}" name="Column12730"/>
    <tableColumn id="12733" xr3:uid="{6EF33461-F532-48C3-91E9-0228D03584B1}" name="Column12731"/>
    <tableColumn id="12734" xr3:uid="{1C03775A-4E4C-43BD-8192-E0CFF5331CC6}" name="Column12732"/>
    <tableColumn id="12735" xr3:uid="{022DA9DB-28ED-40D2-B23B-B5FB991317A1}" name="Column12733"/>
    <tableColumn id="12736" xr3:uid="{61F22D40-546A-4DFA-97F7-3165E6C87FD9}" name="Column12734"/>
    <tableColumn id="12737" xr3:uid="{B4CA0F86-D54F-4B54-B509-0B5F779F7C32}" name="Column12735"/>
    <tableColumn id="12738" xr3:uid="{E6A5037C-8C37-4385-A625-A23BEC270D4A}" name="Column12736"/>
    <tableColumn id="12739" xr3:uid="{4F0B716C-A2D9-4968-98AA-91D1FB0F9090}" name="Column12737"/>
    <tableColumn id="12740" xr3:uid="{5E38DFEB-32F8-4904-83AD-3C2E13EB00DC}" name="Column12738"/>
    <tableColumn id="12741" xr3:uid="{65A74937-0918-46DE-A33D-856B0150B4C9}" name="Column12739"/>
    <tableColumn id="12742" xr3:uid="{DB1622AA-4FDD-4725-B376-A5E8A53E4583}" name="Column12740"/>
    <tableColumn id="12743" xr3:uid="{E0017FD9-D952-4388-8501-69F170F3582C}" name="Column12741"/>
    <tableColumn id="12744" xr3:uid="{5C0A966F-0FBF-42D3-BB42-3D0EC8CE7BFB}" name="Column12742"/>
    <tableColumn id="12745" xr3:uid="{2A26B6B6-242F-46C9-AB05-9E9AA5EEDCB7}" name="Column12743"/>
    <tableColumn id="12746" xr3:uid="{88CF44FF-4D73-4DCF-9E03-AA4415B7362D}" name="Column12744"/>
    <tableColumn id="12747" xr3:uid="{5F763B87-4ABB-456F-BFE4-F85B41647F59}" name="Column12745"/>
    <tableColumn id="12748" xr3:uid="{BB1C6B74-06A3-4913-B021-532D5E2C0962}" name="Column12746"/>
    <tableColumn id="12749" xr3:uid="{4BACABDE-DE7E-41E3-847C-C165216C192B}" name="Column12747"/>
    <tableColumn id="12750" xr3:uid="{66E608B3-4B33-44A5-96B1-746B647B899E}" name="Column12748"/>
    <tableColumn id="12751" xr3:uid="{067666FB-3BC0-4F05-9F58-511F52F78449}" name="Column12749"/>
    <tableColumn id="12752" xr3:uid="{0A1A8F26-6BA7-40E8-A0B7-B83853EE700D}" name="Column12750"/>
    <tableColumn id="12753" xr3:uid="{0DFFA86D-EFED-4C2D-B6D8-7395241E7A42}" name="Column12751"/>
    <tableColumn id="12754" xr3:uid="{A13007A7-5297-4FB3-B402-CC7B654F3E5B}" name="Column12752"/>
    <tableColumn id="12755" xr3:uid="{F078C0E6-D493-44D4-B637-53F84068FF56}" name="Column12753"/>
    <tableColumn id="12756" xr3:uid="{C6189830-D8CE-4DE3-B141-28BD1ECCA4A2}" name="Column12754"/>
    <tableColumn id="12757" xr3:uid="{6E678B80-457F-43AA-8E9E-DAB8DA7D9866}" name="Column12755"/>
    <tableColumn id="12758" xr3:uid="{8DAE8C96-569C-4383-B296-BB3B6D62154D}" name="Column12756"/>
    <tableColumn id="12759" xr3:uid="{5013EC3E-3549-4178-89A1-BE25F6201EAC}" name="Column12757"/>
    <tableColumn id="12760" xr3:uid="{73FB8FF2-7D4C-4142-BD4A-FAA808136164}" name="Column12758"/>
    <tableColumn id="12761" xr3:uid="{8517929B-0191-4314-9A74-17447DCF65B1}" name="Column12759"/>
    <tableColumn id="12762" xr3:uid="{A91C549E-2210-4C78-88DA-31A6D8CD2A05}" name="Column12760"/>
    <tableColumn id="12763" xr3:uid="{7478B511-A40F-4AC6-A823-03B697F6E535}" name="Column12761"/>
    <tableColumn id="12764" xr3:uid="{6A367486-A30D-4A81-A70A-CF9C19BC9327}" name="Column12762"/>
    <tableColumn id="12765" xr3:uid="{E517616D-D19B-4269-8D27-458732E8D9BF}" name="Column12763"/>
    <tableColumn id="12766" xr3:uid="{E3381F79-2DCB-489B-A840-E06583D1BA44}" name="Column12764"/>
    <tableColumn id="12767" xr3:uid="{0B382992-2984-41DF-ABA5-BC5002EA3D83}" name="Column12765"/>
    <tableColumn id="12768" xr3:uid="{A79A375B-3461-496E-85CC-A31D66B0FD06}" name="Column12766"/>
    <tableColumn id="12769" xr3:uid="{434B26CD-4DE3-4094-8FAB-5E64A69097C8}" name="Column12767"/>
    <tableColumn id="12770" xr3:uid="{4A525D27-2199-444F-B69A-9E538D28B4A7}" name="Column12768"/>
    <tableColumn id="12771" xr3:uid="{567D92F1-E010-432E-A3F0-99D9FB4C1BC9}" name="Column12769"/>
    <tableColumn id="12772" xr3:uid="{A353D6E8-77E6-435E-8F7E-795229531748}" name="Column12770"/>
    <tableColumn id="12773" xr3:uid="{5AAD0943-78D0-4761-9C2D-DEFFF521226F}" name="Column12771"/>
    <tableColumn id="12774" xr3:uid="{C6633FBA-82B1-4D6D-91E7-D7D9C93717C5}" name="Column12772"/>
    <tableColumn id="12775" xr3:uid="{4014CFC5-1B8D-4227-A754-14481528B4E3}" name="Column12773"/>
    <tableColumn id="12776" xr3:uid="{28D9CE0D-701B-41AD-8414-EAD0988A8887}" name="Column12774"/>
    <tableColumn id="12777" xr3:uid="{2F3666EC-5858-42B5-AFC5-C5545B73F661}" name="Column12775"/>
    <tableColumn id="12778" xr3:uid="{32647BE5-0CEA-4369-89FA-3B3F7BFA2FEF}" name="Column12776"/>
    <tableColumn id="12779" xr3:uid="{9E57A137-EFA9-423E-BFD3-FA6BF292E86A}" name="Column12777"/>
    <tableColumn id="12780" xr3:uid="{C46328A8-42AF-4C88-BA63-2EC906E832A8}" name="Column12778"/>
    <tableColumn id="12781" xr3:uid="{B80399D3-7CA8-4C13-9626-EA3A3769309E}" name="Column12779"/>
    <tableColumn id="12782" xr3:uid="{3E7A5BA8-7EFE-442E-B73C-4CCD68664AA3}" name="Column12780"/>
    <tableColumn id="12783" xr3:uid="{5F3A4C61-C5D9-497E-8ECB-073E09063745}" name="Column12781"/>
    <tableColumn id="12784" xr3:uid="{C63AD235-BCB6-47E5-B1D4-114592589FF9}" name="Column12782"/>
    <tableColumn id="12785" xr3:uid="{A2CBE623-F762-40BA-A068-F89329FEBD4D}" name="Column12783"/>
    <tableColumn id="12786" xr3:uid="{ED8E3C93-4BC1-44F8-AE41-F80A54CB0860}" name="Column12784"/>
    <tableColumn id="12787" xr3:uid="{8E4B1C9D-E8A9-4B2E-9091-2F74200C860A}" name="Column12785"/>
    <tableColumn id="12788" xr3:uid="{2678B696-6398-4F6C-A70F-37FD8D0A70D4}" name="Column12786"/>
    <tableColumn id="12789" xr3:uid="{F1DC8A98-601D-412B-8253-F41DC94C2E15}" name="Column12787"/>
    <tableColumn id="12790" xr3:uid="{68F6483C-C5EC-417E-8A3E-B40DB0EFE1A8}" name="Column12788"/>
    <tableColumn id="12791" xr3:uid="{7CB77A3F-5DB9-4623-BAD2-B226C111A673}" name="Column12789"/>
    <tableColumn id="12792" xr3:uid="{1D0CEF2C-C09F-4BD3-BF16-E1086650996E}" name="Column12790"/>
    <tableColumn id="12793" xr3:uid="{520D1872-2CF0-43F4-A8C4-1A662663956B}" name="Column12791"/>
    <tableColumn id="12794" xr3:uid="{B2347B20-F346-4019-AA2B-EF69BC0790DD}" name="Column12792"/>
    <tableColumn id="12795" xr3:uid="{F97C3373-57D8-4C55-B5F1-F41E6FEC3032}" name="Column12793"/>
    <tableColumn id="12796" xr3:uid="{4E24C3BB-06E8-40AD-8E7A-8546D2A5C3D7}" name="Column12794"/>
    <tableColumn id="12797" xr3:uid="{337ED646-176A-49D2-8FBE-3333F6DE3602}" name="Column12795"/>
    <tableColumn id="12798" xr3:uid="{EEE49BC6-D843-4ABF-96BC-BBC59B7F51F1}" name="Column12796"/>
    <tableColumn id="12799" xr3:uid="{793C02BB-6F20-4CF4-A666-62F6397A1AEE}" name="Column12797"/>
    <tableColumn id="12800" xr3:uid="{2C6DCB09-2542-4FF6-86DB-A469BB6340AB}" name="Column12798"/>
    <tableColumn id="12801" xr3:uid="{9C866BC3-5590-4C28-96C9-76CC752413BB}" name="Column12799"/>
    <tableColumn id="12802" xr3:uid="{889E614B-4E64-455F-AC3D-0B7BCF858DE4}" name="Column12800"/>
    <tableColumn id="12803" xr3:uid="{8BE801AF-FCC5-46B8-999F-42B2D3A13171}" name="Column12801"/>
    <tableColumn id="12804" xr3:uid="{45A9566E-4551-4FC0-A798-66FAD9C52E3B}" name="Column12802"/>
    <tableColumn id="12805" xr3:uid="{EA1FA9F0-C6BE-44CB-863A-C1A0C2684098}" name="Column12803"/>
    <tableColumn id="12806" xr3:uid="{671F2549-28B4-44CE-8887-6A4FD5F5CDE0}" name="Column12804"/>
    <tableColumn id="12807" xr3:uid="{80306AB6-620E-4305-87E2-0CB571E813E0}" name="Column12805"/>
    <tableColumn id="12808" xr3:uid="{DC49736C-345B-4C22-A1A4-98C225CF444F}" name="Column12806"/>
    <tableColumn id="12809" xr3:uid="{9444F837-D0F9-4310-B2CD-DCF14CDD83BD}" name="Column12807"/>
    <tableColumn id="12810" xr3:uid="{0B82462F-8DE7-4320-9800-B850B3627893}" name="Column12808"/>
    <tableColumn id="12811" xr3:uid="{F21E461D-24F0-4537-BFBC-A45615AAC537}" name="Column12809"/>
    <tableColumn id="12812" xr3:uid="{756CA428-B08D-470E-A07E-C985A1DE6107}" name="Column12810"/>
    <tableColumn id="12813" xr3:uid="{7B18A9CA-870A-45DF-9A24-4027068EA6CA}" name="Column12811"/>
    <tableColumn id="12814" xr3:uid="{E096F06F-52CF-4B7A-9A4D-03378AAC078F}" name="Column12812"/>
    <tableColumn id="12815" xr3:uid="{EC5D561B-D2D0-4261-9ED4-51E6E0E6CE8A}" name="Column12813"/>
    <tableColumn id="12816" xr3:uid="{82265846-8130-4EB5-8A96-7985FE00BBA1}" name="Column12814"/>
    <tableColumn id="12817" xr3:uid="{72A9AFBC-3EAD-4872-9171-331BE028F108}" name="Column12815"/>
    <tableColumn id="12818" xr3:uid="{1F835878-89FA-4677-A91D-21AB7E7FCB0F}" name="Column12816"/>
    <tableColumn id="12819" xr3:uid="{9ED3387E-2E52-4C42-A82B-7C9174CFBEEF}" name="Column12817"/>
    <tableColumn id="12820" xr3:uid="{6D71DB87-5B0A-4632-8F9D-3000F0D8F4E3}" name="Column12818"/>
    <tableColumn id="12821" xr3:uid="{87A77C52-91F6-401A-87EE-8F5622DBA3AD}" name="Column12819"/>
    <tableColumn id="12822" xr3:uid="{A5174A56-C465-421C-88E0-80F69D743C1C}" name="Column12820"/>
    <tableColumn id="12823" xr3:uid="{9316AC7B-2D49-43E3-932E-22C68CBBABC0}" name="Column12821"/>
    <tableColumn id="12824" xr3:uid="{D425E832-0C7E-41D4-8D59-BCD6470EDFDA}" name="Column12822"/>
    <tableColumn id="12825" xr3:uid="{D37B900E-3817-46E4-865F-235B7E34EB7D}" name="Column12823"/>
    <tableColumn id="12826" xr3:uid="{63AD1DB8-F1A8-44AF-A9DD-32AE9ED972C2}" name="Column12824"/>
    <tableColumn id="12827" xr3:uid="{A98C180D-0334-4F5B-9204-CA2B019AF3F6}" name="Column12825"/>
    <tableColumn id="12828" xr3:uid="{CD946956-A21A-49E2-B6AE-0187E0627A67}" name="Column12826"/>
    <tableColumn id="12829" xr3:uid="{4373D187-D958-4CC9-964A-1AFB4AA6E22B}" name="Column12827"/>
    <tableColumn id="12830" xr3:uid="{61FEA54F-DFAE-427E-A9CC-6D66B22A922C}" name="Column12828"/>
    <tableColumn id="12831" xr3:uid="{69212A9B-F63E-49A3-A30D-2A8FE1F50900}" name="Column12829"/>
    <tableColumn id="12832" xr3:uid="{547264C3-EF5F-46BC-94AA-2361D9AA6F72}" name="Column12830"/>
    <tableColumn id="12833" xr3:uid="{CB146826-E69D-4D36-A70D-629DA5339B14}" name="Column12831"/>
    <tableColumn id="12834" xr3:uid="{A6F219B9-E9E0-425B-AC25-A0CD4D5395B8}" name="Column12832"/>
    <tableColumn id="12835" xr3:uid="{AE1A5E75-69B1-48AA-A16F-0A6C9C5D4C3C}" name="Column12833"/>
    <tableColumn id="12836" xr3:uid="{45E83916-9628-4B91-8DB5-76690ADCD529}" name="Column12834"/>
    <tableColumn id="12837" xr3:uid="{A2F1283F-8405-4BA9-B2F4-82E0FFFBAB44}" name="Column12835"/>
    <tableColumn id="12838" xr3:uid="{2EB98385-16A1-424C-9E0D-02E35B66DEE2}" name="Column12836"/>
    <tableColumn id="12839" xr3:uid="{764F3E92-2A85-4781-9583-C2205B622AF7}" name="Column12837"/>
    <tableColumn id="12840" xr3:uid="{26DED377-033E-43DB-B9AC-3F577DFDA409}" name="Column12838"/>
    <tableColumn id="12841" xr3:uid="{24B32782-AC27-4EAC-AB24-4E39C1EAA4CB}" name="Column12839"/>
    <tableColumn id="12842" xr3:uid="{A0F8D049-6A4E-4738-8C25-9982862D8832}" name="Column12840"/>
    <tableColumn id="12843" xr3:uid="{ABB0ECD5-E457-466F-860B-875860D1F2AB}" name="Column12841"/>
    <tableColumn id="12844" xr3:uid="{D6073679-A27B-4894-90E6-2205EAC3C583}" name="Column12842"/>
    <tableColumn id="12845" xr3:uid="{1E15BBF5-F9F7-40E8-95D3-CA10A0061E52}" name="Column12843"/>
    <tableColumn id="12846" xr3:uid="{CF546B76-6B07-4B02-AE98-EA019CD22F7A}" name="Column12844"/>
    <tableColumn id="12847" xr3:uid="{DCEBB5C2-0829-4A94-A203-60CEC5478225}" name="Column12845"/>
    <tableColumn id="12848" xr3:uid="{7C7ABF0C-4B7D-41E8-9799-752EFEF7E3B8}" name="Column12846"/>
    <tableColumn id="12849" xr3:uid="{C70150B7-56D5-4A5B-9E09-964A6114F758}" name="Column12847"/>
    <tableColumn id="12850" xr3:uid="{4442B826-BA22-49F2-8333-336A056E3E31}" name="Column12848"/>
    <tableColumn id="12851" xr3:uid="{3C4BE59F-6834-4CF9-A156-8D397A1B34C7}" name="Column12849"/>
    <tableColumn id="12852" xr3:uid="{9C0DA7FD-5B33-430F-9991-AB16F2CCB411}" name="Column12850"/>
    <tableColumn id="12853" xr3:uid="{01F46683-C1ED-40AC-BDB7-BF5EF642A262}" name="Column12851"/>
    <tableColumn id="12854" xr3:uid="{6E313757-907D-480C-A07C-364A24B7461A}" name="Column12852"/>
    <tableColumn id="12855" xr3:uid="{2D9D03E1-407E-4B70-A5B6-7D66AA3D5CD7}" name="Column12853"/>
    <tableColumn id="12856" xr3:uid="{98912D73-B23D-463D-B74A-320F43408F68}" name="Column12854"/>
    <tableColumn id="12857" xr3:uid="{1DFE1C41-9A67-4C28-BA0E-A150E54AC827}" name="Column12855"/>
    <tableColumn id="12858" xr3:uid="{F8FA1283-8A88-405B-859A-DA4E1B34C39F}" name="Column12856"/>
    <tableColumn id="12859" xr3:uid="{E2294417-F7AD-4065-9A74-08137A76913D}" name="Column12857"/>
    <tableColumn id="12860" xr3:uid="{89847C23-5BBB-43BF-B786-5B6C00411217}" name="Column12858"/>
    <tableColumn id="12861" xr3:uid="{9CEB274E-131F-4A58-BE62-20C8DC183904}" name="Column12859"/>
    <tableColumn id="12862" xr3:uid="{A1C7B7E4-8311-4130-B57C-C2A533E3472F}" name="Column12860"/>
    <tableColumn id="12863" xr3:uid="{12C574F3-7955-4841-B948-B2206E74E78B}" name="Column12861"/>
    <tableColumn id="12864" xr3:uid="{9077E3AF-AE4B-4CB2-939A-C39B984742E9}" name="Column12862"/>
    <tableColumn id="12865" xr3:uid="{BDE359C7-AC87-4811-A3F6-D23EEEE2BB7B}" name="Column12863"/>
    <tableColumn id="12866" xr3:uid="{1A5E5884-FFE2-4D75-AC92-B1C37FFACAAD}" name="Column12864"/>
    <tableColumn id="12867" xr3:uid="{4679DC72-DD6F-417A-81E9-22188ED8FB61}" name="Column12865"/>
    <tableColumn id="12868" xr3:uid="{EAEAD22D-3C80-4BED-96FF-768174A5B728}" name="Column12866"/>
    <tableColumn id="12869" xr3:uid="{752A10CE-EB6D-4FBD-8272-C6CDAE259F37}" name="Column12867"/>
    <tableColumn id="12870" xr3:uid="{9CCD0185-1A47-4FC1-9869-3CEC75F43AF7}" name="Column12868"/>
    <tableColumn id="12871" xr3:uid="{A14541C4-6FD4-484E-A511-7C13AB2AE9F5}" name="Column12869"/>
    <tableColumn id="12872" xr3:uid="{E143CF95-4918-4667-A135-98197335FEB3}" name="Column12870"/>
    <tableColumn id="12873" xr3:uid="{2C830F72-62F8-4F10-8C05-2DFE1A0799FF}" name="Column12871"/>
    <tableColumn id="12874" xr3:uid="{A6E18712-FE31-4F7A-AA78-AF84C233EFB1}" name="Column12872"/>
    <tableColumn id="12875" xr3:uid="{E408FD4A-14E4-4869-B547-6C72E83A4A9E}" name="Column12873"/>
    <tableColumn id="12876" xr3:uid="{0FC4F0D1-B259-4D93-B132-B8891A881246}" name="Column12874"/>
    <tableColumn id="12877" xr3:uid="{5CA8457D-5313-41E4-B07F-C440B783B875}" name="Column12875"/>
    <tableColumn id="12878" xr3:uid="{7B260A80-2CCB-4904-B991-788BB9408E36}" name="Column12876"/>
    <tableColumn id="12879" xr3:uid="{DF4A3DB1-D862-48A6-94B0-39C5B2C31785}" name="Column12877"/>
    <tableColumn id="12880" xr3:uid="{52EAC3F6-9E58-4738-8B66-6A7D67A70392}" name="Column12878"/>
    <tableColumn id="12881" xr3:uid="{FE72B69B-A820-4DCB-94BA-28CE18791A09}" name="Column12879"/>
    <tableColumn id="12882" xr3:uid="{C6A04F3A-5B8C-4F97-8E9E-0D124CAF0174}" name="Column12880"/>
    <tableColumn id="12883" xr3:uid="{03FCFCDF-CAE4-43C6-9668-3CDF13BF62BC}" name="Column12881"/>
    <tableColumn id="12884" xr3:uid="{ED41700C-64D2-46F1-8E2E-8505B61B267F}" name="Column12882"/>
    <tableColumn id="12885" xr3:uid="{200825E5-4EBF-461B-9895-290802B29EB4}" name="Column12883"/>
    <tableColumn id="12886" xr3:uid="{EEA41064-ADDF-4E08-8433-B1F44CA743D5}" name="Column12884"/>
    <tableColumn id="12887" xr3:uid="{DB475110-A8B3-415D-B1B9-C941E18B2750}" name="Column12885"/>
    <tableColumn id="12888" xr3:uid="{25C60024-0BE5-48F3-8A9F-2788B7521C02}" name="Column12886"/>
    <tableColumn id="12889" xr3:uid="{C166A20B-C4E4-4088-8875-7ACDD48344CF}" name="Column12887"/>
    <tableColumn id="12890" xr3:uid="{A1B943FF-1890-4D39-8DA8-0F861A6F22CE}" name="Column12888"/>
    <tableColumn id="12891" xr3:uid="{E335D636-3DE1-448A-B0C1-7966F2BA10DA}" name="Column12889"/>
    <tableColumn id="12892" xr3:uid="{9D687B98-AD82-4B95-AFB4-4E77C39D1405}" name="Column12890"/>
    <tableColumn id="12893" xr3:uid="{32EA7C11-40DE-4432-BE3F-2693365653C9}" name="Column12891"/>
    <tableColumn id="12894" xr3:uid="{0E6453B7-78DB-4D50-ABBD-1449E827D9FD}" name="Column12892"/>
    <tableColumn id="12895" xr3:uid="{E9EFE552-599B-48D7-B0BE-EBD5BA320606}" name="Column12893"/>
    <tableColumn id="12896" xr3:uid="{BBB54E1E-C03D-47F2-8C1A-661093DFFE92}" name="Column12894"/>
    <tableColumn id="12897" xr3:uid="{D370A316-E122-4C35-A19C-B181D77319DA}" name="Column12895"/>
    <tableColumn id="12898" xr3:uid="{5C7CADF4-4C38-4BB4-82FD-CF16B9D5A65D}" name="Column12896"/>
    <tableColumn id="12899" xr3:uid="{23D6C9E7-B618-4CD8-8C82-D7A8EDA7E168}" name="Column12897"/>
    <tableColumn id="12900" xr3:uid="{7BB79D74-CE66-47C1-8C00-CFEAA425ABC7}" name="Column12898"/>
    <tableColumn id="12901" xr3:uid="{42947C9E-05AC-4BAD-AFB2-D1329B406376}" name="Column12899"/>
    <tableColumn id="12902" xr3:uid="{7D19C47C-9D84-430C-A972-F09CF775D75E}" name="Column12900"/>
    <tableColumn id="12903" xr3:uid="{9B087CC3-1E96-4F33-BADA-16FD42BC3F39}" name="Column12901"/>
    <tableColumn id="12904" xr3:uid="{3DC35952-49E8-4995-865C-D3B5658D1AE1}" name="Column12902"/>
    <tableColumn id="12905" xr3:uid="{A99DA780-B30C-42D2-90C2-A29DEBEEF382}" name="Column12903"/>
    <tableColumn id="12906" xr3:uid="{5FEEA73F-7596-459E-9371-F04C5F33E18E}" name="Column12904"/>
    <tableColumn id="12907" xr3:uid="{F2111F67-9E75-4E0F-B4FC-99A38E716946}" name="Column12905"/>
    <tableColumn id="12908" xr3:uid="{2F55B8D1-E377-4789-88FA-18B7DFA5BB77}" name="Column12906"/>
    <tableColumn id="12909" xr3:uid="{C50678B4-A1C2-4FDE-9C77-D7F891DC1FC5}" name="Column12907"/>
    <tableColumn id="12910" xr3:uid="{81AB9CCB-EA31-4A67-AC1A-BC26A4892463}" name="Column12908"/>
    <tableColumn id="12911" xr3:uid="{7F65A870-ED5B-4A98-9894-690620E91738}" name="Column12909"/>
    <tableColumn id="12912" xr3:uid="{D6E9A556-3C97-462C-B680-AF7F6B4DDEC0}" name="Column12910"/>
    <tableColumn id="12913" xr3:uid="{E9CFE717-5D5F-4527-A1CB-BBA1F5782AFB}" name="Column12911"/>
    <tableColumn id="12914" xr3:uid="{B172CFC3-0BA1-4BA1-BC12-BFE5D63419E8}" name="Column12912"/>
    <tableColumn id="12915" xr3:uid="{E02AFE81-8FAA-4CE0-ADDF-31134BAB953B}" name="Column12913"/>
    <tableColumn id="12916" xr3:uid="{62D26017-8FC4-4425-BE9B-D57AEF51D447}" name="Column12914"/>
    <tableColumn id="12917" xr3:uid="{9555446B-5A16-49CF-AC65-1F08414F910E}" name="Column12915"/>
    <tableColumn id="12918" xr3:uid="{AD9F749B-965E-425A-9546-AF3A02421553}" name="Column12916"/>
    <tableColumn id="12919" xr3:uid="{3EFB55B0-F805-4A01-872F-92002B0E9BCF}" name="Column12917"/>
    <tableColumn id="12920" xr3:uid="{B3FA3747-AED2-4EF9-BF19-65254FC8BB70}" name="Column12918"/>
    <tableColumn id="12921" xr3:uid="{09F66638-43AE-4999-9EE1-A00B71D93E41}" name="Column12919"/>
    <tableColumn id="12922" xr3:uid="{5910B8AF-8EAD-444D-9DF7-AA30F62F65BA}" name="Column12920"/>
    <tableColumn id="12923" xr3:uid="{90C5C7D6-B8DA-4998-B7A2-F02B1A6A2A99}" name="Column12921"/>
    <tableColumn id="12924" xr3:uid="{F60454C8-E158-4FB6-A848-B1BC1BDA3D5B}" name="Column12922"/>
    <tableColumn id="12925" xr3:uid="{DB5D3067-6DA0-45CF-85A1-4C0596727A20}" name="Column12923"/>
    <tableColumn id="12926" xr3:uid="{3080EFAF-FAD7-44FD-8CF6-111DB6D83C00}" name="Column12924"/>
    <tableColumn id="12927" xr3:uid="{D897FFA3-BA4C-454E-9A31-512ABDE8CA3C}" name="Column12925"/>
    <tableColumn id="12928" xr3:uid="{3D1955F9-7DE1-4063-B578-8BD5A5AC9093}" name="Column12926"/>
    <tableColumn id="12929" xr3:uid="{E7EDFC03-F17B-4B45-8C88-6791499DE3C8}" name="Column12927"/>
    <tableColumn id="12930" xr3:uid="{87FE5D87-2466-4DE1-B7CE-46AF95C70152}" name="Column12928"/>
    <tableColumn id="12931" xr3:uid="{74C3D7B7-41D9-47F3-8A2E-574C66B4C60B}" name="Column12929"/>
    <tableColumn id="12932" xr3:uid="{C9DA21DA-6DA0-409D-9100-3523CA223713}" name="Column12930"/>
    <tableColumn id="12933" xr3:uid="{A6F75B09-E616-4023-B60C-6C8048843EE0}" name="Column12931"/>
    <tableColumn id="12934" xr3:uid="{B744C1A7-9364-4083-93BA-2A18CB6B9C08}" name="Column12932"/>
    <tableColumn id="12935" xr3:uid="{8C89DE0B-27BE-409B-AE03-D727A067D25D}" name="Column12933"/>
    <tableColumn id="12936" xr3:uid="{FB5792C0-BB08-4AA8-BFAF-F4C9B585EE8E}" name="Column12934"/>
    <tableColumn id="12937" xr3:uid="{6CFEF18E-6631-415F-983F-4EB598B482D0}" name="Column12935"/>
    <tableColumn id="12938" xr3:uid="{7C1877DD-E75B-4EC5-890D-7CE641FE201D}" name="Column12936"/>
    <tableColumn id="12939" xr3:uid="{14C4D8AB-E9B8-4FFC-BAC4-BBAB7D706D81}" name="Column12937"/>
    <tableColumn id="12940" xr3:uid="{211719EC-7889-44EF-9D2D-0BC88F7D52C2}" name="Column12938"/>
    <tableColumn id="12941" xr3:uid="{1D3ED04C-2CFB-4410-BD3D-D51386DFD2FC}" name="Column12939"/>
    <tableColumn id="12942" xr3:uid="{A57E007D-520A-4A3B-937A-6F959ECC0399}" name="Column12940"/>
    <tableColumn id="12943" xr3:uid="{FE25D251-7327-44ED-8252-48865996C458}" name="Column12941"/>
    <tableColumn id="12944" xr3:uid="{55F49877-9D77-47ED-B474-D65093CBC588}" name="Column12942"/>
    <tableColumn id="12945" xr3:uid="{3FD7798F-580D-4138-8805-35DA7D6CEFF5}" name="Column12943"/>
    <tableColumn id="12946" xr3:uid="{078F8804-0BAA-4EBF-929D-76F8E1906CB2}" name="Column12944"/>
    <tableColumn id="12947" xr3:uid="{3498AE5E-FBD1-4499-89E4-218792A2746F}" name="Column12945"/>
    <tableColumn id="12948" xr3:uid="{D9D77F68-5669-46BB-BC24-1AF94AA7CAD9}" name="Column12946"/>
    <tableColumn id="12949" xr3:uid="{5FF59585-CEF6-4B98-97F9-20454D6B9F65}" name="Column12947"/>
    <tableColumn id="12950" xr3:uid="{69F56ED3-81BA-4A02-91BE-518B1E53E38E}" name="Column12948"/>
    <tableColumn id="12951" xr3:uid="{BEBCCF3A-7498-492B-949E-C3B5FB4D6D23}" name="Column12949"/>
    <tableColumn id="12952" xr3:uid="{E682DC43-C6F5-4D36-A715-120496945CFF}" name="Column12950"/>
    <tableColumn id="12953" xr3:uid="{A594E190-FF0E-41F3-87A9-1A44DB8F8E8D}" name="Column12951"/>
    <tableColumn id="12954" xr3:uid="{F69D121C-C6D2-401D-A918-71A2A97B6FF2}" name="Column12952"/>
    <tableColumn id="12955" xr3:uid="{56217B97-82AA-43B6-86C2-D6ECBE345553}" name="Column12953"/>
    <tableColumn id="12956" xr3:uid="{C76E7219-9E5B-469A-BC5C-2DC787E7D668}" name="Column12954"/>
    <tableColumn id="12957" xr3:uid="{70DF13E7-93A6-4DB8-BFDD-1BA8BDA49B92}" name="Column12955"/>
    <tableColumn id="12958" xr3:uid="{3EFC1C97-E3AF-4D48-B302-DEAE1FA27E80}" name="Column12956"/>
    <tableColumn id="12959" xr3:uid="{6F9ECE5A-7E72-4CF1-A7C4-179927025607}" name="Column12957"/>
    <tableColumn id="12960" xr3:uid="{0244A16B-F0C7-4D27-933D-714AE4C74D09}" name="Column12958"/>
    <tableColumn id="12961" xr3:uid="{AA3EC1E8-253D-40B6-B5DA-9D1F5328ADC2}" name="Column12959"/>
    <tableColumn id="12962" xr3:uid="{2C065630-C0CD-49CF-821A-C3BA19D2BC6E}" name="Column12960"/>
    <tableColumn id="12963" xr3:uid="{FC1D02EE-0D9C-456B-BA43-F6935288B010}" name="Column12961"/>
    <tableColumn id="12964" xr3:uid="{1D6F296E-3A43-4AB6-A3B7-1F74E6808FAE}" name="Column12962"/>
    <tableColumn id="12965" xr3:uid="{91E7189B-7CB7-4793-A0E4-69D96BBDF26A}" name="Column12963"/>
    <tableColumn id="12966" xr3:uid="{363D9D63-A426-4D23-946C-70D6649BA263}" name="Column12964"/>
    <tableColumn id="12967" xr3:uid="{D14E0DD2-91BA-45AB-AB4F-C654E19561BE}" name="Column12965"/>
    <tableColumn id="12968" xr3:uid="{0F2A3F00-D16A-4ADE-8D2E-BED42D6BEB5D}" name="Column12966"/>
    <tableColumn id="12969" xr3:uid="{C023791C-9429-4582-9686-DC9610809F24}" name="Column12967"/>
    <tableColumn id="12970" xr3:uid="{1471C7EA-3604-4A83-864F-841B8BFEAC51}" name="Column12968"/>
    <tableColumn id="12971" xr3:uid="{132AD67D-6626-4197-85FA-DAD7D7585E12}" name="Column12969"/>
    <tableColumn id="12972" xr3:uid="{1F404776-8C1A-4630-ABC5-B8871574A104}" name="Column12970"/>
    <tableColumn id="12973" xr3:uid="{08E69169-93AC-4DFE-A1D3-0A07CEE517C3}" name="Column12971"/>
    <tableColumn id="12974" xr3:uid="{315D3337-02B9-4BA9-91B1-DE0FA1E38C0D}" name="Column12972"/>
    <tableColumn id="12975" xr3:uid="{C734BACE-BA34-4599-AEDB-F09C1C090669}" name="Column12973"/>
    <tableColumn id="12976" xr3:uid="{324BB6FA-F2CA-4B73-B5A3-97F514531493}" name="Column12974"/>
    <tableColumn id="12977" xr3:uid="{FC177FC4-2061-44C1-9E30-732EE7C0C67E}" name="Column12975"/>
    <tableColumn id="12978" xr3:uid="{538DA7DE-EF09-4DB3-BC51-DE703353F3BE}" name="Column12976"/>
    <tableColumn id="12979" xr3:uid="{91CD20F1-85F3-46BB-AEB9-9416667974FF}" name="Column12977"/>
    <tableColumn id="12980" xr3:uid="{0943F190-1D1F-43D6-B5AB-93ACCE550593}" name="Column12978"/>
    <tableColumn id="12981" xr3:uid="{8C0DC65D-ECBE-4939-9C31-65623FBFF34E}" name="Column12979"/>
    <tableColumn id="12982" xr3:uid="{944611F7-ED3B-4690-AB39-43BEEBAB54D2}" name="Column12980"/>
    <tableColumn id="12983" xr3:uid="{15FFA883-CAC5-48AA-AD86-0CC61E55A26F}" name="Column12981"/>
    <tableColumn id="12984" xr3:uid="{AB7AE271-C8A7-4383-9281-209E24AC5739}" name="Column12982"/>
    <tableColumn id="12985" xr3:uid="{66B9625C-6302-4D55-8102-CB138E8C79D9}" name="Column12983"/>
    <tableColumn id="12986" xr3:uid="{8AF2B551-86F1-4074-960B-77857BF03E9A}" name="Column12984"/>
    <tableColumn id="12987" xr3:uid="{F56FAA88-6176-4C27-9446-406E380BF9A7}" name="Column12985"/>
    <tableColumn id="12988" xr3:uid="{D233C2DB-1F19-4047-9365-0CB81482BCC2}" name="Column12986"/>
    <tableColumn id="12989" xr3:uid="{59D86F27-8B11-4882-9622-354167D803AD}" name="Column12987"/>
    <tableColumn id="12990" xr3:uid="{55E3C07F-3BC7-4E49-8DD4-D4578FD96699}" name="Column12988"/>
    <tableColumn id="12991" xr3:uid="{E8235394-3B36-440C-8FB7-4F89C213D664}" name="Column12989"/>
    <tableColumn id="12992" xr3:uid="{20C80D43-A226-4B96-B358-D60619AA7FB9}" name="Column12990"/>
    <tableColumn id="12993" xr3:uid="{D77555AF-A574-4C7B-8835-3195ABBD539B}" name="Column12991"/>
    <tableColumn id="12994" xr3:uid="{7C1D5FEE-494C-4525-AF81-20A6D6350E0D}" name="Column12992"/>
    <tableColumn id="12995" xr3:uid="{5A828751-20E3-4319-A57A-2EDDC4258C91}" name="Column12993"/>
    <tableColumn id="12996" xr3:uid="{9014076D-4BBA-4C91-BCC6-CA1B64D2BCF0}" name="Column12994"/>
    <tableColumn id="12997" xr3:uid="{4EC47C58-A663-4EB9-BCD5-69E608981C2F}" name="Column12995"/>
    <tableColumn id="12998" xr3:uid="{560C1279-311C-4585-8F8B-09775398F73B}" name="Column12996"/>
    <tableColumn id="12999" xr3:uid="{1A9BA54E-B67A-4626-9E46-78E7FEDF6450}" name="Column12997"/>
    <tableColumn id="13000" xr3:uid="{1A29B737-7C58-4209-B77B-5E2BA6E7BB06}" name="Column12998"/>
    <tableColumn id="13001" xr3:uid="{FFA0A203-880F-4833-A8E0-4EB28081B51B}" name="Column12999"/>
    <tableColumn id="13002" xr3:uid="{2622305D-0726-4227-98ED-2FE357B2B2F5}" name="Column13000"/>
    <tableColumn id="13003" xr3:uid="{4711A97D-81E5-439D-BF78-FA86C66A50A7}" name="Column13001"/>
    <tableColumn id="13004" xr3:uid="{390DAF28-8512-44C3-9800-861060B1E45D}" name="Column13002"/>
    <tableColumn id="13005" xr3:uid="{178A6830-F067-4A02-BFB5-E87EDD0B94FA}" name="Column13003"/>
    <tableColumn id="13006" xr3:uid="{7E74B217-B25B-439D-86DE-CAD7533B14BD}" name="Column13004"/>
    <tableColumn id="13007" xr3:uid="{C2AFF6EF-4E33-4CC2-BD26-0B0C96C94EDD}" name="Column13005"/>
    <tableColumn id="13008" xr3:uid="{E8914A58-6C5E-4475-A97E-57363C514C8A}" name="Column13006"/>
    <tableColumn id="13009" xr3:uid="{A2E4E88B-4E8A-4029-882F-54E483932678}" name="Column13007"/>
    <tableColumn id="13010" xr3:uid="{9AFDA084-67A3-4006-B7FB-3548034647DF}" name="Column13008"/>
    <tableColumn id="13011" xr3:uid="{F8E4ADA8-BE8C-4DCA-896D-D6667671B757}" name="Column13009"/>
    <tableColumn id="13012" xr3:uid="{00B48F79-6196-4176-883B-66F3F5076897}" name="Column13010"/>
    <tableColumn id="13013" xr3:uid="{59BA71E6-593C-4BBD-97A9-2130E2CF5AB5}" name="Column13011"/>
    <tableColumn id="13014" xr3:uid="{FD2E06CF-2661-4619-AFC9-A70835BDD59D}" name="Column13012"/>
    <tableColumn id="13015" xr3:uid="{0339875F-3D73-49DE-9661-7784AA44E905}" name="Column13013"/>
    <tableColumn id="13016" xr3:uid="{3D44F444-D49F-444F-8486-F5F10E6D19B6}" name="Column13014"/>
    <tableColumn id="13017" xr3:uid="{9980FCEB-C5C3-48FD-9E5E-5712FA99C93B}" name="Column13015"/>
    <tableColumn id="13018" xr3:uid="{82A57FF4-2603-4F62-985F-2A6CB166A307}" name="Column13016"/>
    <tableColumn id="13019" xr3:uid="{49DD4715-430A-4672-AC8A-F3AF07056E81}" name="Column13017"/>
    <tableColumn id="13020" xr3:uid="{CF31CFB9-BD7F-4D6E-9E57-F9A6D6642B30}" name="Column13018"/>
    <tableColumn id="13021" xr3:uid="{A86C3D15-CC68-454D-80E7-DB66C6171B3F}" name="Column13019"/>
    <tableColumn id="13022" xr3:uid="{4494ABB5-CC0D-4C29-9FA9-598ED1E4A0B3}" name="Column13020"/>
    <tableColumn id="13023" xr3:uid="{E7D98AD1-6F58-4625-868E-B2819FEC85C9}" name="Column13021"/>
    <tableColumn id="13024" xr3:uid="{8D8DE0F4-5BA4-473F-9296-A10F53A3F5AD}" name="Column13022"/>
    <tableColumn id="13025" xr3:uid="{FFBF8E78-6724-44DA-B5DE-D54D4C3824B7}" name="Column13023"/>
    <tableColumn id="13026" xr3:uid="{2441D879-8A6B-42DB-823C-32FB9DCE9C12}" name="Column13024"/>
    <tableColumn id="13027" xr3:uid="{F751D420-7D76-4231-9ED0-EC59AD35D025}" name="Column13025"/>
    <tableColumn id="13028" xr3:uid="{21309604-A0A9-49A4-A56A-85158202652E}" name="Column13026"/>
    <tableColumn id="13029" xr3:uid="{7F43E74E-F356-48BC-A3E5-122BB9FD32C2}" name="Column13027"/>
    <tableColumn id="13030" xr3:uid="{EA55DF95-B471-46CE-8583-55E8743AC412}" name="Column13028"/>
    <tableColumn id="13031" xr3:uid="{3339EFA9-8E02-410B-A701-D9F66C22E0E9}" name="Column13029"/>
    <tableColumn id="13032" xr3:uid="{2F9A19E4-6348-4B81-9CD7-CE074A1F1148}" name="Column13030"/>
    <tableColumn id="13033" xr3:uid="{C23413B0-8C6C-43EC-B08D-3587687D48A8}" name="Column13031"/>
    <tableColumn id="13034" xr3:uid="{1C2524AA-79A0-413C-A73E-99EAFB2FB3BC}" name="Column13032"/>
    <tableColumn id="13035" xr3:uid="{FA521FD4-91C0-496C-882C-F960D9B8DDA4}" name="Column13033"/>
    <tableColumn id="13036" xr3:uid="{1EF18A29-E0A1-4970-8538-89D52DE31673}" name="Column13034"/>
    <tableColumn id="13037" xr3:uid="{14F219C8-4244-40EC-8B0A-1060019709E1}" name="Column13035"/>
    <tableColumn id="13038" xr3:uid="{563712AA-AC0A-47D4-AE9E-31806FE60B9F}" name="Column13036"/>
    <tableColumn id="13039" xr3:uid="{AA495AC3-8215-427E-B32B-43115C5FDA6C}" name="Column13037"/>
    <tableColumn id="13040" xr3:uid="{48B6FD2A-419D-4E47-9788-4F2A148FD5B0}" name="Column13038"/>
    <tableColumn id="13041" xr3:uid="{84679D16-C788-438E-B097-A2C5F1C86466}" name="Column13039"/>
    <tableColumn id="13042" xr3:uid="{EA3633DD-DF11-44A7-9592-21E5BCDFDE04}" name="Column13040"/>
    <tableColumn id="13043" xr3:uid="{D31B7F06-5792-4304-B0E1-93431F7E1623}" name="Column13041"/>
    <tableColumn id="13044" xr3:uid="{6835C846-3A17-4A94-916A-52485B95886D}" name="Column13042"/>
    <tableColumn id="13045" xr3:uid="{CEC92C0B-BB81-4CC8-9F91-465BD9E3400C}" name="Column13043"/>
    <tableColumn id="13046" xr3:uid="{7F5E3167-269F-48F4-AAF0-F88AC0D0B86C}" name="Column13044"/>
    <tableColumn id="13047" xr3:uid="{DF9E6831-F70F-47ED-8381-221610BA0863}" name="Column13045"/>
    <tableColumn id="13048" xr3:uid="{32CFCA44-1CAA-4BEA-89FB-099EECABC944}" name="Column13046"/>
    <tableColumn id="13049" xr3:uid="{45B975B9-B027-45CE-9E28-B4F86890509D}" name="Column13047"/>
    <tableColumn id="13050" xr3:uid="{15B5314A-7498-4989-9341-6D54A658466F}" name="Column13048"/>
    <tableColumn id="13051" xr3:uid="{7B0CDC72-C904-4767-B406-43F84719DAA4}" name="Column13049"/>
    <tableColumn id="13052" xr3:uid="{E6B3382D-5760-4D4E-871F-CC5E20CFCEDF}" name="Column13050"/>
    <tableColumn id="13053" xr3:uid="{531D5D9B-9BE6-4A7D-93C0-AFE779A30264}" name="Column13051"/>
    <tableColumn id="13054" xr3:uid="{C62F7082-1714-46F1-AE9B-5886A5F7283A}" name="Column13052"/>
    <tableColumn id="13055" xr3:uid="{98E7F268-6FD6-46BF-AC59-E708B4302F2E}" name="Column13053"/>
    <tableColumn id="13056" xr3:uid="{8DB286C4-3002-4AD0-8C1F-5289C66BECDF}" name="Column13054"/>
    <tableColumn id="13057" xr3:uid="{75EA2EF2-FFBC-439C-A54B-D1183DFC2B75}" name="Column13055"/>
    <tableColumn id="13058" xr3:uid="{999AC2E8-3A5E-4D14-8A42-55C9D543B4B7}" name="Column13056"/>
    <tableColumn id="13059" xr3:uid="{B2B4E5A0-E059-46C0-8E46-17D63F47227C}" name="Column13057"/>
    <tableColumn id="13060" xr3:uid="{82942255-2512-41B5-81F6-28C01107AE4A}" name="Column13058"/>
    <tableColumn id="13061" xr3:uid="{6BA883BA-C5B1-4944-BE62-A2C74EFD02A5}" name="Column13059"/>
    <tableColumn id="13062" xr3:uid="{249E1140-1F03-4D1D-8B2F-E5B36037FD3E}" name="Column13060"/>
    <tableColumn id="13063" xr3:uid="{59549816-E87C-4F49-AEE6-312F84A28CDE}" name="Column13061"/>
    <tableColumn id="13064" xr3:uid="{A6717328-E28B-4EFC-AEA5-8D54091BBA86}" name="Column13062"/>
    <tableColumn id="13065" xr3:uid="{0A1E799D-3AD4-423D-8144-0AB962EDC12A}" name="Column13063"/>
    <tableColumn id="13066" xr3:uid="{B63987BE-351B-4318-B889-599CE6951D2D}" name="Column13064"/>
    <tableColumn id="13067" xr3:uid="{F9778459-FDFC-4AE5-83DC-B1CB87F15BE3}" name="Column13065"/>
    <tableColumn id="13068" xr3:uid="{B18A62FD-2D88-4FFD-8D57-C93B8B9E5107}" name="Column13066"/>
    <tableColumn id="13069" xr3:uid="{F912C8D6-44AD-4516-92C3-C1FF687C6912}" name="Column13067"/>
    <tableColumn id="13070" xr3:uid="{52B3698B-F793-4B03-A8BD-434841AB0F9E}" name="Column13068"/>
    <tableColumn id="13071" xr3:uid="{81CB854B-F524-4C82-A460-FB680CE891A1}" name="Column13069"/>
    <tableColumn id="13072" xr3:uid="{5CB7EC4A-5407-4C78-B6F3-B4727E13F55B}" name="Column13070"/>
    <tableColumn id="13073" xr3:uid="{EA5F8964-D22A-46C9-96FE-1D50A4DF6CA3}" name="Column13071"/>
    <tableColumn id="13074" xr3:uid="{FA3593AC-6809-4C19-9A69-CB53C66B2889}" name="Column13072"/>
    <tableColumn id="13075" xr3:uid="{336F4D8D-DF25-4E80-8281-A752FEEED9F2}" name="Column13073"/>
    <tableColumn id="13076" xr3:uid="{F1E476FB-C110-49CE-9438-FC3ED7AAADA3}" name="Column13074"/>
    <tableColumn id="13077" xr3:uid="{2CEFF294-2E30-48DF-9757-67AECC3AA9AE}" name="Column13075"/>
    <tableColumn id="13078" xr3:uid="{7138F3F8-3D4D-4AA5-8708-021FFBA7F501}" name="Column13076"/>
    <tableColumn id="13079" xr3:uid="{0C867E73-252B-4BA3-A627-7177CA79D02F}" name="Column13077"/>
    <tableColumn id="13080" xr3:uid="{C3926B3F-0412-4B26-AEFA-BEBCEB3F9617}" name="Column13078"/>
    <tableColumn id="13081" xr3:uid="{CFC2A699-19F9-4D16-B196-599319B29661}" name="Column13079"/>
    <tableColumn id="13082" xr3:uid="{448D56F9-2E74-404B-B23B-47359E087293}" name="Column13080"/>
    <tableColumn id="13083" xr3:uid="{C4BF9F9E-1933-4BFA-B16F-FFC1B8477B1A}" name="Column13081"/>
    <tableColumn id="13084" xr3:uid="{12AA367C-488A-4A1C-9D08-067189FEA818}" name="Column13082"/>
    <tableColumn id="13085" xr3:uid="{0BAFE514-3DE6-4ADE-A8BB-E0ECB3A7A514}" name="Column13083"/>
    <tableColumn id="13086" xr3:uid="{613070B5-58EB-4870-A6B6-C68B522C5B4E}" name="Column13084"/>
    <tableColumn id="13087" xr3:uid="{CF407A40-59CD-449F-95E5-E428D3DC2E92}" name="Column13085"/>
    <tableColumn id="13088" xr3:uid="{BA9FCF90-8CC6-4FA2-A0E7-C8FC83B5106E}" name="Column13086"/>
    <tableColumn id="13089" xr3:uid="{A4F89EA7-C0FA-4340-A6A5-BD5C07789E51}" name="Column13087"/>
    <tableColumn id="13090" xr3:uid="{D6CED8A0-8CEA-431B-A147-D31022A443D6}" name="Column13088"/>
    <tableColumn id="13091" xr3:uid="{CED6EDCA-14F8-4417-8FA2-DFA60B8BE5FF}" name="Column13089"/>
    <tableColumn id="13092" xr3:uid="{D5B137E7-7A73-4331-92FF-6D82A6543648}" name="Column13090"/>
    <tableColumn id="13093" xr3:uid="{7136B0DB-221F-46CA-84A5-75A0F3808177}" name="Column13091"/>
    <tableColumn id="13094" xr3:uid="{E23D560C-8A81-4A63-ABB9-BBA676C59BAC}" name="Column13092"/>
    <tableColumn id="13095" xr3:uid="{1E1D1EA4-99E7-4DE4-A3D5-CA620C9DA387}" name="Column13093"/>
    <tableColumn id="13096" xr3:uid="{4E4C09D0-DD52-4EB8-93BA-594A3CC3D3CA}" name="Column13094"/>
    <tableColumn id="13097" xr3:uid="{47546A04-C8B0-41EC-9424-CBDB85062362}" name="Column13095"/>
    <tableColumn id="13098" xr3:uid="{08F0E67B-0249-4A13-AD51-F69C625A48B9}" name="Column13096"/>
    <tableColumn id="13099" xr3:uid="{2071B7F1-E74B-4B12-8D4B-6B5E93A0EC7B}" name="Column13097"/>
    <tableColumn id="13100" xr3:uid="{D5676C84-C04C-41E5-8DA4-44AD7A0A907A}" name="Column13098"/>
    <tableColumn id="13101" xr3:uid="{630BEFA6-38AD-4BE4-972E-941239FDCD6D}" name="Column13099"/>
    <tableColumn id="13102" xr3:uid="{50A72F21-A56A-4BE0-86A1-513EAD766FB0}" name="Column13100"/>
    <tableColumn id="13103" xr3:uid="{9E83CB6B-BD38-4651-AD4E-0B628E90F374}" name="Column13101"/>
    <tableColumn id="13104" xr3:uid="{EB21005E-CEC8-4EE5-ACC1-950A4472E8C1}" name="Column13102"/>
    <tableColumn id="13105" xr3:uid="{244368CD-1E13-4C39-A169-E5C78C582C62}" name="Column13103"/>
    <tableColumn id="13106" xr3:uid="{071917D6-1571-4778-8FAA-3C3414D142AB}" name="Column13104"/>
    <tableColumn id="13107" xr3:uid="{BB84BACA-06BE-4EDC-ADDC-86CDD3393D42}" name="Column13105"/>
    <tableColumn id="13108" xr3:uid="{553EBCF5-EBC2-4DA3-B926-5DED43B970D5}" name="Column13106"/>
    <tableColumn id="13109" xr3:uid="{E393A1F2-6121-4E1B-AE52-64A3384BCE68}" name="Column13107"/>
    <tableColumn id="13110" xr3:uid="{7DC48888-CD56-4595-83AB-BCD710CD851B}" name="Column13108"/>
    <tableColumn id="13111" xr3:uid="{AB2EA7F1-CCE1-4341-B134-AD8384D13716}" name="Column13109"/>
    <tableColumn id="13112" xr3:uid="{466E4AE7-1A14-4D8D-A6CD-93EDE0E3906E}" name="Column13110"/>
    <tableColumn id="13113" xr3:uid="{7E696D2B-0741-4605-AC4A-272730283EC0}" name="Column13111"/>
    <tableColumn id="13114" xr3:uid="{9C8A278D-FF09-41D7-8451-0F4C84860113}" name="Column13112"/>
    <tableColumn id="13115" xr3:uid="{4BA7035D-4E3B-4E15-B937-22990BF611E5}" name="Column13113"/>
    <tableColumn id="13116" xr3:uid="{CED91A8C-E154-41A0-83AC-9332605EA0D4}" name="Column13114"/>
    <tableColumn id="13117" xr3:uid="{6C85C864-3C98-4BF8-B600-DE6A0CACD81A}" name="Column13115"/>
    <tableColumn id="13118" xr3:uid="{B74DE73B-4DE8-4008-A6BA-91673A4AA413}" name="Column13116"/>
    <tableColumn id="13119" xr3:uid="{CCAAA37E-0750-4A3E-93F7-A2DE933FF837}" name="Column13117"/>
    <tableColumn id="13120" xr3:uid="{D5A08BBE-B3BD-450B-9EE2-E2E0243EEB29}" name="Column13118"/>
    <tableColumn id="13121" xr3:uid="{62DB81EE-2714-4574-96FC-5403608FAAF1}" name="Column13119"/>
    <tableColumn id="13122" xr3:uid="{2D0BE2DF-24FB-4D1A-A703-9CAA286B069E}" name="Column13120"/>
    <tableColumn id="13123" xr3:uid="{79B5C324-F372-4B2F-A007-AF0530559443}" name="Column13121"/>
    <tableColumn id="13124" xr3:uid="{B76B50E1-1F74-4174-A1B7-BEEBFD541432}" name="Column13122"/>
    <tableColumn id="13125" xr3:uid="{74A14DF1-4C67-4362-8BEE-895DD0F25A52}" name="Column13123"/>
    <tableColumn id="13126" xr3:uid="{66CDA73F-1E77-42C7-BDDD-3C30369BFBF3}" name="Column13124"/>
    <tableColumn id="13127" xr3:uid="{5B8F2907-5D23-4C9E-80AC-8AF062611EEF}" name="Column13125"/>
    <tableColumn id="13128" xr3:uid="{D1459DC6-97D9-4524-BEAD-BFBEF821CBD4}" name="Column13126"/>
    <tableColumn id="13129" xr3:uid="{04004A59-5918-4FE7-9EC8-F05BD96B6852}" name="Column13127"/>
    <tableColumn id="13130" xr3:uid="{18677C95-B118-4079-8E52-85B3DF4AE6B5}" name="Column13128"/>
    <tableColumn id="13131" xr3:uid="{07E39FD7-0A8A-40DE-9185-458734F27BDA}" name="Column13129"/>
    <tableColumn id="13132" xr3:uid="{3CA16A01-2DE5-4FC0-B94F-0B56E85C0D8D}" name="Column13130"/>
    <tableColumn id="13133" xr3:uid="{EECE9FFB-8DC1-4285-B9BA-A834E24CDCD0}" name="Column13131"/>
    <tableColumn id="13134" xr3:uid="{8393E7C0-AFED-4B3D-BF15-8F2DE29CDE2B}" name="Column13132"/>
    <tableColumn id="13135" xr3:uid="{5E146FE6-7089-4CC6-8273-25CA73F7B303}" name="Column13133"/>
    <tableColumn id="13136" xr3:uid="{A310E68F-28AB-44F0-A376-2D09E7DD858D}" name="Column13134"/>
    <tableColumn id="13137" xr3:uid="{BEA3F2A2-D521-4DAA-9DE7-3A4922CE1554}" name="Column13135"/>
    <tableColumn id="13138" xr3:uid="{7D7F9592-4E0F-4111-8B9B-1B5EBE1D944B}" name="Column13136"/>
    <tableColumn id="13139" xr3:uid="{540B562C-36C9-4C58-8824-0A1D508A429D}" name="Column13137"/>
    <tableColumn id="13140" xr3:uid="{74F73F8A-7BD4-4513-B608-5C65102A25D7}" name="Column13138"/>
    <tableColumn id="13141" xr3:uid="{B12F8D1F-B4D4-4D61-8ABC-8AC30BB4F843}" name="Column13139"/>
    <tableColumn id="13142" xr3:uid="{97D8710F-449C-4BE9-B179-238FDAD5C916}" name="Column13140"/>
    <tableColumn id="13143" xr3:uid="{324DA413-5116-4166-9F4F-E4A66E32841F}" name="Column13141"/>
    <tableColumn id="13144" xr3:uid="{CF36A0FE-DBB2-499C-B16D-9F8462F44025}" name="Column13142"/>
    <tableColumn id="13145" xr3:uid="{BB47675C-7F11-4829-88C9-86D96B431692}" name="Column13143"/>
    <tableColumn id="13146" xr3:uid="{DD9E1350-A2A8-4D37-8C9E-21426F23DC9A}" name="Column13144"/>
    <tableColumn id="13147" xr3:uid="{C29CC935-B7FD-4881-B9C8-8A4C51CE305F}" name="Column13145"/>
    <tableColumn id="13148" xr3:uid="{5A169533-4F3C-4440-AAF6-A4A7B8E85E65}" name="Column13146"/>
    <tableColumn id="13149" xr3:uid="{A8392710-9BD4-496C-91DA-E4D6CF1F4E66}" name="Column13147"/>
    <tableColumn id="13150" xr3:uid="{5F7D9899-6F1F-4A7E-8AE6-36DD5D03F363}" name="Column13148"/>
    <tableColumn id="13151" xr3:uid="{FBA586B3-F29D-4E92-80AE-C362DF8B6368}" name="Column13149"/>
    <tableColumn id="13152" xr3:uid="{BA3CD199-F962-4374-90D5-C09C03282DEE}" name="Column13150"/>
    <tableColumn id="13153" xr3:uid="{7559082D-0111-4574-AA95-5AF91A19F2C5}" name="Column13151"/>
    <tableColumn id="13154" xr3:uid="{19B8EB3E-6E73-44B7-87AB-523EE31A966F}" name="Column13152"/>
    <tableColumn id="13155" xr3:uid="{14D1E629-5D44-40BE-9D1D-B6A5CB6D348F}" name="Column13153"/>
    <tableColumn id="13156" xr3:uid="{3CA562B6-57A9-4CDB-8A02-F62DE7690A23}" name="Column13154"/>
    <tableColumn id="13157" xr3:uid="{EC693514-B070-47C0-A88F-CE051D2A0067}" name="Column13155"/>
    <tableColumn id="13158" xr3:uid="{4A490357-2388-48ED-BFF7-3FD2AC933AEB}" name="Column13156"/>
    <tableColumn id="13159" xr3:uid="{63E7D486-9584-429D-A698-BCD91DD66190}" name="Column13157"/>
    <tableColumn id="13160" xr3:uid="{8B2D1B30-A41A-4CDF-B347-1E17FE53C6B3}" name="Column13158"/>
    <tableColumn id="13161" xr3:uid="{2D1A0D9A-947A-4475-8D19-994E3C802A0C}" name="Column13159"/>
    <tableColumn id="13162" xr3:uid="{D1F04C40-F88D-40FA-9CF7-036641BF5951}" name="Column13160"/>
    <tableColumn id="13163" xr3:uid="{52635E81-D147-4282-BE5E-FEA37A4BF4D3}" name="Column13161"/>
    <tableColumn id="13164" xr3:uid="{D89CAB35-9027-4358-BE02-C6950F485841}" name="Column13162"/>
    <tableColumn id="13165" xr3:uid="{05EDA3BB-8DDA-4CFF-B5AC-BD575A7DA362}" name="Column13163"/>
    <tableColumn id="13166" xr3:uid="{17539D20-C16E-4F13-A50E-3B85534942ED}" name="Column13164"/>
    <tableColumn id="13167" xr3:uid="{AC5FFD2C-90BF-40B3-B196-87F1F854107C}" name="Column13165"/>
    <tableColumn id="13168" xr3:uid="{2290B75D-7295-49D1-84BA-D6DD7706E2E6}" name="Column13166"/>
    <tableColumn id="13169" xr3:uid="{83051268-BCE5-4396-B2E3-B9B0FD173183}" name="Column13167"/>
    <tableColumn id="13170" xr3:uid="{8F3B8D56-587C-4834-B117-EE5751F175C2}" name="Column13168"/>
    <tableColumn id="13171" xr3:uid="{EC0C6D5C-5415-4AEA-B5D0-F5623AFF6F59}" name="Column13169"/>
    <tableColumn id="13172" xr3:uid="{372CFA5E-C6AF-4EA6-BF6E-672DADFB199F}" name="Column13170"/>
    <tableColumn id="13173" xr3:uid="{66990719-9D70-4009-97C2-E40A3F0CA969}" name="Column13171"/>
    <tableColumn id="13174" xr3:uid="{ACDFC7D0-1883-4F51-BBA3-DD1E76654D36}" name="Column13172"/>
    <tableColumn id="13175" xr3:uid="{2D533591-671E-4D02-A81D-288E7F01B694}" name="Column13173"/>
    <tableColumn id="13176" xr3:uid="{3A3901D9-82E1-4F46-BFB1-5653C99DC895}" name="Column13174"/>
    <tableColumn id="13177" xr3:uid="{74481C9A-CFEA-4F0A-9337-307E89D7E069}" name="Column13175"/>
    <tableColumn id="13178" xr3:uid="{9D1FC338-D102-418E-B92A-5DE8678C3BC1}" name="Column13176"/>
    <tableColumn id="13179" xr3:uid="{A8AC2754-C15D-4BDA-BC42-FB5828AD4EF8}" name="Column13177"/>
    <tableColumn id="13180" xr3:uid="{6F067BD1-EB4D-469A-A077-371AF2C346B4}" name="Column13178"/>
    <tableColumn id="13181" xr3:uid="{7805B75B-CCA4-4854-BCDA-6425FB1505E8}" name="Column13179"/>
    <tableColumn id="13182" xr3:uid="{721CF9DE-0CB6-42B4-B1C3-DF7ED7F11D99}" name="Column13180"/>
    <tableColumn id="13183" xr3:uid="{C2F4675D-0E8F-4193-99FE-431A4F462A79}" name="Column13181"/>
    <tableColumn id="13184" xr3:uid="{CB48D475-A05B-4D7D-8E41-F60AD3C1A6BF}" name="Column13182"/>
    <tableColumn id="13185" xr3:uid="{815CC7AD-1F6B-4881-A744-8C2B12DF33D0}" name="Column13183"/>
    <tableColumn id="13186" xr3:uid="{D6FBEB9B-4962-4545-A58B-F90829DDD44F}" name="Column13184"/>
    <tableColumn id="13187" xr3:uid="{A9AFC72D-1AA7-4E44-9B7B-E24661AAADCA}" name="Column13185"/>
    <tableColumn id="13188" xr3:uid="{5FFC145E-89F5-42F5-AE06-A81AB6DF1040}" name="Column13186"/>
    <tableColumn id="13189" xr3:uid="{7F34C3C2-BE76-41B6-A62D-B358AD9CD64B}" name="Column13187"/>
    <tableColumn id="13190" xr3:uid="{6968A705-529B-40CB-843A-D0FE91C61587}" name="Column13188"/>
    <tableColumn id="13191" xr3:uid="{8E36ADC9-787B-4056-8E78-73AF20B18593}" name="Column13189"/>
    <tableColumn id="13192" xr3:uid="{B57173B3-416C-4318-BC12-AA64D32F7DE9}" name="Column13190"/>
    <tableColumn id="13193" xr3:uid="{CAAFBE76-F1F0-4585-996F-FF9330E53D19}" name="Column13191"/>
    <tableColumn id="13194" xr3:uid="{299574A1-D82D-41B4-BE50-382527B9BCD2}" name="Column13192"/>
    <tableColumn id="13195" xr3:uid="{96017FCE-F28A-414F-94C3-EE2D8D5AD2D3}" name="Column13193"/>
    <tableColumn id="13196" xr3:uid="{9843E0F1-992A-46E1-8649-5CD0225309B5}" name="Column13194"/>
    <tableColumn id="13197" xr3:uid="{297CF3D0-7789-4A28-A252-511793BD3CB5}" name="Column13195"/>
    <tableColumn id="13198" xr3:uid="{767AD632-25A4-4343-839B-DB84CD21ED7D}" name="Column13196"/>
    <tableColumn id="13199" xr3:uid="{738C0681-6D7B-4119-8EBE-3C12BE264692}" name="Column13197"/>
    <tableColumn id="13200" xr3:uid="{7DD6CEFA-DE9A-44C3-81BF-6692293EA93B}" name="Column13198"/>
    <tableColumn id="13201" xr3:uid="{B997244B-5F0A-41D0-85DE-C77E2FA23AEF}" name="Column13199"/>
    <tableColumn id="13202" xr3:uid="{D6BAAAF1-694C-44B0-A1EE-1389ED22D51B}" name="Column13200"/>
    <tableColumn id="13203" xr3:uid="{716F6BC5-98AA-4007-B259-8D05323FFB99}" name="Column13201"/>
    <tableColumn id="13204" xr3:uid="{9BC41414-253B-4A32-9D37-A61AB53A0D4B}" name="Column13202"/>
    <tableColumn id="13205" xr3:uid="{602DF281-F9D1-4ABF-B340-1B80E264428B}" name="Column13203"/>
    <tableColumn id="13206" xr3:uid="{8874BC3F-03DB-47D2-AE67-0571878F3336}" name="Column13204"/>
    <tableColumn id="13207" xr3:uid="{22F36897-5FAA-41B5-9CFF-4B487501B3F6}" name="Column13205"/>
    <tableColumn id="13208" xr3:uid="{82E487B6-6B0E-4121-9E4F-F8AE0126E10E}" name="Column13206"/>
    <tableColumn id="13209" xr3:uid="{FE5CE75B-FC92-4683-A60C-BF525FF6CE9D}" name="Column13207"/>
    <tableColumn id="13210" xr3:uid="{BC99797D-9DD6-4AEF-A519-783FA664570B}" name="Column13208"/>
    <tableColumn id="13211" xr3:uid="{5A6A3FF0-39C7-42F9-8197-AA8542B83140}" name="Column13209"/>
    <tableColumn id="13212" xr3:uid="{8F9C69B1-27CA-4147-A835-24B78BA29E70}" name="Column13210"/>
    <tableColumn id="13213" xr3:uid="{0DA5ACDA-1C84-4932-B1C2-FE85C8C50873}" name="Column13211"/>
    <tableColumn id="13214" xr3:uid="{BB533791-8531-4D88-9EE0-04D925FABDC9}" name="Column13212"/>
    <tableColumn id="13215" xr3:uid="{1565F28B-3E1F-413A-8747-6F80C8F3461B}" name="Column13213"/>
    <tableColumn id="13216" xr3:uid="{4FD10A6A-4E97-4819-9911-13179C8C6B0F}" name="Column13214"/>
    <tableColumn id="13217" xr3:uid="{66DA7020-B208-48E1-AE65-88373BA229C9}" name="Column13215"/>
    <tableColumn id="13218" xr3:uid="{BAF384F8-E5A4-4C68-A916-E6FA3CA487E6}" name="Column13216"/>
    <tableColumn id="13219" xr3:uid="{A59BA9D1-5FD3-4BC0-A5C4-E4A1A9813010}" name="Column13217"/>
    <tableColumn id="13220" xr3:uid="{EC6F51F9-5953-4FBF-BF1F-3401A2345DB9}" name="Column13218"/>
    <tableColumn id="13221" xr3:uid="{C463D129-BB44-42CF-803B-8499490AE926}" name="Column13219"/>
    <tableColumn id="13222" xr3:uid="{EB984688-CC99-431F-95ED-58E31EDF92A9}" name="Column13220"/>
    <tableColumn id="13223" xr3:uid="{919AC0E4-F2C9-4898-BB2E-9CCD3E5B34B8}" name="Column13221"/>
    <tableColumn id="13224" xr3:uid="{F89B4C05-857E-486B-A8F1-66935D2BF3AF}" name="Column13222"/>
    <tableColumn id="13225" xr3:uid="{6DBDED4C-B891-4B9C-945A-7B3ABC8152E2}" name="Column13223"/>
    <tableColumn id="13226" xr3:uid="{7F5633E1-E8AB-4B7B-9853-5F348E4E6E74}" name="Column13224"/>
    <tableColumn id="13227" xr3:uid="{2CA2D879-72F2-44F3-9DF9-38EDB3046DAE}" name="Column13225"/>
    <tableColumn id="13228" xr3:uid="{8C59F10C-7169-4A75-ADA2-E5AAC85EE319}" name="Column13226"/>
    <tableColumn id="13229" xr3:uid="{CC6D051B-CC29-4CAD-A339-037206B9CB15}" name="Column13227"/>
    <tableColumn id="13230" xr3:uid="{538F684C-A5F0-4587-8F35-C0447E007CB1}" name="Column13228"/>
    <tableColumn id="13231" xr3:uid="{123BC19E-4322-4611-8146-3CBCE87D0314}" name="Column13229"/>
    <tableColumn id="13232" xr3:uid="{51EA362B-20E6-4E52-96E2-28CBD01B3B08}" name="Column13230"/>
    <tableColumn id="13233" xr3:uid="{0A6B28D5-9CDD-4480-8688-EF213360C11D}" name="Column13231"/>
    <tableColumn id="13234" xr3:uid="{14D7A9D5-8C58-4DB5-B51F-93E315630AB5}" name="Column13232"/>
    <tableColumn id="13235" xr3:uid="{C1C5BD53-3806-49BA-86FA-DC165FE3A659}" name="Column13233"/>
    <tableColumn id="13236" xr3:uid="{FFEE9BD4-A01D-4626-AE45-43DDCD8DD358}" name="Column13234"/>
    <tableColumn id="13237" xr3:uid="{7CDD7285-D826-4853-8C38-AE2F5359C328}" name="Column13235"/>
    <tableColumn id="13238" xr3:uid="{60A602D9-7F69-4046-ABE5-AED0D4AE3C5F}" name="Column13236"/>
    <tableColumn id="13239" xr3:uid="{D5D32E05-DE2F-4834-963A-627588518797}" name="Column13237"/>
    <tableColumn id="13240" xr3:uid="{F6B8DB7D-4611-4096-A224-AA4D62464DAD}" name="Column13238"/>
    <tableColumn id="13241" xr3:uid="{4288C63D-C2E6-480D-9B0A-F141AFBE287B}" name="Column13239"/>
    <tableColumn id="13242" xr3:uid="{BC8E7EE8-22D9-4B0E-804B-1D3F991C9301}" name="Column13240"/>
    <tableColumn id="13243" xr3:uid="{E013C6E1-4B7D-48EB-9508-BA5FB66D93A8}" name="Column13241"/>
    <tableColumn id="13244" xr3:uid="{739B0832-27CC-498D-A27E-A9CA8DCD180E}" name="Column13242"/>
    <tableColumn id="13245" xr3:uid="{F9B181F1-45BA-4BA5-96B1-39B01AAFEF78}" name="Column13243"/>
    <tableColumn id="13246" xr3:uid="{470CCE35-0F87-4F2D-AB30-80429CD04094}" name="Column13244"/>
    <tableColumn id="13247" xr3:uid="{0F8E5CDD-65F9-4075-A4B2-76AA260D8B48}" name="Column13245"/>
    <tableColumn id="13248" xr3:uid="{35D8793B-0923-4C33-BF2A-258C2A53B1AA}" name="Column13246"/>
    <tableColumn id="13249" xr3:uid="{7F35B8E6-D90D-4D3B-A729-7AD09613A635}" name="Column13247"/>
    <tableColumn id="13250" xr3:uid="{B156BAF1-4B87-4F2A-8BAB-9CC409604710}" name="Column13248"/>
    <tableColumn id="13251" xr3:uid="{1775442E-EFFF-4CF9-A71C-39612FDA6FDC}" name="Column13249"/>
    <tableColumn id="13252" xr3:uid="{097966BC-5D3F-4F02-8B16-F60205FE4E8C}" name="Column13250"/>
    <tableColumn id="13253" xr3:uid="{97CBF9EB-61CC-4EB3-BAB9-729183E13688}" name="Column13251"/>
    <tableColumn id="13254" xr3:uid="{C87B92BD-3C5F-4940-BF26-2501C0CE5CDC}" name="Column13252"/>
    <tableColumn id="13255" xr3:uid="{7F5309C1-0948-4A8A-BB66-CE645B684C68}" name="Column13253"/>
    <tableColumn id="13256" xr3:uid="{D250A127-67A5-47E7-BE62-918A3274D6FE}" name="Column13254"/>
    <tableColumn id="13257" xr3:uid="{273B1E41-5C29-4E3B-AA4D-50D1CDD53E52}" name="Column13255"/>
    <tableColumn id="13258" xr3:uid="{ED212F1B-56C6-4AA7-A807-FE94098B7FC0}" name="Column13256"/>
    <tableColumn id="13259" xr3:uid="{BB0AFA6A-2B66-485D-BE29-3D36D9EFE276}" name="Column13257"/>
    <tableColumn id="13260" xr3:uid="{E964FF19-ED62-419D-8940-86B2DC64B1FE}" name="Column13258"/>
    <tableColumn id="13261" xr3:uid="{5A4E9A8A-CB86-4B84-91A6-E8FDD0FAD703}" name="Column13259"/>
    <tableColumn id="13262" xr3:uid="{D6CC0077-5DA7-4B15-ADC6-026F5EFCC6DB}" name="Column13260"/>
    <tableColumn id="13263" xr3:uid="{C49E2597-F9F3-4A5D-AB4C-21CE5ED2D05E}" name="Column13261"/>
    <tableColumn id="13264" xr3:uid="{643564B8-C494-4987-A7F2-812FA4527BCC}" name="Column13262"/>
    <tableColumn id="13265" xr3:uid="{0C71496B-B0F0-480F-9E70-192C898B4D79}" name="Column13263"/>
    <tableColumn id="13266" xr3:uid="{52E56AFB-EBAA-4D4E-AB95-AB093637FF80}" name="Column13264"/>
    <tableColumn id="13267" xr3:uid="{1E0A64CC-8E13-43CC-8078-E78BCDE041C5}" name="Column13265"/>
    <tableColumn id="13268" xr3:uid="{C1CA1E24-2022-4CDE-A589-C76219AD18F8}" name="Column13266"/>
    <tableColumn id="13269" xr3:uid="{9338B3CC-43C1-42CF-8EF3-637689DC1C80}" name="Column13267"/>
    <tableColumn id="13270" xr3:uid="{372CCB61-8F5B-41AE-92F0-2BFA65C210CE}" name="Column13268"/>
    <tableColumn id="13271" xr3:uid="{8FAB9169-0010-43E8-9795-35C12946720F}" name="Column13269"/>
    <tableColumn id="13272" xr3:uid="{99599A3A-A093-488A-8BC1-36BBEBFEECF2}" name="Column13270"/>
    <tableColumn id="13273" xr3:uid="{4EE121DA-B5B4-47F0-B760-1C6C8AC4668D}" name="Column13271"/>
    <tableColumn id="13274" xr3:uid="{7CD9105A-2790-4BFA-B5D2-65328AEA8CA8}" name="Column13272"/>
    <tableColumn id="13275" xr3:uid="{F128D684-9FB2-4160-9DD3-76337D6693A7}" name="Column13273"/>
    <tableColumn id="13276" xr3:uid="{2E0222FA-D9A4-4C20-BBFA-2125175680EA}" name="Column13274"/>
    <tableColumn id="13277" xr3:uid="{B76A1F8C-8256-4884-96C3-AC829DB1C5C0}" name="Column13275"/>
    <tableColumn id="13278" xr3:uid="{1E6D97C2-01D9-4307-B34B-8DFC97D149A4}" name="Column13276"/>
    <tableColumn id="13279" xr3:uid="{0B2E4B2B-EBFC-407B-85EB-A5898BDF04E8}" name="Column13277"/>
    <tableColumn id="13280" xr3:uid="{AA4489B9-0BCB-41D8-A9CB-69E3A9E2C13B}" name="Column13278"/>
    <tableColumn id="13281" xr3:uid="{7B575F1C-AC13-4213-AB82-919E934D7B0B}" name="Column13279"/>
    <tableColumn id="13282" xr3:uid="{2F16398A-5B5D-4299-A794-CF7782F40925}" name="Column13280"/>
    <tableColumn id="13283" xr3:uid="{75F5699D-C4A5-461E-9511-D6E2F13C16B3}" name="Column13281"/>
    <tableColumn id="13284" xr3:uid="{F350ECE7-F896-44A7-8D45-147D830D5F86}" name="Column13282"/>
    <tableColumn id="13285" xr3:uid="{A78C813A-EEEC-4941-8632-76669C6DD23F}" name="Column13283"/>
    <tableColumn id="13286" xr3:uid="{BA7D667B-BD58-46B3-B8BB-C9FC6488D84D}" name="Column13284"/>
    <tableColumn id="13287" xr3:uid="{D8ACA1A8-5495-4388-9EA6-351765E5539F}" name="Column13285"/>
    <tableColumn id="13288" xr3:uid="{713609E7-EA84-4650-8E54-3F6C338E3363}" name="Column13286"/>
    <tableColumn id="13289" xr3:uid="{4ECC157B-1321-4AAA-A7CB-355A239A1DB9}" name="Column13287"/>
    <tableColumn id="13290" xr3:uid="{7589AD8C-6578-49F5-87EE-43CA6829B838}" name="Column13288"/>
    <tableColumn id="13291" xr3:uid="{79597118-4303-43A6-AEBE-71C243AA2653}" name="Column13289"/>
    <tableColumn id="13292" xr3:uid="{8B4D85D6-F4A3-4FFA-801C-F98D7123BFE8}" name="Column13290"/>
    <tableColumn id="13293" xr3:uid="{7FE6F1BE-8710-479F-9AB4-77894A862A01}" name="Column13291"/>
    <tableColumn id="13294" xr3:uid="{B297885B-58E0-4019-BD2A-D11A950CD806}" name="Column13292"/>
    <tableColumn id="13295" xr3:uid="{1551E113-2C2E-4F63-87A4-99BAD61D2E47}" name="Column13293"/>
    <tableColumn id="13296" xr3:uid="{83B0434F-FD84-49CC-9E8A-8DAE6A27F250}" name="Column13294"/>
    <tableColumn id="13297" xr3:uid="{3B0A2A22-2537-4C39-B0BD-6EE0FE6044E8}" name="Column13295"/>
    <tableColumn id="13298" xr3:uid="{6BF37AC6-3AEF-46D8-B7DF-51D932DEC6C6}" name="Column13296"/>
    <tableColumn id="13299" xr3:uid="{B9835AAE-7E5E-4E5F-9933-708E54CBB339}" name="Column13297"/>
    <tableColumn id="13300" xr3:uid="{17973AE4-36F4-4576-B8A9-5C47B1F321A1}" name="Column13298"/>
    <tableColumn id="13301" xr3:uid="{FACD0388-D29B-4A46-9B87-A117FC32EFAD}" name="Column13299"/>
    <tableColumn id="13302" xr3:uid="{B79539BC-2B37-4F3B-9EBF-8D998A499FEA}" name="Column13300"/>
    <tableColumn id="13303" xr3:uid="{D3AA6EF8-E6F1-4B4D-9DBE-87890FF8B723}" name="Column13301"/>
    <tableColumn id="13304" xr3:uid="{98FD7585-DAD0-424B-A17D-EA57243A6504}" name="Column13302"/>
    <tableColumn id="13305" xr3:uid="{2A23085B-82A9-4F60-B3FB-BE570A868324}" name="Column13303"/>
    <tableColumn id="13306" xr3:uid="{E0A53986-CB83-465F-9D7E-33E54D1D2D79}" name="Column13304"/>
    <tableColumn id="13307" xr3:uid="{8D9CB950-3F62-49AC-AF5C-82804ED37452}" name="Column13305"/>
    <tableColumn id="13308" xr3:uid="{CFA4D7AB-892A-4D0A-9737-C67A20673E64}" name="Column13306"/>
    <tableColumn id="13309" xr3:uid="{40C8FA02-04CD-4803-A2A0-3B70724FEBE0}" name="Column13307"/>
    <tableColumn id="13310" xr3:uid="{ED2D6E02-5CED-4136-8351-28EE63A11156}" name="Column13308"/>
    <tableColumn id="13311" xr3:uid="{8966878F-B3E0-4A2D-8FA3-710BC5976042}" name="Column13309"/>
    <tableColumn id="13312" xr3:uid="{E3CA7831-E7E8-44A8-8498-B75E92247E0D}" name="Column13310"/>
    <tableColumn id="13313" xr3:uid="{440E20AE-1CE0-4FA1-9758-2D9F04436A01}" name="Column13311"/>
    <tableColumn id="13314" xr3:uid="{6B5C3B61-1327-48DA-8DC4-92C4724D7C1A}" name="Column13312"/>
    <tableColumn id="13315" xr3:uid="{EC9746DA-70CB-45FE-BE20-5775AF1D6BDA}" name="Column13313"/>
    <tableColumn id="13316" xr3:uid="{60CD5ABB-D374-4103-9149-9B44BC303C23}" name="Column13314"/>
    <tableColumn id="13317" xr3:uid="{20C27050-6460-46D6-ADDF-AE611E26A024}" name="Column13315"/>
    <tableColumn id="13318" xr3:uid="{A922398A-A816-4C70-9522-324B902379AB}" name="Column13316"/>
    <tableColumn id="13319" xr3:uid="{7C6E1AD7-F4E3-4A01-BB2C-567DA97598A0}" name="Column13317"/>
    <tableColumn id="13320" xr3:uid="{DA935D19-0B99-4408-8FC8-6DC68F0177CC}" name="Column13318"/>
    <tableColumn id="13321" xr3:uid="{07D057EC-9342-4A4B-AE88-104DDD9A09B1}" name="Column13319"/>
    <tableColumn id="13322" xr3:uid="{8EDBC61E-FD8A-4E58-9CF8-EE1199403423}" name="Column13320"/>
    <tableColumn id="13323" xr3:uid="{F0D0100A-FA4E-4544-B8A9-50516947833B}" name="Column13321"/>
    <tableColumn id="13324" xr3:uid="{95726013-C7B7-4981-96EF-424422CFDB63}" name="Column13322"/>
    <tableColumn id="13325" xr3:uid="{0C41139E-9CE6-4D66-9F8C-FE3FF235A901}" name="Column13323"/>
    <tableColumn id="13326" xr3:uid="{76DC4EFE-2992-4392-A77F-ACEE4C416818}" name="Column13324"/>
    <tableColumn id="13327" xr3:uid="{A3A8C3D5-5CDB-4E10-A90C-2FCE5A0A4BD7}" name="Column13325"/>
    <tableColumn id="13328" xr3:uid="{3CD45CC0-BC2D-4DA2-A050-B2CD3A634DBF}" name="Column13326"/>
    <tableColumn id="13329" xr3:uid="{91A3353F-5C0C-4461-B2A8-DD0448F28EB4}" name="Column13327"/>
    <tableColumn id="13330" xr3:uid="{EA7A5BAE-5B92-4595-A07E-87560D724A8A}" name="Column13328"/>
    <tableColumn id="13331" xr3:uid="{406CEA8D-77BE-4FD5-8B96-152FAD8CC83E}" name="Column13329"/>
    <tableColumn id="13332" xr3:uid="{B04DE23B-1B73-4715-AFF6-FA931C6BD501}" name="Column13330"/>
    <tableColumn id="13333" xr3:uid="{BC68E04B-C4E6-48ED-A9CF-3F818A285B6D}" name="Column13331"/>
    <tableColumn id="13334" xr3:uid="{3B399966-530E-4477-8A3C-67EAB358D4A3}" name="Column13332"/>
    <tableColumn id="13335" xr3:uid="{8AC61D5D-97FA-43AD-9EA8-9AD7764D7C8C}" name="Column13333"/>
    <tableColumn id="13336" xr3:uid="{F61458EB-F5D5-4B2D-AB90-F23F13010FEB}" name="Column13334"/>
    <tableColumn id="13337" xr3:uid="{CFB34533-03B1-4A2C-927A-A455BB4E046A}" name="Column13335"/>
    <tableColumn id="13338" xr3:uid="{15B621BC-6D8F-4FAB-83C7-3970DFF23ACB}" name="Column13336"/>
    <tableColumn id="13339" xr3:uid="{158ED591-0EA0-4706-9461-6802A1B869C6}" name="Column13337"/>
    <tableColumn id="13340" xr3:uid="{75BBE18B-29FD-42DD-84F1-819485259DC5}" name="Column13338"/>
    <tableColumn id="13341" xr3:uid="{9CF20372-00AE-4AEB-9CB9-C0F6F9F526F9}" name="Column13339"/>
    <tableColumn id="13342" xr3:uid="{BCA6C2A5-C3B7-465B-ABA8-883E4F0E3DB4}" name="Column13340"/>
    <tableColumn id="13343" xr3:uid="{0A44F5FE-A835-43CE-B92B-C491E571B119}" name="Column13341"/>
    <tableColumn id="13344" xr3:uid="{9C90F819-ED8A-4C3C-8317-3A7FB3D5D6F2}" name="Column13342"/>
    <tableColumn id="13345" xr3:uid="{ACC4C8AC-74C0-4D9D-A95B-EE52C42CABAB}" name="Column13343"/>
    <tableColumn id="13346" xr3:uid="{71491411-6455-4686-9E40-9A0D5B6F3690}" name="Column13344"/>
    <tableColumn id="13347" xr3:uid="{426C4D5A-9E8D-4D57-A777-3A02F43F0F16}" name="Column13345"/>
    <tableColumn id="13348" xr3:uid="{8DEF2E39-6EA2-4DD5-A04F-E51CF8E523A6}" name="Column13346"/>
    <tableColumn id="13349" xr3:uid="{F2D1356A-32C2-4EDF-B45A-2DA5CA7AF091}" name="Column13347"/>
    <tableColumn id="13350" xr3:uid="{043F0C66-2FC8-4077-BAED-59DE9DBB198D}" name="Column13348"/>
    <tableColumn id="13351" xr3:uid="{3DD3ABD5-7B05-4683-9ACE-6D519E0861E0}" name="Column13349"/>
    <tableColumn id="13352" xr3:uid="{EC126470-1185-4E14-A8F3-2107C734F1AB}" name="Column13350"/>
    <tableColumn id="13353" xr3:uid="{9E7D10A2-37C3-420C-A047-C6AF5DBD503A}" name="Column13351"/>
    <tableColumn id="13354" xr3:uid="{C35FE987-9276-4FF5-A708-90D667333FAE}" name="Column13352"/>
    <tableColumn id="13355" xr3:uid="{08954B0B-7490-4024-B07A-8838BA1E1B57}" name="Column13353"/>
    <tableColumn id="13356" xr3:uid="{2702FE44-84AC-41DC-B046-80065A133BF1}" name="Column13354"/>
    <tableColumn id="13357" xr3:uid="{B78F7EDB-B00E-4573-AEB5-6DB24CA3B9D2}" name="Column13355"/>
    <tableColumn id="13358" xr3:uid="{41E316BA-1430-489B-B73C-F2672CCF6CFF}" name="Column13356"/>
    <tableColumn id="13359" xr3:uid="{4AE25DED-E6EC-4638-BB0D-98B1DB249E0B}" name="Column13357"/>
    <tableColumn id="13360" xr3:uid="{F9836876-2D44-4F91-8424-0437378DB3DE}" name="Column13358"/>
    <tableColumn id="13361" xr3:uid="{D3B8DA4C-2881-48BC-961E-40C48A2EFC13}" name="Column13359"/>
    <tableColumn id="13362" xr3:uid="{A3B0E51E-3E71-4208-B5F6-F7BFFFC08DD5}" name="Column13360"/>
    <tableColumn id="13363" xr3:uid="{429595BF-5ACD-40E5-B1C9-55DCD4052CA3}" name="Column13361"/>
    <tableColumn id="13364" xr3:uid="{94C4B599-96FC-49D8-BDBE-460C312D5B3D}" name="Column13362"/>
    <tableColumn id="13365" xr3:uid="{B4EDD671-0215-47C3-8E1F-69E25F31FD1D}" name="Column13363"/>
    <tableColumn id="13366" xr3:uid="{215A8311-A27F-4462-8B23-70F0C11B187B}" name="Column13364"/>
    <tableColumn id="13367" xr3:uid="{DD32867C-DA37-4337-B6B0-70247141C984}" name="Column13365"/>
    <tableColumn id="13368" xr3:uid="{19E249DA-ECC2-4D4E-94A5-FE719068BBFB}" name="Column13366"/>
    <tableColumn id="13369" xr3:uid="{9A2AC176-9D93-4C94-9028-30B6DF67BF53}" name="Column13367"/>
    <tableColumn id="13370" xr3:uid="{B39B2162-49FD-4357-8468-727CC1A707F6}" name="Column13368"/>
    <tableColumn id="13371" xr3:uid="{FF923318-3968-4EC9-BA7C-8B0FF64DA388}" name="Column13369"/>
    <tableColumn id="13372" xr3:uid="{1F5AF6A4-369E-4DA6-A05B-C03EA4334050}" name="Column13370"/>
    <tableColumn id="13373" xr3:uid="{C0BE6C79-0CA5-4DD8-AFB8-5393B5193A8E}" name="Column13371"/>
    <tableColumn id="13374" xr3:uid="{0A11BA3F-FB17-40D0-85EC-C81BB7A02E5A}" name="Column13372"/>
    <tableColumn id="13375" xr3:uid="{FB53BD56-5A35-4B91-9F0B-B11490105CE8}" name="Column13373"/>
    <tableColumn id="13376" xr3:uid="{03E3C687-DC16-4C0B-B815-302E6129BEAB}" name="Column13374"/>
    <tableColumn id="13377" xr3:uid="{1F0E3DFC-386E-4506-B3A6-9DA3A9798263}" name="Column13375"/>
    <tableColumn id="13378" xr3:uid="{0C1381D8-549D-4C32-89D7-25D43B8BE3C5}" name="Column13376"/>
    <tableColumn id="13379" xr3:uid="{DE06664C-1BCB-4F95-8989-3FFCC94DDFB3}" name="Column13377"/>
    <tableColumn id="13380" xr3:uid="{0FF18846-F958-4F0A-9849-40187A4421BD}" name="Column13378"/>
    <tableColumn id="13381" xr3:uid="{7D6EFDEA-C880-45D1-A662-813AC1BA654A}" name="Column13379"/>
    <tableColumn id="13382" xr3:uid="{656AF593-9C21-4D79-8F31-A505EC92A1BE}" name="Column13380"/>
    <tableColumn id="13383" xr3:uid="{507AAFDE-0F38-43B3-8DC2-B2A8A457C488}" name="Column13381"/>
    <tableColumn id="13384" xr3:uid="{F8B8C0A4-35C2-4922-B772-6044719423DB}" name="Column13382"/>
    <tableColumn id="13385" xr3:uid="{23D47980-55F1-4F37-9FD0-C7860FDA47D5}" name="Column13383"/>
    <tableColumn id="13386" xr3:uid="{7DDC3498-239B-44FB-9D2E-0371CA36CD01}" name="Column13384"/>
    <tableColumn id="13387" xr3:uid="{4DA5EAC9-A94E-4508-94C5-00D70052D28F}" name="Column13385"/>
    <tableColumn id="13388" xr3:uid="{A139398E-8951-4045-8850-263C7FD9CD02}" name="Column13386"/>
    <tableColumn id="13389" xr3:uid="{8606FD31-F716-42E0-8339-FBA15D02EFBE}" name="Column13387"/>
    <tableColumn id="13390" xr3:uid="{663702C2-853A-44CA-B0D6-2313682859FE}" name="Column13388"/>
    <tableColumn id="13391" xr3:uid="{A7E70F2C-5ECF-4A07-807F-769AE80066CC}" name="Column13389"/>
    <tableColumn id="13392" xr3:uid="{8E98070F-1D85-4B07-BD2B-578D8F7E510D}" name="Column13390"/>
    <tableColumn id="13393" xr3:uid="{E5344BDE-BF0C-4876-8C3A-04F97F66E53A}" name="Column13391"/>
    <tableColumn id="13394" xr3:uid="{D79F54DA-0CBD-42D9-A8CC-76A3E0AA9BC3}" name="Column13392"/>
    <tableColumn id="13395" xr3:uid="{FD88123B-AE6C-46C7-BDAB-BABBB2CD1633}" name="Column13393"/>
    <tableColumn id="13396" xr3:uid="{179B3D17-4188-4792-9A6C-B0C9D87EB45F}" name="Column13394"/>
    <tableColumn id="13397" xr3:uid="{09ABB32A-4230-47B5-8E84-C1EE66E482AF}" name="Column13395"/>
    <tableColumn id="13398" xr3:uid="{D59581B9-E110-4AE2-A9C3-C0DAAB935C7B}" name="Column13396"/>
    <tableColumn id="13399" xr3:uid="{E1F91492-07F4-4B2C-AADA-0E4FD718A3F4}" name="Column13397"/>
    <tableColumn id="13400" xr3:uid="{28B4AE1A-3540-441C-8F13-7D610AB22F35}" name="Column13398"/>
    <tableColumn id="13401" xr3:uid="{BFDFD9B1-63B2-48A6-93D0-2DF605F8B989}" name="Column13399"/>
    <tableColumn id="13402" xr3:uid="{1D999BBA-FF66-459B-8FA8-F1DC346ABFBB}" name="Column13400"/>
    <tableColumn id="13403" xr3:uid="{656F8A71-FF51-40DD-AB87-75BDE8286909}" name="Column13401"/>
    <tableColumn id="13404" xr3:uid="{CF07BB3C-EDB7-4862-853B-D9B2CD50E829}" name="Column13402"/>
    <tableColumn id="13405" xr3:uid="{E119DC5C-D4D3-4532-BA17-73C014EC0BBB}" name="Column13403"/>
    <tableColumn id="13406" xr3:uid="{D2A6C108-C7F9-45C6-B357-0E7FD9AF94D9}" name="Column13404"/>
    <tableColumn id="13407" xr3:uid="{03D7BC53-1139-4DB2-A642-36BC04B7367F}" name="Column13405"/>
    <tableColumn id="13408" xr3:uid="{3DBD1A56-319F-4755-8135-3ADE013E6CD7}" name="Column13406"/>
    <tableColumn id="13409" xr3:uid="{1F20141D-5B53-406F-8275-F27A1F4B3B86}" name="Column13407"/>
    <tableColumn id="13410" xr3:uid="{58388C6C-6128-4CB7-836A-153F9003BF40}" name="Column13408"/>
    <tableColumn id="13411" xr3:uid="{6EA4D478-6169-4305-A997-010640568B32}" name="Column13409"/>
    <tableColumn id="13412" xr3:uid="{E388EB83-A6F1-40F9-B723-C2B06E820B50}" name="Column13410"/>
    <tableColumn id="13413" xr3:uid="{81EF85F0-2439-47AD-9991-AABF5414EFC7}" name="Column13411"/>
    <tableColumn id="13414" xr3:uid="{6C37C4A1-B533-41A8-8BDD-17B268B5A373}" name="Column13412"/>
    <tableColumn id="13415" xr3:uid="{708908FB-B516-4FB6-ADF3-29830244BA01}" name="Column13413"/>
    <tableColumn id="13416" xr3:uid="{C34AF740-BBB4-467C-AA5A-080B4426CA32}" name="Column13414"/>
    <tableColumn id="13417" xr3:uid="{E4940F9D-439B-4560-A9BA-843AFB1C682E}" name="Column13415"/>
    <tableColumn id="13418" xr3:uid="{5148BA88-D299-4915-9164-D63BBA4E75BD}" name="Column13416"/>
    <tableColumn id="13419" xr3:uid="{DDE676A8-E120-4F51-A999-09C72673BD20}" name="Column13417"/>
    <tableColumn id="13420" xr3:uid="{15E9801B-24C9-4588-BA49-550ADDAC871E}" name="Column13418"/>
    <tableColumn id="13421" xr3:uid="{B7354B0E-0D1D-435E-8CEB-52168A54EA91}" name="Column13419"/>
    <tableColumn id="13422" xr3:uid="{AFD45561-1308-4957-936F-41A391C22479}" name="Column13420"/>
    <tableColumn id="13423" xr3:uid="{681EE0A0-457E-4946-B688-FE986AE8D850}" name="Column13421"/>
    <tableColumn id="13424" xr3:uid="{A3C934B5-0EA8-412B-8688-FE940D3217AE}" name="Column13422"/>
    <tableColumn id="13425" xr3:uid="{46AC761D-D2ED-4F81-A73E-A8D740E052D8}" name="Column13423"/>
    <tableColumn id="13426" xr3:uid="{816D598B-90F1-415E-8A41-42590DD13E4B}" name="Column13424"/>
    <tableColumn id="13427" xr3:uid="{49BB039B-32CC-46E8-92B9-BD5E1741BF93}" name="Column13425"/>
    <tableColumn id="13428" xr3:uid="{00E29FC7-112A-4E77-B9D8-F45132559826}" name="Column13426"/>
    <tableColumn id="13429" xr3:uid="{E0CBFE4D-10E3-4CC6-817B-CAA2F00A7278}" name="Column13427"/>
    <tableColumn id="13430" xr3:uid="{C2E3811C-F98C-4D1B-9581-BE4C5725D21D}" name="Column13428"/>
    <tableColumn id="13431" xr3:uid="{C180F328-81C3-40EB-B55A-10887C4E4741}" name="Column13429"/>
    <tableColumn id="13432" xr3:uid="{93AD392A-1E24-4201-B93B-09B318FF7589}" name="Column13430"/>
    <tableColumn id="13433" xr3:uid="{1C1A9227-306B-4E37-9AC2-B0FB656993FB}" name="Column13431"/>
    <tableColumn id="13434" xr3:uid="{465447F9-EA26-4B16-A6B6-8AF4EC27BCEB}" name="Column13432"/>
    <tableColumn id="13435" xr3:uid="{A61924E9-C274-42B5-AB7C-16B49F17D725}" name="Column13433"/>
    <tableColumn id="13436" xr3:uid="{33F9B006-FB9C-4457-970B-C297DD243736}" name="Column13434"/>
    <tableColumn id="13437" xr3:uid="{85C23E51-853F-4C60-A2CD-AFDE5D5C7956}" name="Column13435"/>
    <tableColumn id="13438" xr3:uid="{BEFCEE93-D63E-445D-A1ED-94A4EA9FA669}" name="Column13436"/>
    <tableColumn id="13439" xr3:uid="{5CDB98AF-0436-4BA0-848A-E99FCF97C84D}" name="Column13437"/>
    <tableColumn id="13440" xr3:uid="{9652D9C9-2B97-4B06-A5DD-4A0E49201594}" name="Column13438"/>
    <tableColumn id="13441" xr3:uid="{3F960E1E-ADF1-4184-9828-1BDAE56D2FC3}" name="Column13439"/>
    <tableColumn id="13442" xr3:uid="{897600EA-6DF0-4105-B3BF-E12D622DA593}" name="Column13440"/>
    <tableColumn id="13443" xr3:uid="{C0795268-F359-429F-A831-7177AEC98AD9}" name="Column13441"/>
    <tableColumn id="13444" xr3:uid="{1598FC0A-97A6-48A7-BE50-C4C23D2D2DA4}" name="Column13442"/>
    <tableColumn id="13445" xr3:uid="{5421F7FC-B09A-4CA5-BBAE-3CB1E11D866F}" name="Column13443"/>
    <tableColumn id="13446" xr3:uid="{8889C8E7-4002-45FA-A1CD-FA42726EDE1E}" name="Column13444"/>
    <tableColumn id="13447" xr3:uid="{E738F018-FCB8-4B42-AF2A-C4A47AD6DBA3}" name="Column13445"/>
    <tableColumn id="13448" xr3:uid="{79670C74-4DE5-455D-9E1D-86D6714EA727}" name="Column13446"/>
    <tableColumn id="13449" xr3:uid="{0B929A2C-C487-460F-8B4D-4D273F62E468}" name="Column13447"/>
    <tableColumn id="13450" xr3:uid="{AF744F71-A08B-4954-B0E6-DAB1639DB7D0}" name="Column13448"/>
    <tableColumn id="13451" xr3:uid="{9808B03C-35D6-40DF-B900-660F34910045}" name="Column13449"/>
    <tableColumn id="13452" xr3:uid="{A3D560BA-02F3-4D23-B87B-88DA0640A8A3}" name="Column13450"/>
    <tableColumn id="13453" xr3:uid="{8432C5CB-5D7B-43A8-9D24-7DCF722EB6B0}" name="Column13451"/>
    <tableColumn id="13454" xr3:uid="{33275205-E2C0-40C7-BB5E-4F51E98804B7}" name="Column13452"/>
    <tableColumn id="13455" xr3:uid="{7E7881EF-15A1-4119-906A-5E52686D6392}" name="Column13453"/>
    <tableColumn id="13456" xr3:uid="{4AFBC371-D5DE-43C2-BF84-F58D5290BE8A}" name="Column13454"/>
    <tableColumn id="13457" xr3:uid="{29F1EDEE-A048-4223-97A1-6DF13E383715}" name="Column13455"/>
    <tableColumn id="13458" xr3:uid="{B3147FF0-130A-4429-9E4A-8FEBFBA55C88}" name="Column13456"/>
    <tableColumn id="13459" xr3:uid="{A5F8E1BE-4590-41BF-9DCD-D574F7125607}" name="Column13457"/>
    <tableColumn id="13460" xr3:uid="{24242FA1-1F10-4505-8197-C59724D47524}" name="Column13458"/>
    <tableColumn id="13461" xr3:uid="{48B7739E-9820-44FF-A16B-B25B2469B468}" name="Column13459"/>
    <tableColumn id="13462" xr3:uid="{327C967A-136F-40C9-BE27-FCC2F013061F}" name="Column13460"/>
    <tableColumn id="13463" xr3:uid="{7899FC5B-00D1-4A8C-9144-410AED2477DE}" name="Column13461"/>
    <tableColumn id="13464" xr3:uid="{B403B3CC-65C3-45B6-9643-D01467031F7F}" name="Column13462"/>
    <tableColumn id="13465" xr3:uid="{5AA5182F-D703-4E86-9A0E-566B6973C2DC}" name="Column13463"/>
    <tableColumn id="13466" xr3:uid="{3F76CD6F-2EA0-409F-8395-546A0EE2D74F}" name="Column13464"/>
    <tableColumn id="13467" xr3:uid="{80670F01-A201-4CF9-B2B3-5FC37977900B}" name="Column13465"/>
    <tableColumn id="13468" xr3:uid="{B2E87A22-F583-4D14-9814-733F35FA901E}" name="Column13466"/>
    <tableColumn id="13469" xr3:uid="{6BCB6A15-F2E7-41BA-B9FA-D7C2588F8C34}" name="Column13467"/>
    <tableColumn id="13470" xr3:uid="{42F5DBC4-A5EB-4A2D-9321-E9E1DC5B50F8}" name="Column13468"/>
    <tableColumn id="13471" xr3:uid="{73E53C2E-F12E-4346-AE9C-F5E16987F596}" name="Column13469"/>
    <tableColumn id="13472" xr3:uid="{4457BCF1-209E-46A9-9367-6D6F3BABA0B3}" name="Column13470"/>
    <tableColumn id="13473" xr3:uid="{D5EF1ECF-6D74-49E2-8156-E53AE7CC5710}" name="Column13471"/>
    <tableColumn id="13474" xr3:uid="{B7B45D15-CEFE-4358-8E35-DB069A16C677}" name="Column13472"/>
    <tableColumn id="13475" xr3:uid="{151ADAD6-CD53-4908-9610-B13690E22D2C}" name="Column13473"/>
    <tableColumn id="13476" xr3:uid="{E1FC647B-014E-4DF4-8FC5-AE8CF206ADC8}" name="Column13474"/>
    <tableColumn id="13477" xr3:uid="{B8E6F6BA-6FA6-4290-AA60-FBE108391BE7}" name="Column13475"/>
    <tableColumn id="13478" xr3:uid="{54EAFFB1-7B0E-4040-95FD-AA757C8951E0}" name="Column13476"/>
    <tableColumn id="13479" xr3:uid="{5878D07B-0048-4161-9A31-39AC4571CF60}" name="Column13477"/>
    <tableColumn id="13480" xr3:uid="{761AD0DF-C4A5-49E8-BF4E-62C103C7BEE1}" name="Column13478"/>
    <tableColumn id="13481" xr3:uid="{A55024F8-F2F6-4C56-BE1B-1CA771E277BD}" name="Column13479"/>
    <tableColumn id="13482" xr3:uid="{CC4785E6-B1D9-4C5B-8260-A12FFCB86C1E}" name="Column13480"/>
    <tableColumn id="13483" xr3:uid="{3A5673E6-C56F-45B0-AAF0-44BA597ACED9}" name="Column13481"/>
    <tableColumn id="13484" xr3:uid="{2D70265D-BDF3-4595-B6D7-D91E40EC686F}" name="Column13482"/>
    <tableColumn id="13485" xr3:uid="{3918A47A-261D-4DD2-BF2C-BF86A91E3800}" name="Column13483"/>
    <tableColumn id="13486" xr3:uid="{2CC42BDC-A78F-4469-AB37-6CFF2D3002AD}" name="Column13484"/>
    <tableColumn id="13487" xr3:uid="{1A35A2B4-1F28-49EA-BD72-A7FEB9A1D1E8}" name="Column13485"/>
    <tableColumn id="13488" xr3:uid="{65040EA1-A980-4430-97EE-4D13ECB9B0B5}" name="Column13486"/>
    <tableColumn id="13489" xr3:uid="{37AFE91A-6C1E-48FF-A694-9992CFC3694E}" name="Column13487"/>
    <tableColumn id="13490" xr3:uid="{75643DE6-BB57-49C0-9E3F-4DDF44E0C7E3}" name="Column13488"/>
    <tableColumn id="13491" xr3:uid="{812B3506-0370-40A6-AF4C-25900767A02F}" name="Column13489"/>
    <tableColumn id="13492" xr3:uid="{5D4EF4EC-55A1-48F3-B52A-2F275FDF2B67}" name="Column13490"/>
    <tableColumn id="13493" xr3:uid="{BFAFD033-900D-4399-B4C7-F1A9893DFA7A}" name="Column13491"/>
    <tableColumn id="13494" xr3:uid="{5AA14963-8259-4EC5-A198-C339188EF9C0}" name="Column13492"/>
    <tableColumn id="13495" xr3:uid="{C7749928-F9AE-44E2-BE1A-31665C68C0D2}" name="Column13493"/>
    <tableColumn id="13496" xr3:uid="{4AD02654-69F2-4A80-8E9B-1E7AF85874AA}" name="Column13494"/>
    <tableColumn id="13497" xr3:uid="{1B12C34B-0BA9-48F3-8C7D-4EECF240056E}" name="Column13495"/>
    <tableColumn id="13498" xr3:uid="{3D0149F4-CD32-406B-BEEC-FE6D172E3E67}" name="Column13496"/>
    <tableColumn id="13499" xr3:uid="{051A54B9-E5BB-424C-9E83-0B8ADB2F3B7B}" name="Column13497"/>
    <tableColumn id="13500" xr3:uid="{038BE452-07FF-44E1-BE56-5C45916D0372}" name="Column13498"/>
    <tableColumn id="13501" xr3:uid="{E0AD3ADD-A95F-449B-8A4D-565FB6DAABF3}" name="Column13499"/>
    <tableColumn id="13502" xr3:uid="{F0058802-7CBB-453F-BBD0-0CC8D0BA70B4}" name="Column13500"/>
    <tableColumn id="13503" xr3:uid="{A45D9D97-BEBB-426D-A411-1C783C44E3AF}" name="Column13501"/>
    <tableColumn id="13504" xr3:uid="{FC82E989-6D64-47D4-91D9-7444DE66DC97}" name="Column13502"/>
    <tableColumn id="13505" xr3:uid="{564A2983-261A-4D6E-8249-E27DBDED200B}" name="Column13503"/>
    <tableColumn id="13506" xr3:uid="{4D4B6F97-C084-4188-AC9A-18566E598DC5}" name="Column13504"/>
    <tableColumn id="13507" xr3:uid="{434C063B-8B31-4F8F-8457-486E95E935CB}" name="Column13505"/>
    <tableColumn id="13508" xr3:uid="{F45733CC-B5CC-4096-B63C-4F9B611B5CCD}" name="Column13506"/>
    <tableColumn id="13509" xr3:uid="{18F00E68-B058-4A9C-BD2F-046DD27377A9}" name="Column13507"/>
    <tableColumn id="13510" xr3:uid="{F9F87297-599F-4EED-A9E6-63626A3426EF}" name="Column13508"/>
    <tableColumn id="13511" xr3:uid="{8DD79268-8D8C-4D36-A827-3D0012EEEA26}" name="Column13509"/>
    <tableColumn id="13512" xr3:uid="{B9119C09-87A4-4072-99CD-5A7B9FC7BD24}" name="Column13510"/>
    <tableColumn id="13513" xr3:uid="{0DD463AB-DD61-4748-BD1C-E61E9A3FE57A}" name="Column13511"/>
    <tableColumn id="13514" xr3:uid="{79E66320-3C5F-444C-A6C3-E4B15F3AC604}" name="Column13512"/>
    <tableColumn id="13515" xr3:uid="{4B7691D1-1661-4BE3-A923-C67699BF2C30}" name="Column13513"/>
    <tableColumn id="13516" xr3:uid="{DB9AD901-4AAD-46CE-A9E5-1D710FDFFF79}" name="Column13514"/>
    <tableColumn id="13517" xr3:uid="{1BA67B34-F86E-4BCE-BD64-C82DBDEB0232}" name="Column13515"/>
    <tableColumn id="13518" xr3:uid="{2974729A-2E06-4F78-990E-C7741245E0C5}" name="Column13516"/>
    <tableColumn id="13519" xr3:uid="{E6B951A7-BFA7-4213-9AA4-B5DC10A94A4C}" name="Column13517"/>
    <tableColumn id="13520" xr3:uid="{C8DEC4A9-9F64-4E02-8025-887073DDE303}" name="Column13518"/>
    <tableColumn id="13521" xr3:uid="{8C933E1D-216C-48CB-9E0E-877F9CE72555}" name="Column13519"/>
    <tableColumn id="13522" xr3:uid="{B6BF19FC-C870-4632-8146-1AA7593AC3C2}" name="Column13520"/>
    <tableColumn id="13523" xr3:uid="{0C79CE7B-32CE-4CB1-B0C9-946390E0D462}" name="Column13521"/>
    <tableColumn id="13524" xr3:uid="{9AB2C2EF-568B-4ACE-BBDE-A83942E9FCA5}" name="Column13522"/>
    <tableColumn id="13525" xr3:uid="{D5B3A7D4-45D2-4C47-92AC-F968902CA8D0}" name="Column13523"/>
    <tableColumn id="13526" xr3:uid="{BB7DCC6C-15EA-4823-A5DA-A70776667BC6}" name="Column13524"/>
    <tableColumn id="13527" xr3:uid="{387C8C60-1511-4595-ABAC-7DE0AB3C543F}" name="Column13525"/>
    <tableColumn id="13528" xr3:uid="{5DE938CF-80BD-48A7-813D-D508FE1BF6F6}" name="Column13526"/>
    <tableColumn id="13529" xr3:uid="{96ECAC08-6646-46A9-AC16-FB3D2E7AF769}" name="Column13527"/>
    <tableColumn id="13530" xr3:uid="{DEFFE291-AFCF-4BD8-9B4D-6BE8DA01C6B1}" name="Column13528"/>
    <tableColumn id="13531" xr3:uid="{26428398-4602-47B2-A61A-8EC225E9A690}" name="Column13529"/>
    <tableColumn id="13532" xr3:uid="{782C64CA-8ADF-4562-86DC-A800A300CA07}" name="Column13530"/>
    <tableColumn id="13533" xr3:uid="{1814F11B-B0A2-448A-BAB4-8F73E188B95B}" name="Column13531"/>
    <tableColumn id="13534" xr3:uid="{5896E7B2-80C3-4407-BC9E-9162E1AC5ACE}" name="Column13532"/>
    <tableColumn id="13535" xr3:uid="{341BCE7E-7AFC-4630-9274-C5C9C2E17F49}" name="Column13533"/>
    <tableColumn id="13536" xr3:uid="{F5406B8D-FCDB-4E05-9EEF-0EB077B62B4B}" name="Column13534"/>
    <tableColumn id="13537" xr3:uid="{7BF134BE-292F-43F6-B26E-ACF496B7D627}" name="Column13535"/>
    <tableColumn id="13538" xr3:uid="{175FC430-AE40-4A97-AD1C-443276152EC6}" name="Column13536"/>
    <tableColumn id="13539" xr3:uid="{9E51C356-DC91-441E-8B82-411B75BE2CEE}" name="Column13537"/>
    <tableColumn id="13540" xr3:uid="{47D2AB60-EE1B-40AE-8497-0CCEA25B3F30}" name="Column13538"/>
    <tableColumn id="13541" xr3:uid="{954FD7DC-6196-4111-8C10-A8CD6BACC6FC}" name="Column13539"/>
    <tableColumn id="13542" xr3:uid="{78C38E50-E17E-4990-A673-2D8E06923373}" name="Column13540"/>
    <tableColumn id="13543" xr3:uid="{D85CBC42-D277-41A2-9E93-F1D4204C5FD5}" name="Column13541"/>
    <tableColumn id="13544" xr3:uid="{E3229540-8D39-478D-B7A5-8B6B02F320DC}" name="Column13542"/>
    <tableColumn id="13545" xr3:uid="{C66379C5-2669-4F47-BB19-FB9967F3E0A5}" name="Column13543"/>
    <tableColumn id="13546" xr3:uid="{BE1110F3-42E5-4A18-B9A5-DEAC1B5BA678}" name="Column13544"/>
    <tableColumn id="13547" xr3:uid="{B8AFA747-8696-416A-B93C-4FB42A91F031}" name="Column13545"/>
    <tableColumn id="13548" xr3:uid="{46BF33DC-AF2F-42CF-BF1B-D79B738B5F7E}" name="Column13546"/>
    <tableColumn id="13549" xr3:uid="{42AD0725-CC58-465E-8CF1-B29166D8E05E}" name="Column13547"/>
    <tableColumn id="13550" xr3:uid="{58C53AA9-A311-4B9F-B9A4-14BC2CE3C7BA}" name="Column13548"/>
    <tableColumn id="13551" xr3:uid="{EE24F6B9-A897-43EF-8D24-06FED91EA817}" name="Column13549"/>
    <tableColumn id="13552" xr3:uid="{3E2CE366-10A3-4361-AA0B-0BBA54220372}" name="Column13550"/>
    <tableColumn id="13553" xr3:uid="{6E9F63B0-9BAC-4227-9954-2162D8E06169}" name="Column13551"/>
    <tableColumn id="13554" xr3:uid="{6753B740-4522-4F49-BD70-889F309097DD}" name="Column13552"/>
    <tableColumn id="13555" xr3:uid="{CD056374-DF8C-447C-83AA-D4F2608AF9A3}" name="Column13553"/>
    <tableColumn id="13556" xr3:uid="{DB5BE1DB-D473-4432-9818-95274FE5902F}" name="Column13554"/>
    <tableColumn id="13557" xr3:uid="{AEE12D85-BDBA-4453-84FE-3ECDE785CC5D}" name="Column13555"/>
    <tableColumn id="13558" xr3:uid="{D1F2A357-58A9-482F-91B8-591FFE6ACFB1}" name="Column13556"/>
    <tableColumn id="13559" xr3:uid="{7F5DA371-A8CE-4BDA-AFC4-5A4761CCA9CF}" name="Column13557"/>
    <tableColumn id="13560" xr3:uid="{1710DE87-A25F-45A0-9149-0CBEC683BCF7}" name="Column13558"/>
    <tableColumn id="13561" xr3:uid="{C0E4A2EE-97F8-4859-B5E1-2BC920E019ED}" name="Column13559"/>
    <tableColumn id="13562" xr3:uid="{C3416248-FB81-4796-9966-E412826134E6}" name="Column13560"/>
    <tableColumn id="13563" xr3:uid="{E80D0761-319E-4D97-9FE4-50B10CCBC4A6}" name="Column13561"/>
    <tableColumn id="13564" xr3:uid="{4C2857FC-F605-4950-A7E8-ACA9C583677B}" name="Column13562"/>
    <tableColumn id="13565" xr3:uid="{443B3CDB-375D-465E-9C9F-3B9C442D072C}" name="Column13563"/>
    <tableColumn id="13566" xr3:uid="{8973D7E6-6382-46F6-8366-CEE5628E2376}" name="Column13564"/>
    <tableColumn id="13567" xr3:uid="{1E164A33-D80A-4D54-AE6E-5C259B2A53EB}" name="Column13565"/>
    <tableColumn id="13568" xr3:uid="{3BC14685-C5DD-4A44-BDB7-49AA54C94E9B}" name="Column13566"/>
    <tableColumn id="13569" xr3:uid="{F09CBDC9-E985-421A-8D41-219FE51AC099}" name="Column13567"/>
    <tableColumn id="13570" xr3:uid="{0E233A9C-C187-4911-B73E-44EE2E3D8573}" name="Column13568"/>
    <tableColumn id="13571" xr3:uid="{411A4567-664E-4B66-8890-ABD6D81B3CB3}" name="Column13569"/>
    <tableColumn id="13572" xr3:uid="{3B25DFCC-E95C-4AA1-A22E-313F8A24B712}" name="Column13570"/>
    <tableColumn id="13573" xr3:uid="{253C7C1B-D2B7-4C0C-AEEE-4C292F014072}" name="Column13571"/>
    <tableColumn id="13574" xr3:uid="{E77ECBAD-928D-458B-BF32-ACDCD1FA870E}" name="Column13572"/>
    <tableColumn id="13575" xr3:uid="{55DF811B-C6B0-4FB8-8CD9-48BF2995253B}" name="Column13573"/>
    <tableColumn id="13576" xr3:uid="{09D0EC1E-7C8B-438C-AE1F-3F58789BFC55}" name="Column13574"/>
    <tableColumn id="13577" xr3:uid="{C94E4E4D-EA01-49BB-A95F-B7991C1FC4B2}" name="Column13575"/>
    <tableColumn id="13578" xr3:uid="{22C03B18-10AB-42AE-8BC7-26B28895B464}" name="Column13576"/>
    <tableColumn id="13579" xr3:uid="{B5A1E2CC-7F30-4117-9795-BD4816F0C045}" name="Column13577"/>
    <tableColumn id="13580" xr3:uid="{A940174D-72C4-4446-A435-C8C380177B7E}" name="Column13578"/>
    <tableColumn id="13581" xr3:uid="{90ECBC45-CE08-45D9-8887-4FA6CBC881E0}" name="Column13579"/>
    <tableColumn id="13582" xr3:uid="{FDF26F94-8218-47EF-A8AF-39A50B020F88}" name="Column13580"/>
    <tableColumn id="13583" xr3:uid="{CF47BC5F-B96F-4B4C-88A6-4FD31FFB2B9F}" name="Column13581"/>
    <tableColumn id="13584" xr3:uid="{6D91D921-4F93-4E30-ADD9-CCEF3B6E4106}" name="Column13582"/>
    <tableColumn id="13585" xr3:uid="{668B2746-8BAA-4918-8505-C78CCB5C2605}" name="Column13583"/>
    <tableColumn id="13586" xr3:uid="{D2903C6D-3AA5-492F-BB17-C75A31DFCE81}" name="Column13584"/>
    <tableColumn id="13587" xr3:uid="{B5C57C2F-8BE6-4162-A765-B8586CE1587A}" name="Column13585"/>
    <tableColumn id="13588" xr3:uid="{1DDAB997-4253-4CFD-A9DC-A63F83A3FBA4}" name="Column13586"/>
    <tableColumn id="13589" xr3:uid="{D6E09FD4-4114-4443-A356-58FD0E45938F}" name="Column13587"/>
    <tableColumn id="13590" xr3:uid="{1C87F053-426A-423E-B614-DBA850E937F8}" name="Column13588"/>
    <tableColumn id="13591" xr3:uid="{0F41FD49-3484-443D-A518-B4BF8567DC20}" name="Column13589"/>
    <tableColumn id="13592" xr3:uid="{B6106C56-0D97-4FB5-81A9-ECFE2422E41F}" name="Column13590"/>
    <tableColumn id="13593" xr3:uid="{A7954E24-7623-4886-860E-EE451D656B99}" name="Column13591"/>
    <tableColumn id="13594" xr3:uid="{F4DA0AF8-B011-4D19-927B-5A3022795D2A}" name="Column13592"/>
    <tableColumn id="13595" xr3:uid="{52823F96-43A8-48DA-9C4B-A8807D1812D2}" name="Column13593"/>
    <tableColumn id="13596" xr3:uid="{C724DB76-17DF-4F9E-8E35-39858B1639DA}" name="Column13594"/>
    <tableColumn id="13597" xr3:uid="{0E8C84D2-D522-4889-854E-E8AEC8A773A1}" name="Column13595"/>
    <tableColumn id="13598" xr3:uid="{A6473E07-6EA3-4FF4-BC67-BD106AC854D9}" name="Column13596"/>
    <tableColumn id="13599" xr3:uid="{91DBC201-6466-464D-A6B8-00C99099B169}" name="Column13597"/>
    <tableColumn id="13600" xr3:uid="{E7FF47A0-00F2-4DD5-80D7-951EE8BD901D}" name="Column13598"/>
    <tableColumn id="13601" xr3:uid="{E767585A-F192-4E3C-9D42-A1FA263F0CD0}" name="Column13599"/>
    <tableColumn id="13602" xr3:uid="{EC2DED9E-699A-400F-ACF1-1751A1FC03A3}" name="Column13600"/>
    <tableColumn id="13603" xr3:uid="{872D1732-5F38-43A8-B055-89C6583E4C26}" name="Column13601"/>
    <tableColumn id="13604" xr3:uid="{5F947138-C39E-400B-9E1A-144B9FD7D391}" name="Column13602"/>
    <tableColumn id="13605" xr3:uid="{A285EED7-A5CF-436F-846C-7619BD247867}" name="Column13603"/>
    <tableColumn id="13606" xr3:uid="{62E4E5F5-9FF3-4418-93A7-268E26087297}" name="Column13604"/>
    <tableColumn id="13607" xr3:uid="{ACD22994-3754-4BEA-B0E0-795176FDAB89}" name="Column13605"/>
    <tableColumn id="13608" xr3:uid="{D0996007-59A0-4666-9A73-64B18ACB22BD}" name="Column13606"/>
    <tableColumn id="13609" xr3:uid="{9AEA18C7-2075-4A59-B899-E8A0F6073E6A}" name="Column13607"/>
    <tableColumn id="13610" xr3:uid="{7F06DFBB-A8E7-4AE0-B97D-45A1664080D5}" name="Column13608"/>
    <tableColumn id="13611" xr3:uid="{64F53DC0-27BC-4143-BFCE-195123131DAD}" name="Column13609"/>
    <tableColumn id="13612" xr3:uid="{50A05D91-5915-46CE-9C97-B5806937B350}" name="Column13610"/>
    <tableColumn id="13613" xr3:uid="{44EA968A-32C2-4E10-93DC-62C3CBA1A86C}" name="Column13611"/>
    <tableColumn id="13614" xr3:uid="{594E3EFD-8FF4-4E1E-A78F-E1DF43D93FC9}" name="Column13612"/>
    <tableColumn id="13615" xr3:uid="{A4DF0A79-5543-4B31-8DA0-1BB379C49310}" name="Column13613"/>
    <tableColumn id="13616" xr3:uid="{869CF35A-1509-4D53-8D7F-040840BCAD7A}" name="Column13614"/>
    <tableColumn id="13617" xr3:uid="{BFFB0E0C-ED72-43FB-8378-8E1BA4C567C0}" name="Column13615"/>
    <tableColumn id="13618" xr3:uid="{8C0554CA-BE58-4EB1-B3AC-2F3CB34E2502}" name="Column13616"/>
    <tableColumn id="13619" xr3:uid="{4A0AF703-A977-41DE-BE4B-C82A88FEC713}" name="Column13617"/>
    <tableColumn id="13620" xr3:uid="{987DB001-5867-40E3-B0DF-8F4BF5641C46}" name="Column13618"/>
    <tableColumn id="13621" xr3:uid="{BCAEAEE4-F3E0-423D-9A06-96333D002BB0}" name="Column13619"/>
    <tableColumn id="13622" xr3:uid="{D99B42C8-2F0A-4C8F-A8D2-FC4D9B5B71F7}" name="Column13620"/>
    <tableColumn id="13623" xr3:uid="{1F46949D-0B55-4409-B8B5-2356BBD4A187}" name="Column13621"/>
    <tableColumn id="13624" xr3:uid="{EC550F7D-B8C6-4B9A-8882-9CACE003234E}" name="Column13622"/>
    <tableColumn id="13625" xr3:uid="{8B63B0A1-3E64-44B7-9310-DCD3BB9771D6}" name="Column13623"/>
    <tableColumn id="13626" xr3:uid="{A55D999D-4946-4A04-8EAB-98150023E732}" name="Column13624"/>
    <tableColumn id="13627" xr3:uid="{C64E050D-91F9-4493-B92D-57FC42C62AC8}" name="Column13625"/>
    <tableColumn id="13628" xr3:uid="{BAC02707-6374-437C-94A1-295906D4D154}" name="Column13626"/>
    <tableColumn id="13629" xr3:uid="{0B0D709D-B143-445A-A1BD-55C3B36318C5}" name="Column13627"/>
    <tableColumn id="13630" xr3:uid="{055A16E2-48C8-40C3-9C5C-CBA549E21114}" name="Column13628"/>
    <tableColumn id="13631" xr3:uid="{FCDE9CBF-4B1B-4AF6-A13B-9DC51A3D5575}" name="Column13629"/>
    <tableColumn id="13632" xr3:uid="{BC9307A3-8BF3-41AF-8B74-CFE87524689F}" name="Column13630"/>
    <tableColumn id="13633" xr3:uid="{D986F4C3-0516-47CA-A4FA-EC59BB5E27E4}" name="Column13631"/>
    <tableColumn id="13634" xr3:uid="{323505C9-B96B-4642-8B96-B11714AD322E}" name="Column13632"/>
    <tableColumn id="13635" xr3:uid="{1B8EEF03-2897-41A8-9AB7-6C582E7B0EDA}" name="Column13633"/>
    <tableColumn id="13636" xr3:uid="{4C432AD7-14D7-4862-BD3A-A71B25498B0D}" name="Column13634"/>
    <tableColumn id="13637" xr3:uid="{9C57F4EF-181D-4C8D-A8CC-0D4C57C42E75}" name="Column13635"/>
    <tableColumn id="13638" xr3:uid="{4DBF06A5-8FA0-4792-9977-BBB2D71E8053}" name="Column13636"/>
    <tableColumn id="13639" xr3:uid="{7AC1FBA1-4FB9-43A8-AF99-E0B88ADF1DE8}" name="Column13637"/>
    <tableColumn id="13640" xr3:uid="{941A4ED8-6FB2-4B35-B7CD-B971A90C99ED}" name="Column13638"/>
    <tableColumn id="13641" xr3:uid="{9EEA4E5E-4AA2-4654-93F1-186C77D77695}" name="Column13639"/>
    <tableColumn id="13642" xr3:uid="{E57805E5-508A-4122-91FE-FBBD92A2ED44}" name="Column13640"/>
    <tableColumn id="13643" xr3:uid="{BCCA043F-E85F-46D2-B87B-4F7DF42D3EC8}" name="Column13641"/>
    <tableColumn id="13644" xr3:uid="{630D544B-7D89-473C-9960-DBF5A428D0F9}" name="Column13642"/>
    <tableColumn id="13645" xr3:uid="{A46CE279-7E92-4374-8790-75642654BFCF}" name="Column13643"/>
    <tableColumn id="13646" xr3:uid="{864DA461-E358-4EAA-AB40-8E0F22EE5B3D}" name="Column13644"/>
    <tableColumn id="13647" xr3:uid="{38DA726F-67CA-40F2-B963-36B956EF715E}" name="Column13645"/>
    <tableColumn id="13648" xr3:uid="{547D1786-88FF-45D8-BC98-EB6E3EC675FD}" name="Column13646"/>
    <tableColumn id="13649" xr3:uid="{075FED83-A66F-41BA-A3F3-DEAF1E019974}" name="Column13647"/>
    <tableColumn id="13650" xr3:uid="{6EDA2349-4824-4086-8BC4-86CB065B2721}" name="Column13648"/>
    <tableColumn id="13651" xr3:uid="{7FB219D6-CF4E-4D76-81C7-8D79EC0078C0}" name="Column13649"/>
    <tableColumn id="13652" xr3:uid="{8159D230-729A-4B5C-8BA4-252B1374097E}" name="Column13650"/>
    <tableColumn id="13653" xr3:uid="{E980EB3D-ECD7-49D9-BB44-AC399B8039C8}" name="Column13651"/>
    <tableColumn id="13654" xr3:uid="{74C9EA20-6CD8-4A96-A272-8DEB16BAD1D1}" name="Column13652"/>
    <tableColumn id="13655" xr3:uid="{DF77D5AC-15DE-412E-956A-BBBC28CBAFC1}" name="Column13653"/>
    <tableColumn id="13656" xr3:uid="{CA2A0102-9967-4286-9057-473D93B29414}" name="Column13654"/>
    <tableColumn id="13657" xr3:uid="{B230C5A2-C64A-4272-A24B-4F5B7770F7F2}" name="Column13655"/>
    <tableColumn id="13658" xr3:uid="{5DE9C6D0-32A8-46A2-AB47-D71D029074B1}" name="Column13656"/>
    <tableColumn id="13659" xr3:uid="{E9C212AB-237F-430D-9EB3-62B6E403C8F9}" name="Column13657"/>
    <tableColumn id="13660" xr3:uid="{1FEC61D2-069D-40F7-92BA-7AE9E372F814}" name="Column13658"/>
    <tableColumn id="13661" xr3:uid="{A17F39EE-2464-4C16-97C4-50E949E07879}" name="Column13659"/>
    <tableColumn id="13662" xr3:uid="{09BDC647-5344-495E-95E3-37904E40CAB3}" name="Column13660"/>
    <tableColumn id="13663" xr3:uid="{A4D89E6B-C015-4C30-8F2B-5922E3D1CB7C}" name="Column13661"/>
    <tableColumn id="13664" xr3:uid="{E2B51133-6C40-49E5-A7D0-80F4C1D987FB}" name="Column13662"/>
    <tableColumn id="13665" xr3:uid="{A45565B7-8ED5-455B-874E-DF173D4863CB}" name="Column13663"/>
    <tableColumn id="13666" xr3:uid="{A4E84A5A-022A-426A-9F3F-E3A098D7F291}" name="Column13664"/>
    <tableColumn id="13667" xr3:uid="{17061686-1239-4D77-BDF6-ECAB5758E61E}" name="Column13665"/>
    <tableColumn id="13668" xr3:uid="{57C5CCE4-C7AE-435F-9209-C83F542A2AF3}" name="Column13666"/>
    <tableColumn id="13669" xr3:uid="{E278C162-3DA8-4474-A187-B6D2D8C26A30}" name="Column13667"/>
    <tableColumn id="13670" xr3:uid="{46FE7A61-A07F-46AC-930E-CB41F713180B}" name="Column13668"/>
    <tableColumn id="13671" xr3:uid="{A6939F62-D08C-4972-A055-14551F47670B}" name="Column13669"/>
    <tableColumn id="13672" xr3:uid="{A41997C6-2D8B-4061-A57E-5270DD42E346}" name="Column13670"/>
    <tableColumn id="13673" xr3:uid="{678571E8-3A3E-47D0-AF0F-46B134530B4A}" name="Column13671"/>
    <tableColumn id="13674" xr3:uid="{ACC07811-75B4-4D9B-A15F-519A9A5CAF60}" name="Column13672"/>
    <tableColumn id="13675" xr3:uid="{E29A1B9B-5B43-41B3-9CB0-5245271EC917}" name="Column13673"/>
    <tableColumn id="13676" xr3:uid="{13B24976-F32C-4419-948F-AB44BE898705}" name="Column13674"/>
    <tableColumn id="13677" xr3:uid="{2D9CF8B7-D6C0-434E-8239-E087A10D25D2}" name="Column13675"/>
    <tableColumn id="13678" xr3:uid="{F0AE3378-DC88-4A5C-9198-9A0718CF0069}" name="Column13676"/>
    <tableColumn id="13679" xr3:uid="{6022BC5A-6AD4-4D58-893C-F87F55F2AFA9}" name="Column13677"/>
    <tableColumn id="13680" xr3:uid="{930F5767-E318-48DB-B684-F26FD1CDFC65}" name="Column13678"/>
    <tableColumn id="13681" xr3:uid="{49889A57-BCE2-4363-9499-D6E366A3AC57}" name="Column13679"/>
    <tableColumn id="13682" xr3:uid="{4F2F8C8F-4A40-442E-8403-1E220D1787DB}" name="Column13680"/>
    <tableColumn id="13683" xr3:uid="{893F24C7-B2B7-4D0B-93C3-51E6AEE35B9D}" name="Column13681"/>
    <tableColumn id="13684" xr3:uid="{332FB834-A075-4E05-BD8D-0AF60CF52012}" name="Column13682"/>
    <tableColumn id="13685" xr3:uid="{179AF58D-3E05-4CC0-A52F-ED8A06665EA7}" name="Column13683"/>
    <tableColumn id="13686" xr3:uid="{C7EFF03C-B298-47EF-B952-9E25D8E81201}" name="Column13684"/>
    <tableColumn id="13687" xr3:uid="{873338D7-33FC-4778-8712-8E1BEF16D81C}" name="Column13685"/>
    <tableColumn id="13688" xr3:uid="{24D7458B-00B7-4F53-94CC-08278D614062}" name="Column13686"/>
    <tableColumn id="13689" xr3:uid="{42B61BD2-8124-4838-B74C-2AB39DA39733}" name="Column13687"/>
    <tableColumn id="13690" xr3:uid="{E9C89526-6EDE-410C-BB06-3DFF3680B6A9}" name="Column13688"/>
    <tableColumn id="13691" xr3:uid="{05D0C316-A666-48FA-BA50-6109F4735AF2}" name="Column13689"/>
    <tableColumn id="13692" xr3:uid="{7D674087-CBDB-45EE-B6F5-7C37DF6CE1BE}" name="Column13690"/>
    <tableColumn id="13693" xr3:uid="{622F0DEE-7DF1-4656-98D9-C2296A2CA1DE}" name="Column13691"/>
    <tableColumn id="13694" xr3:uid="{1E5D2A0B-1480-40DD-93B1-8C8612748838}" name="Column13692"/>
    <tableColumn id="13695" xr3:uid="{E486FD76-978C-4829-A556-BDA38D72131E}" name="Column13693"/>
    <tableColumn id="13696" xr3:uid="{70B98FDF-0AFB-4BF0-9106-8BFBD4AD1A75}" name="Column13694"/>
    <tableColumn id="13697" xr3:uid="{381487B9-7F11-4056-AF27-F20CF3742D82}" name="Column13695"/>
    <tableColumn id="13698" xr3:uid="{B13D1586-5690-476E-9756-DC53A65548B6}" name="Column13696"/>
    <tableColumn id="13699" xr3:uid="{78B5985F-3C13-4B1D-900E-52D3A50527FB}" name="Column13697"/>
    <tableColumn id="13700" xr3:uid="{7588B398-253C-4F32-9212-067DC8D20FEF}" name="Column13698"/>
    <tableColumn id="13701" xr3:uid="{C5F7E345-A196-47B9-99FD-AAA34DF745DC}" name="Column13699"/>
    <tableColumn id="13702" xr3:uid="{4B6835C8-7341-4A56-ADFE-82CFE9FBA0F7}" name="Column13700"/>
    <tableColumn id="13703" xr3:uid="{18B00797-91C2-4349-B458-C6B69998C9CC}" name="Column13701"/>
    <tableColumn id="13704" xr3:uid="{39A5EBF7-117E-4F1E-BD12-DAE2746CC570}" name="Column13702"/>
    <tableColumn id="13705" xr3:uid="{CAC91496-2C82-4D36-AFF5-7EBFA2FE3ED1}" name="Column13703"/>
    <tableColumn id="13706" xr3:uid="{11EE0BE9-E6B9-4998-B36E-8CF64F8BE779}" name="Column13704"/>
    <tableColumn id="13707" xr3:uid="{C5C0330A-E8B7-4137-BF14-D5CC9340D4E0}" name="Column13705"/>
    <tableColumn id="13708" xr3:uid="{888EB438-768E-41EA-9CD4-ACD83CA6DD2A}" name="Column13706"/>
    <tableColumn id="13709" xr3:uid="{31DF5AC4-F8C0-426E-ABAE-A220BC0F19CF}" name="Column13707"/>
    <tableColumn id="13710" xr3:uid="{6AE59EF5-AAD4-4083-8437-A6AE60DF12CE}" name="Column13708"/>
    <tableColumn id="13711" xr3:uid="{0776CFEF-A806-492F-AFA2-F21692256405}" name="Column13709"/>
    <tableColumn id="13712" xr3:uid="{DAB8CD53-1BA8-4BF4-9AF7-D2C0FC7EBD5E}" name="Column13710"/>
    <tableColumn id="13713" xr3:uid="{5ACBE469-A7CE-49B9-A896-C814E9CA7B5E}" name="Column13711"/>
    <tableColumn id="13714" xr3:uid="{05A380D0-CAB2-4125-A5FC-8FF110BB0A37}" name="Column13712"/>
    <tableColumn id="13715" xr3:uid="{9B8151EE-6272-48DE-A096-0DAEC9A2029C}" name="Column13713"/>
    <tableColumn id="13716" xr3:uid="{1FF7A18B-722E-42FE-82FC-28B0740CCF00}" name="Column13714"/>
    <tableColumn id="13717" xr3:uid="{FF2901B8-8243-4F74-8885-DF62E1C1FBAB}" name="Column13715"/>
    <tableColumn id="13718" xr3:uid="{DAB63D9C-41AE-4AF9-A3BC-74D22AA0D994}" name="Column13716"/>
    <tableColumn id="13719" xr3:uid="{9DC45059-FA4E-4B7F-8054-8448052E2249}" name="Column13717"/>
    <tableColumn id="13720" xr3:uid="{B0FADE19-1489-4E24-A631-D702A5ACA974}" name="Column13718"/>
    <tableColumn id="13721" xr3:uid="{4666D314-1E1C-4111-8070-485D8B51AC26}" name="Column13719"/>
    <tableColumn id="13722" xr3:uid="{99DEEF0B-BEB2-4848-87BF-268F9C13152F}" name="Column13720"/>
    <tableColumn id="13723" xr3:uid="{A28ACAF8-23A3-4040-853E-D20986ABD127}" name="Column13721"/>
    <tableColumn id="13724" xr3:uid="{E3854296-598C-4D0E-8A16-A0FF5C7A7714}" name="Column13722"/>
    <tableColumn id="13725" xr3:uid="{69687A39-2E21-4931-B5D9-0982984941BC}" name="Column13723"/>
    <tableColumn id="13726" xr3:uid="{77E55E82-D941-4928-97AB-98E650CAB300}" name="Column13724"/>
    <tableColumn id="13727" xr3:uid="{B4FEC953-46B6-45B4-A95A-AA3FBAD0F3CD}" name="Column13725"/>
    <tableColumn id="13728" xr3:uid="{0D978FA4-6589-47E9-B962-8597C8C299BD}" name="Column13726"/>
    <tableColumn id="13729" xr3:uid="{7A45F849-59A6-4176-9500-0C990FBAEB67}" name="Column13727"/>
    <tableColumn id="13730" xr3:uid="{24DF4397-C314-4BBF-A1F5-3A7F802006D2}" name="Column13728"/>
    <tableColumn id="13731" xr3:uid="{CA5F8E26-98D1-437E-AFB6-1C0897057549}" name="Column13729"/>
    <tableColumn id="13732" xr3:uid="{9327C781-044A-4825-B4A7-924E5C7B5BBA}" name="Column13730"/>
    <tableColumn id="13733" xr3:uid="{50ABC925-FD9B-46CE-8970-0C7A890DA54D}" name="Column13731"/>
    <tableColumn id="13734" xr3:uid="{25B1A211-6F45-419D-B9BF-2CAC78D5BB72}" name="Column13732"/>
    <tableColumn id="13735" xr3:uid="{D8819452-C15D-423F-A6EC-8B097E22E7BE}" name="Column13733"/>
    <tableColumn id="13736" xr3:uid="{043C2C81-2BE6-48DA-9422-E1F69EBBAC88}" name="Column13734"/>
    <tableColumn id="13737" xr3:uid="{4EAA6D61-3204-4348-8314-6739BA2A3803}" name="Column13735"/>
    <tableColumn id="13738" xr3:uid="{C77D6466-4182-48CE-9539-76A245610932}" name="Column13736"/>
    <tableColumn id="13739" xr3:uid="{8581D330-F1FE-4513-8D96-36A6549A2FBC}" name="Column13737"/>
    <tableColumn id="13740" xr3:uid="{1042E55E-1076-489F-83A3-889CE0D00770}" name="Column13738"/>
    <tableColumn id="13741" xr3:uid="{639B2C89-0CC6-490D-9647-CBAD09E033AB}" name="Column13739"/>
    <tableColumn id="13742" xr3:uid="{78654083-A9B1-4976-ACFC-A6840A286C4A}" name="Column13740"/>
    <tableColumn id="13743" xr3:uid="{7E029ED4-2F0F-4AB2-B380-3CEDFD1C32C9}" name="Column13741"/>
    <tableColumn id="13744" xr3:uid="{1B78D531-C604-4507-853A-053B2263B689}" name="Column13742"/>
    <tableColumn id="13745" xr3:uid="{73184376-B0E3-4851-A6A2-4819E7FE54C5}" name="Column13743"/>
    <tableColumn id="13746" xr3:uid="{D6E0D89F-148A-4116-A3DC-F081B9EFDECF}" name="Column13744"/>
    <tableColumn id="13747" xr3:uid="{896282B8-6CA3-41BB-B58B-218B28D2D04A}" name="Column13745"/>
    <tableColumn id="13748" xr3:uid="{2CB4019C-383D-48C0-9D88-26A4EDDBE828}" name="Column13746"/>
    <tableColumn id="13749" xr3:uid="{0A8FACC6-7F42-43AB-939C-3CA3F40D4711}" name="Column13747"/>
    <tableColumn id="13750" xr3:uid="{77B04AEE-49A4-4343-BAAA-D42580EC1F9A}" name="Column13748"/>
    <tableColumn id="13751" xr3:uid="{2A9A7659-99F4-4D3F-A4B9-664E84AB2074}" name="Column13749"/>
    <tableColumn id="13752" xr3:uid="{2257419B-98D5-4818-B562-20C61D5F634C}" name="Column13750"/>
    <tableColumn id="13753" xr3:uid="{C1BD1B68-8031-46F4-9C24-BD7452F3D270}" name="Column13751"/>
    <tableColumn id="13754" xr3:uid="{A2395312-7DE3-4C33-A2ED-C5B8DC6E84CF}" name="Column13752"/>
    <tableColumn id="13755" xr3:uid="{A0E35B90-D107-4121-9BFD-8994516659AE}" name="Column13753"/>
    <tableColumn id="13756" xr3:uid="{AD7047E1-5E8F-4259-B1C1-DF90BB03C622}" name="Column13754"/>
    <tableColumn id="13757" xr3:uid="{619FDB5E-4A15-4296-8E62-2C58EF789C46}" name="Column13755"/>
    <tableColumn id="13758" xr3:uid="{EA60A7CB-995C-48BC-9C62-D6E988F98943}" name="Column13756"/>
    <tableColumn id="13759" xr3:uid="{3D1A37F6-68AC-47AB-879E-C82B40450B0D}" name="Column13757"/>
    <tableColumn id="13760" xr3:uid="{B257B124-CBE2-45F4-9D59-E63ED878C6E4}" name="Column13758"/>
    <tableColumn id="13761" xr3:uid="{0A86A240-79D0-4EF2-B44A-01B829AF93DA}" name="Column13759"/>
    <tableColumn id="13762" xr3:uid="{069224D7-33A0-4A18-B9B5-940596C2CEAE}" name="Column13760"/>
    <tableColumn id="13763" xr3:uid="{2D7549F3-F80F-4973-80A7-00EB38D9D946}" name="Column13761"/>
    <tableColumn id="13764" xr3:uid="{CC8B173C-B66F-493D-B222-BFCD53323C35}" name="Column13762"/>
    <tableColumn id="13765" xr3:uid="{A72C8B47-51A5-46CC-8805-938E8C3BD9A5}" name="Column13763"/>
    <tableColumn id="13766" xr3:uid="{2AE6F04F-414B-480C-86BE-548876CD05D1}" name="Column13764"/>
    <tableColumn id="13767" xr3:uid="{AA2C36E5-0C3A-403F-A16C-71754F49096B}" name="Column13765"/>
    <tableColumn id="13768" xr3:uid="{3F48EEA6-40BE-45AE-9C1A-352CAB4177A7}" name="Column13766"/>
    <tableColumn id="13769" xr3:uid="{25374C91-172D-45F0-9351-7848B855C0B7}" name="Column13767"/>
    <tableColumn id="13770" xr3:uid="{3ACF9E34-4B60-4D58-B3E2-5DE5746D69B9}" name="Column13768"/>
    <tableColumn id="13771" xr3:uid="{B16BA1BB-7F90-4C07-8B41-FFD55B3586A7}" name="Column13769"/>
    <tableColumn id="13772" xr3:uid="{98F24687-AF40-4994-9CD0-67261F10B792}" name="Column13770"/>
    <tableColumn id="13773" xr3:uid="{06401673-2C5E-4664-AF21-9400F1FA2A52}" name="Column13771"/>
    <tableColumn id="13774" xr3:uid="{085130B6-8286-4428-B4EB-1CCA50C4C0BF}" name="Column13772"/>
    <tableColumn id="13775" xr3:uid="{5B0F1EE5-6567-464B-972D-68BFDE94D643}" name="Column13773"/>
    <tableColumn id="13776" xr3:uid="{BE2253C1-C950-4A46-AB1B-AF016AEB8810}" name="Column13774"/>
    <tableColumn id="13777" xr3:uid="{DD4067FA-4749-4A03-B8F9-B0CAA2B0D96D}" name="Column13775"/>
    <tableColumn id="13778" xr3:uid="{CC725B3C-4C31-4D1A-B9F3-33F93CC806C6}" name="Column13776"/>
    <tableColumn id="13779" xr3:uid="{F49C88D8-5F76-4F9F-B50C-6B8FBCFE6B75}" name="Column13777"/>
    <tableColumn id="13780" xr3:uid="{7A691D5B-A92E-4616-AE97-2565831618C5}" name="Column13778"/>
    <tableColumn id="13781" xr3:uid="{97CBE2CC-558D-420F-90BC-61F7906EAE9B}" name="Column13779"/>
    <tableColumn id="13782" xr3:uid="{6C0D4AB8-A443-41C5-8464-A67F9193D6CD}" name="Column13780"/>
    <tableColumn id="13783" xr3:uid="{93C69D35-206F-4008-B35A-D58404BDCD6C}" name="Column13781"/>
    <tableColumn id="13784" xr3:uid="{CDF54FBC-4929-4DB5-90D1-1FACCC5C903D}" name="Column13782"/>
    <tableColumn id="13785" xr3:uid="{E344A752-DB83-44E3-8715-801A83D8454F}" name="Column13783"/>
    <tableColumn id="13786" xr3:uid="{729CDE4C-D0AD-43FE-8C45-52D1851619D6}" name="Column13784"/>
    <tableColumn id="13787" xr3:uid="{45CC0674-29BF-474E-8AD2-6FC25BF8C99C}" name="Column13785"/>
    <tableColumn id="13788" xr3:uid="{90688FA9-9384-4775-B7FA-2D4212DA9CA4}" name="Column13786"/>
    <tableColumn id="13789" xr3:uid="{D37C75F6-F00B-40D2-AAEB-889D46AF5632}" name="Column13787"/>
    <tableColumn id="13790" xr3:uid="{7EFD7EE5-D007-4ED1-B645-F6776DFE7DF7}" name="Column13788"/>
    <tableColumn id="13791" xr3:uid="{8E22167D-34A1-4A1D-BEA8-C16283536AB0}" name="Column13789"/>
    <tableColumn id="13792" xr3:uid="{F24671E9-1277-49E1-988B-D44666B296CA}" name="Column13790"/>
    <tableColumn id="13793" xr3:uid="{7C8FE7F2-623A-41B2-B2A6-0AAB8E496243}" name="Column13791"/>
    <tableColumn id="13794" xr3:uid="{519208A7-803B-4148-AFE9-D66C36CFE1FD}" name="Column13792"/>
    <tableColumn id="13795" xr3:uid="{07900B54-8A6F-4561-885C-6A0593CF2ED2}" name="Column13793"/>
    <tableColumn id="13796" xr3:uid="{5682F680-2C55-4915-A0AB-5438589E713D}" name="Column13794"/>
    <tableColumn id="13797" xr3:uid="{06FB7EEA-0DF4-47F5-8451-A6618B310120}" name="Column13795"/>
    <tableColumn id="13798" xr3:uid="{62E5DA4E-13BF-408B-A483-3F99AA92D684}" name="Column13796"/>
    <tableColumn id="13799" xr3:uid="{651AAB0F-8DA3-4034-9193-B649744B89E4}" name="Column13797"/>
    <tableColumn id="13800" xr3:uid="{723E3FF4-437C-4DE3-AA2A-86B1CD0505B9}" name="Column13798"/>
    <tableColumn id="13801" xr3:uid="{0BEB45B1-A2AF-485C-A7AB-241B579821D7}" name="Column13799"/>
    <tableColumn id="13802" xr3:uid="{C22C4FD6-30F7-4137-8BCB-38741573CB3C}" name="Column13800"/>
    <tableColumn id="13803" xr3:uid="{7BC27EE2-B0F4-4301-A750-95DA9E5D9412}" name="Column13801"/>
    <tableColumn id="13804" xr3:uid="{386FDFF8-6EC8-432A-8F4C-16EB04ED8D7F}" name="Column13802"/>
    <tableColumn id="13805" xr3:uid="{1216DFB3-30AA-455C-90BE-A9514098C9D9}" name="Column13803"/>
    <tableColumn id="13806" xr3:uid="{8788483D-41BF-48DE-94C6-957658D222B9}" name="Column13804"/>
    <tableColumn id="13807" xr3:uid="{7FE2A818-0B8A-4749-89B9-929C459CB665}" name="Column13805"/>
    <tableColumn id="13808" xr3:uid="{A0090FF1-CD47-411C-9112-0DC82F5101EC}" name="Column13806"/>
    <tableColumn id="13809" xr3:uid="{5A056A71-3857-499C-B59C-B76D3830941A}" name="Column13807"/>
    <tableColumn id="13810" xr3:uid="{A4C23F12-7BE6-4279-9DDE-B36DA1C6C576}" name="Column13808"/>
    <tableColumn id="13811" xr3:uid="{F24E30B5-6CDE-4732-82EC-5D24BC68D5F3}" name="Column13809"/>
    <tableColumn id="13812" xr3:uid="{9158B10D-F482-4051-9708-F252D2E1339F}" name="Column13810"/>
    <tableColumn id="13813" xr3:uid="{77E56134-4685-4DFD-B6F6-A214C102871E}" name="Column13811"/>
    <tableColumn id="13814" xr3:uid="{72DD5513-EC90-4C20-90ED-F675C0E9EAF0}" name="Column13812"/>
    <tableColumn id="13815" xr3:uid="{0D55C5C3-6CED-4881-A002-D5322E570B7C}" name="Column13813"/>
    <tableColumn id="13816" xr3:uid="{B10C79C1-BF8C-476B-B0F9-7F66B359D054}" name="Column13814"/>
    <tableColumn id="13817" xr3:uid="{C5B0475C-3F2A-4B94-A4E5-A22B84232A40}" name="Column13815"/>
    <tableColumn id="13818" xr3:uid="{ACCEA10E-F022-4D2B-8C0A-BEEFD2909A33}" name="Column13816"/>
    <tableColumn id="13819" xr3:uid="{19882E9A-8184-419C-A11D-25E599E65CE7}" name="Column13817"/>
    <tableColumn id="13820" xr3:uid="{E27E5EE3-4D55-4925-A1A1-06832987C32E}" name="Column13818"/>
    <tableColumn id="13821" xr3:uid="{B6988B4B-119B-4782-AD1D-181228220B09}" name="Column13819"/>
    <tableColumn id="13822" xr3:uid="{5FF819E8-B542-4693-81B2-37692509AE3B}" name="Column13820"/>
    <tableColumn id="13823" xr3:uid="{994B5268-8804-409E-8EEC-0B48540C763C}" name="Column13821"/>
    <tableColumn id="13824" xr3:uid="{907CA20B-5801-4E0D-BB35-EF63EEE45CAD}" name="Column13822"/>
    <tableColumn id="13825" xr3:uid="{9A7D21B7-A683-4029-A55D-A1DE0CE47F34}" name="Column13823"/>
    <tableColumn id="13826" xr3:uid="{6EF78903-9136-4502-9CA1-B806B99B5701}" name="Column13824"/>
    <tableColumn id="13827" xr3:uid="{B7ECCA1B-5406-4802-A113-2F20697A1B33}" name="Column13825"/>
    <tableColumn id="13828" xr3:uid="{7914EAD9-F2C3-4006-8899-FB379FAD8052}" name="Column13826"/>
    <tableColumn id="13829" xr3:uid="{13A7C93D-47C6-4F38-B55B-FAB64F4E3DC8}" name="Column13827"/>
    <tableColumn id="13830" xr3:uid="{2FC9A294-E043-43C3-A4AB-6086C1924702}" name="Column13828"/>
    <tableColumn id="13831" xr3:uid="{C0D92630-E8E0-4DAC-A43F-E015E619D23B}" name="Column13829"/>
    <tableColumn id="13832" xr3:uid="{F67391A4-40F2-454E-BDDC-017C19E1CF7F}" name="Column13830"/>
    <tableColumn id="13833" xr3:uid="{6DB95D74-63FB-4AA5-AE6F-66117DC033F7}" name="Column13831"/>
    <tableColumn id="13834" xr3:uid="{2E95C739-13B6-4768-AEF1-72D497084783}" name="Column13832"/>
    <tableColumn id="13835" xr3:uid="{90FCE6DA-53DB-49EB-83A6-8205FF9A956E}" name="Column13833"/>
    <tableColumn id="13836" xr3:uid="{E79829D5-CDFF-4C78-AC9C-4D6F9E262383}" name="Column13834"/>
    <tableColumn id="13837" xr3:uid="{E1447DB4-E229-4AAD-82B8-E9080FAFDC3F}" name="Column13835"/>
    <tableColumn id="13838" xr3:uid="{018D4567-C17D-46CC-AFE9-B73B460C85F7}" name="Column13836"/>
    <tableColumn id="13839" xr3:uid="{D7A27A0B-55BF-4082-A1B8-1D8F75E3DD91}" name="Column13837"/>
    <tableColumn id="13840" xr3:uid="{0E76C074-2B86-429B-B778-67DB3A7D0F72}" name="Column13838"/>
    <tableColumn id="13841" xr3:uid="{38758614-181D-478D-807B-17415404AFFE}" name="Column13839"/>
    <tableColumn id="13842" xr3:uid="{B5184023-2E45-4E06-A480-5FC29B3108D9}" name="Column13840"/>
    <tableColumn id="13843" xr3:uid="{EC8376D3-4AFC-4C89-9D2B-4A2D8F9A011B}" name="Column13841"/>
    <tableColumn id="13844" xr3:uid="{B0902433-8C81-4B79-99A2-0C8B5D9524FB}" name="Column13842"/>
    <tableColumn id="13845" xr3:uid="{959EFD6A-BB9E-4407-B800-490E5F0D1407}" name="Column13843"/>
    <tableColumn id="13846" xr3:uid="{91205A28-5147-4ADD-892D-1B5DC5C4F964}" name="Column13844"/>
    <tableColumn id="13847" xr3:uid="{30F237BB-16AD-4686-AAFC-AA34A78B0061}" name="Column13845"/>
    <tableColumn id="13848" xr3:uid="{86CAB067-3171-48E8-8BEE-79A7ED4C4AF1}" name="Column13846"/>
    <tableColumn id="13849" xr3:uid="{07F849E9-0A23-437E-9AAC-4AE3BA7FB0B9}" name="Column13847"/>
    <tableColumn id="13850" xr3:uid="{E52FECE0-F6D0-4DBC-8BF1-BFB5100B5486}" name="Column13848"/>
    <tableColumn id="13851" xr3:uid="{F3C29B68-8570-4F21-8613-98993EEDF7AA}" name="Column13849"/>
    <tableColumn id="13852" xr3:uid="{1A8F834C-58D2-4A6B-A16F-AE0AAD801DE2}" name="Column13850"/>
    <tableColumn id="13853" xr3:uid="{883A5BB9-02B5-423E-8E8A-2A571B08C55D}" name="Column13851"/>
    <tableColumn id="13854" xr3:uid="{9EC9492B-7424-4DAC-8F50-F87528FA1DD4}" name="Column13852"/>
    <tableColumn id="13855" xr3:uid="{90892DBC-BFB7-403B-8B0A-B4C7D618B759}" name="Column13853"/>
    <tableColumn id="13856" xr3:uid="{CC947B60-ED79-4D41-BDC4-1E7EA78FB1C3}" name="Column13854"/>
    <tableColumn id="13857" xr3:uid="{6FE9B16D-91BB-425A-BA79-116A8D920344}" name="Column13855"/>
    <tableColumn id="13858" xr3:uid="{35A094A1-9E9C-4939-B463-519B5095312B}" name="Column13856"/>
    <tableColumn id="13859" xr3:uid="{E320F762-6B07-4253-ADCF-6143A44B4792}" name="Column13857"/>
    <tableColumn id="13860" xr3:uid="{5C2A6592-A523-4522-9262-46421B77249C}" name="Column13858"/>
    <tableColumn id="13861" xr3:uid="{1B818BB0-05C3-4FBE-A281-43474231F494}" name="Column13859"/>
    <tableColumn id="13862" xr3:uid="{999406B3-ACCF-43EB-BCD7-6181E5D08C0D}" name="Column13860"/>
    <tableColumn id="13863" xr3:uid="{F40F8EA2-8713-4E8B-8121-620255678F65}" name="Column13861"/>
    <tableColumn id="13864" xr3:uid="{7D99CD9E-B660-49A3-91A6-EC585B68E155}" name="Column13862"/>
    <tableColumn id="13865" xr3:uid="{7F0EBDB9-7236-4AA8-94BB-1C9F51767AE1}" name="Column13863"/>
    <tableColumn id="13866" xr3:uid="{F441802E-13D0-4AD2-8382-0192EF86C47C}" name="Column13864"/>
    <tableColumn id="13867" xr3:uid="{9FCEC1E7-2902-442C-83E9-11B15B4F896E}" name="Column13865"/>
    <tableColumn id="13868" xr3:uid="{D4538403-8B79-497C-904F-DFFD4FA5B473}" name="Column13866"/>
    <tableColumn id="13869" xr3:uid="{CFAE6FF7-0D80-4F19-A41A-35F9558A1D95}" name="Column13867"/>
    <tableColumn id="13870" xr3:uid="{9D3735F3-584C-418D-BEBE-E2C379858CE8}" name="Column13868"/>
    <tableColumn id="13871" xr3:uid="{314CFB9D-A515-4BB0-AD46-47E940280C20}" name="Column13869"/>
    <tableColumn id="13872" xr3:uid="{F15516B5-8D17-4379-A53B-E9595D17B650}" name="Column13870"/>
    <tableColumn id="13873" xr3:uid="{620284DB-31B1-43E2-B4F1-263820824E41}" name="Column13871"/>
    <tableColumn id="13874" xr3:uid="{E76E1831-5C66-4F37-AD31-6B538BF3CBA9}" name="Column13872"/>
    <tableColumn id="13875" xr3:uid="{B7355B39-B0A3-4E12-9486-50A415DD60D0}" name="Column13873"/>
    <tableColumn id="13876" xr3:uid="{12B709B2-03FF-437B-B22C-D0513C44A3BC}" name="Column13874"/>
    <tableColumn id="13877" xr3:uid="{F2647E77-0BE8-42F2-ACF9-38124103E0DD}" name="Column13875"/>
    <tableColumn id="13878" xr3:uid="{A4FD1305-9504-48E8-98B2-DD7EF7A972E0}" name="Column13876"/>
    <tableColumn id="13879" xr3:uid="{248EF98C-CDD4-4806-9A8D-041B23B69F23}" name="Column13877"/>
    <tableColumn id="13880" xr3:uid="{60AA2F83-C9EA-4F9B-BBF9-A1B6BFBD4A16}" name="Column13878"/>
    <tableColumn id="13881" xr3:uid="{532BF13B-EF4D-42C6-B8C8-8404850A56C2}" name="Column13879"/>
    <tableColumn id="13882" xr3:uid="{E827A4B6-3B8C-4EBB-A611-B3AF25A38EB8}" name="Column13880"/>
    <tableColumn id="13883" xr3:uid="{03520BD0-AB45-42D8-A709-AEA6C94FB211}" name="Column13881"/>
    <tableColumn id="13884" xr3:uid="{E6106486-1825-4A78-A995-6ADFB449B0A0}" name="Column13882"/>
    <tableColumn id="13885" xr3:uid="{C5DFF7F3-7926-47DC-9D8F-3E10D8050F7B}" name="Column13883"/>
    <tableColumn id="13886" xr3:uid="{04CDEBA7-695F-4C44-8D2A-EB111232BE0F}" name="Column13884"/>
    <tableColumn id="13887" xr3:uid="{7C0C18C8-9144-41AD-9138-1E8B17AC6876}" name="Column13885"/>
    <tableColumn id="13888" xr3:uid="{BD6414CC-023D-40DB-B4E9-78CDD6BE69E6}" name="Column13886"/>
    <tableColumn id="13889" xr3:uid="{CF56624B-BD91-47B2-A540-865E358348BD}" name="Column13887"/>
    <tableColumn id="13890" xr3:uid="{98406959-5162-4166-954B-B6777FFA8508}" name="Column13888"/>
    <tableColumn id="13891" xr3:uid="{B318D32F-E6D8-4E07-A669-66712C9B757E}" name="Column13889"/>
    <tableColumn id="13892" xr3:uid="{2EB4F6A3-6323-4709-BCDA-B5793AB8F3F5}" name="Column13890"/>
    <tableColumn id="13893" xr3:uid="{AB27DFD7-CAC5-480B-B3E5-0B6847746390}" name="Column13891"/>
    <tableColumn id="13894" xr3:uid="{31096121-6449-4311-8E7C-2AA3BCE9F084}" name="Column13892"/>
    <tableColumn id="13895" xr3:uid="{B8C04FB8-C4EC-4683-80EA-51C95DB7EF7D}" name="Column13893"/>
    <tableColumn id="13896" xr3:uid="{3AF83480-67D3-43AD-958E-A073AB178CC2}" name="Column13894"/>
    <tableColumn id="13897" xr3:uid="{5F27D4CE-B3E6-494A-A5A0-928CEFC650D3}" name="Column13895"/>
    <tableColumn id="13898" xr3:uid="{9E5ED444-691C-4EC8-AC17-4ABDA3D8B4D0}" name="Column13896"/>
    <tableColumn id="13899" xr3:uid="{8289927F-971F-4953-A7FA-33B8E5317FCE}" name="Column13897"/>
    <tableColumn id="13900" xr3:uid="{4DFCAE7F-D1D8-46B7-82CB-80EFDBD593A9}" name="Column13898"/>
    <tableColumn id="13901" xr3:uid="{A510D5EC-586E-45E9-858C-57B3FDDCBF38}" name="Column13899"/>
    <tableColumn id="13902" xr3:uid="{90E493DC-A55E-4743-806F-022F18B3BC67}" name="Column13900"/>
    <tableColumn id="13903" xr3:uid="{D36331E2-C334-43B0-AEE5-31004FD258B4}" name="Column13901"/>
    <tableColumn id="13904" xr3:uid="{374BBE41-DFB0-447C-80A4-1681B80D0767}" name="Column13902"/>
    <tableColumn id="13905" xr3:uid="{9FF79CDA-F446-4D83-B12F-67B1831D5ED0}" name="Column13903"/>
    <tableColumn id="13906" xr3:uid="{E172092F-F74F-49E2-977D-97BC50A09B04}" name="Column13904"/>
    <tableColumn id="13907" xr3:uid="{034242CE-887C-4EF4-81BC-8E2C7167BB97}" name="Column13905"/>
    <tableColumn id="13908" xr3:uid="{227B9376-017D-4519-B2A0-D54060955B18}" name="Column13906"/>
    <tableColumn id="13909" xr3:uid="{9724EF4E-D35E-46BE-841C-DF0B239B6391}" name="Column13907"/>
    <tableColumn id="13910" xr3:uid="{650DC672-F3FC-4D3F-AC67-5DEB919CF25E}" name="Column13908"/>
    <tableColumn id="13911" xr3:uid="{93A7C0D0-C9FF-4CF0-9FCA-AF579E15C7E5}" name="Column13909"/>
    <tableColumn id="13912" xr3:uid="{6E50C4E0-170F-4A60-9A7B-537BD945B587}" name="Column13910"/>
    <tableColumn id="13913" xr3:uid="{DDF9E552-CBE9-46B0-BEF5-4DABE97BE2D5}" name="Column13911"/>
    <tableColumn id="13914" xr3:uid="{E292F57D-5B8F-4416-914B-92DEBBE9CFE5}" name="Column13912"/>
    <tableColumn id="13915" xr3:uid="{291C3280-6824-456E-94C3-254E4E1F5C7E}" name="Column13913"/>
    <tableColumn id="13916" xr3:uid="{DD844041-0525-4F34-9901-70D28F4E1855}" name="Column13914"/>
    <tableColumn id="13917" xr3:uid="{EC18DA2D-9B0A-4077-934C-10E32813D47A}" name="Column13915"/>
    <tableColumn id="13918" xr3:uid="{DF6719D8-3284-4597-98FA-515AA9C02430}" name="Column13916"/>
    <tableColumn id="13919" xr3:uid="{98164F45-2204-469B-A417-490DAC729F4B}" name="Column13917"/>
    <tableColumn id="13920" xr3:uid="{7F186B06-73CC-40F9-900C-6E8101D5FFBC}" name="Column13918"/>
    <tableColumn id="13921" xr3:uid="{5A897A43-8ADE-4F42-9F1B-D39245288197}" name="Column13919"/>
    <tableColumn id="13922" xr3:uid="{D5BFEB3D-3FCC-41B5-B1FC-FB91A5FA7541}" name="Column13920"/>
    <tableColumn id="13923" xr3:uid="{8B6253ED-F892-4139-82F8-648B80ED3623}" name="Column13921"/>
    <tableColumn id="13924" xr3:uid="{6E62EBA5-325C-4FE4-A4EA-E6FAA66ED483}" name="Column13922"/>
    <tableColumn id="13925" xr3:uid="{6F6823DD-5D63-4D02-BEDD-EC68CD8E7A7C}" name="Column13923"/>
    <tableColumn id="13926" xr3:uid="{A9FF88FD-D15F-4CFF-88AE-C3BD2027B253}" name="Column13924"/>
    <tableColumn id="13927" xr3:uid="{F05199DE-3E18-4A49-99E4-5B73F8557206}" name="Column13925"/>
    <tableColumn id="13928" xr3:uid="{0FE0605C-5ACA-47F8-B78F-F025A4275AC2}" name="Column13926"/>
    <tableColumn id="13929" xr3:uid="{715259FF-30E8-4CBC-B039-DB487D5BBE4B}" name="Column13927"/>
    <tableColumn id="13930" xr3:uid="{A2654F9C-7406-4FD7-B237-A492AD9220AB}" name="Column13928"/>
    <tableColumn id="13931" xr3:uid="{DA85B888-F5F7-48D4-BF8D-4BD447C45533}" name="Column13929"/>
    <tableColumn id="13932" xr3:uid="{261CD2D9-2982-4472-B116-3A94EBD9AE88}" name="Column13930"/>
    <tableColumn id="13933" xr3:uid="{167DA476-7BB8-47E4-A271-3EEB16B93146}" name="Column13931"/>
    <tableColumn id="13934" xr3:uid="{0D6AEBF7-0C89-4D6F-AA30-D11E7F2FEF8C}" name="Column13932"/>
    <tableColumn id="13935" xr3:uid="{63432DC1-59BB-41E7-B4E5-800F4B66E96F}" name="Column13933"/>
    <tableColumn id="13936" xr3:uid="{94A68632-92DB-42BD-BB85-3AE5DFE3DC2F}" name="Column13934"/>
    <tableColumn id="13937" xr3:uid="{1A9E0048-E67C-4A2A-8FEB-1062562256F4}" name="Column13935"/>
    <tableColumn id="13938" xr3:uid="{F9DC1C02-9847-4F0E-8403-A65D57227DA5}" name="Column13936"/>
    <tableColumn id="13939" xr3:uid="{5C8FBE8A-3BCD-4FBF-AF39-F8B585351ECA}" name="Column13937"/>
    <tableColumn id="13940" xr3:uid="{7B696688-837E-4949-8037-2AACA4FBA312}" name="Column13938"/>
    <tableColumn id="13941" xr3:uid="{EF5D6936-BBD4-4D85-9512-65E9D36D9923}" name="Column13939"/>
    <tableColumn id="13942" xr3:uid="{70C1EF33-D0B6-4123-A4F5-DA0C51FF04B0}" name="Column13940"/>
    <tableColumn id="13943" xr3:uid="{A6A1FFC1-65C7-4DB1-B9A8-7F3C3802D3EF}" name="Column13941"/>
    <tableColumn id="13944" xr3:uid="{F9F465AB-E1EB-45CC-9517-651B744BCFC1}" name="Column13942"/>
    <tableColumn id="13945" xr3:uid="{D1ED8C72-F9F0-4BD0-B46A-404ED51F7F3C}" name="Column13943"/>
    <tableColumn id="13946" xr3:uid="{905947F5-0031-48CF-B32A-26B6C6C8C208}" name="Column13944"/>
    <tableColumn id="13947" xr3:uid="{D58A4F73-BD19-4A48-8BEA-F566C9F218E0}" name="Column13945"/>
    <tableColumn id="13948" xr3:uid="{34E907B7-B5FA-4D94-83B8-DE32E8C85D74}" name="Column13946"/>
    <tableColumn id="13949" xr3:uid="{1B7D5CD6-3853-4CE7-ABEC-0F0B738D3804}" name="Column13947"/>
    <tableColumn id="13950" xr3:uid="{C51A509C-F2B0-4F61-B37C-3AF777B8CDF5}" name="Column13948"/>
    <tableColumn id="13951" xr3:uid="{1CABA58C-2B80-4F1F-B452-427D77D95A1F}" name="Column13949"/>
    <tableColumn id="13952" xr3:uid="{F6919F62-59FC-4DCF-A312-128669573769}" name="Column13950"/>
    <tableColumn id="13953" xr3:uid="{F4D941A2-3E09-489D-ACCC-B818510C1479}" name="Column13951"/>
    <tableColumn id="13954" xr3:uid="{42405F52-20DA-4BD5-9129-1F1D76532F2E}" name="Column13952"/>
    <tableColumn id="13955" xr3:uid="{F280CE78-BADD-40A3-BC74-7DAFB86C4BE9}" name="Column13953"/>
    <tableColumn id="13956" xr3:uid="{4E2C2421-8F3F-4A72-A0DA-163FCB11DCFA}" name="Column13954"/>
    <tableColumn id="13957" xr3:uid="{32BB8ED5-E9EC-496B-AD2D-E4DD6DED67AF}" name="Column13955"/>
    <tableColumn id="13958" xr3:uid="{D771657C-6D75-4023-8061-46CDE38B5DBC}" name="Column13956"/>
    <tableColumn id="13959" xr3:uid="{168DD81F-A374-4B61-B0CF-AD54E3DD18CB}" name="Column13957"/>
    <tableColumn id="13960" xr3:uid="{5AFEFA0E-EA66-451C-A711-802336CC08E1}" name="Column13958"/>
    <tableColumn id="13961" xr3:uid="{17C28611-D4B2-4057-9D0B-8AC955D55222}" name="Column13959"/>
    <tableColumn id="13962" xr3:uid="{5EAD0D86-305F-40FE-A265-C27D40BD5A7D}" name="Column13960"/>
    <tableColumn id="13963" xr3:uid="{CBF79A22-97E4-4207-8220-9656CD96CC87}" name="Column13961"/>
    <tableColumn id="13964" xr3:uid="{35351CC3-8BC0-4606-A190-90CA7EBC15D0}" name="Column13962"/>
    <tableColumn id="13965" xr3:uid="{5C27402E-64A3-42EE-BC83-BD593462991D}" name="Column13963"/>
    <tableColumn id="13966" xr3:uid="{1F1153E7-93A3-475D-9219-62032B5BB9F9}" name="Column13964"/>
    <tableColumn id="13967" xr3:uid="{A98CEA7C-5E19-4640-8CB6-4887D238AD93}" name="Column13965"/>
    <tableColumn id="13968" xr3:uid="{C80DBDB1-870A-4CE8-9E39-E781C35163BE}" name="Column13966"/>
    <tableColumn id="13969" xr3:uid="{7FB3BD1C-B691-4030-843E-9517E629DBB0}" name="Column13967"/>
    <tableColumn id="13970" xr3:uid="{0B3DC474-E4CC-4C27-AEB5-48B7F5092913}" name="Column13968"/>
    <tableColumn id="13971" xr3:uid="{B445F336-E026-4DCE-B9A4-B675F131F302}" name="Column13969"/>
    <tableColumn id="13972" xr3:uid="{E8B306A0-3835-4558-8075-F3F1B08FD109}" name="Column13970"/>
    <tableColumn id="13973" xr3:uid="{63812415-304C-45A8-8C0F-222345329E24}" name="Column13971"/>
    <tableColumn id="13974" xr3:uid="{C6DD8C40-84DD-4D72-A43C-53152EA847DE}" name="Column13972"/>
    <tableColumn id="13975" xr3:uid="{1C7300A7-8A02-483A-952B-F8FBE8721F1C}" name="Column13973"/>
    <tableColumn id="13976" xr3:uid="{09E0AD00-8B3F-40D6-B370-5B62005DDE6B}" name="Column13974"/>
    <tableColumn id="13977" xr3:uid="{0472687D-D594-4039-BB85-AC0F797A91AA}" name="Column13975"/>
    <tableColumn id="13978" xr3:uid="{17E320C0-7F3A-4DE0-A3E9-9052815741C6}" name="Column13976"/>
    <tableColumn id="13979" xr3:uid="{1F63AF3F-EA2F-49BA-9622-685D2FB5D2F9}" name="Column13977"/>
    <tableColumn id="13980" xr3:uid="{BDE9A68B-9CDC-43F5-A4E4-647F134993CB}" name="Column13978"/>
    <tableColumn id="13981" xr3:uid="{0E622B8E-D81B-4324-9895-903E1E5A7E85}" name="Column13979"/>
    <tableColumn id="13982" xr3:uid="{53852DE6-41C9-4B5A-920A-90C0A1FC258F}" name="Column13980"/>
    <tableColumn id="13983" xr3:uid="{DD63DBFA-09EB-4120-B27A-CA16AC46DB05}" name="Column13981"/>
    <tableColumn id="13984" xr3:uid="{7DF3261F-7BAD-4FCD-97CB-7C31578B5E73}" name="Column13982"/>
    <tableColumn id="13985" xr3:uid="{1EBDB856-40F0-4173-A569-7CDC0140139E}" name="Column13983"/>
    <tableColumn id="13986" xr3:uid="{41FC441E-28EC-48AA-B88D-2CA1F16FC07B}" name="Column13984"/>
    <tableColumn id="13987" xr3:uid="{1C445C5E-518B-4822-9A6B-38103601DE63}" name="Column13985"/>
    <tableColumn id="13988" xr3:uid="{80AAEE98-C612-4ED8-A581-1F538F886586}" name="Column13986"/>
    <tableColumn id="13989" xr3:uid="{88A39CB5-F31A-4183-A542-3D3A4E674E18}" name="Column13987"/>
    <tableColumn id="13990" xr3:uid="{6727BEB0-CA66-402C-B23F-401F91BF7613}" name="Column13988"/>
    <tableColumn id="13991" xr3:uid="{38D81CF4-100D-476B-BBE2-C73EC24C2D64}" name="Column13989"/>
    <tableColumn id="13992" xr3:uid="{D10ABCB1-B035-4311-B7AB-9026DDF6FD9C}" name="Column13990"/>
    <tableColumn id="13993" xr3:uid="{12FE4DD9-5C0A-4251-AFC9-28B3492265FA}" name="Column13991"/>
    <tableColumn id="13994" xr3:uid="{B96CE61E-D710-4BCD-AAC8-BF8CBC591117}" name="Column13992"/>
    <tableColumn id="13995" xr3:uid="{1ADE2F9A-F555-4BFD-B1C2-614D42B3CDFF}" name="Column13993"/>
    <tableColumn id="13996" xr3:uid="{FFD79B5A-44DC-4036-9797-C2799B41F6A9}" name="Column13994"/>
    <tableColumn id="13997" xr3:uid="{44E70099-1967-4AF4-98C8-005C4FA343C3}" name="Column13995"/>
    <tableColumn id="13998" xr3:uid="{A0E27243-5290-4CD6-8589-225FE6061D02}" name="Column13996"/>
    <tableColumn id="13999" xr3:uid="{096973DD-3E84-4E91-A32F-208FFAB1702E}" name="Column13997"/>
    <tableColumn id="14000" xr3:uid="{367A4549-B2A9-40BC-BEEE-5833B5480694}" name="Column13998"/>
    <tableColumn id="14001" xr3:uid="{27BD3DB6-39F6-46AF-A195-27FDE407F9A2}" name="Column13999"/>
    <tableColumn id="14002" xr3:uid="{02E47204-BB2D-4038-A2B4-104CCE051211}" name="Column14000"/>
    <tableColumn id="14003" xr3:uid="{D27960F7-D46A-40D3-8402-C742DC6CBF41}" name="Column14001"/>
    <tableColumn id="14004" xr3:uid="{F28173BD-712B-4798-A430-70BE2A130FA8}" name="Column14002"/>
    <tableColumn id="14005" xr3:uid="{85B7D497-66BF-48A8-AB49-C03EE3736021}" name="Column14003"/>
    <tableColumn id="14006" xr3:uid="{D5D5ABA1-60D0-4F84-BBAF-40D4AC414B4E}" name="Column14004"/>
    <tableColumn id="14007" xr3:uid="{BAA7C801-7A47-490A-AEF1-4F3577432FAD}" name="Column14005"/>
    <tableColumn id="14008" xr3:uid="{A41C1E99-C716-43FC-AB10-645F73E3ABB6}" name="Column14006"/>
    <tableColumn id="14009" xr3:uid="{86CCBCA9-D128-4214-9509-EDAE00C63C76}" name="Column14007"/>
    <tableColumn id="14010" xr3:uid="{DD07C6BF-8E7C-4BE8-86ED-5EFEACBF20D8}" name="Column14008"/>
    <tableColumn id="14011" xr3:uid="{A1F9CA41-B028-4E00-AF43-B31EF3012D01}" name="Column14009"/>
    <tableColumn id="14012" xr3:uid="{A6AC36BF-1958-4B39-B2B7-D2F8443151E4}" name="Column14010"/>
    <tableColumn id="14013" xr3:uid="{22B750A9-3134-43ED-848C-F8653445CF75}" name="Column14011"/>
    <tableColumn id="14014" xr3:uid="{6188A543-2E34-4369-8D31-EBF1204586CF}" name="Column14012"/>
    <tableColumn id="14015" xr3:uid="{A6A42C0F-FA6D-47CE-82E1-E973FAE58336}" name="Column14013"/>
    <tableColumn id="14016" xr3:uid="{D60DF503-238F-4A07-AC56-C5A55BABBA27}" name="Column14014"/>
    <tableColumn id="14017" xr3:uid="{2063AAFC-AF05-403D-A3A7-1272C36486E5}" name="Column14015"/>
    <tableColumn id="14018" xr3:uid="{71C872D5-DFE6-4825-AF43-A8EC618DAF20}" name="Column14016"/>
    <tableColumn id="14019" xr3:uid="{491DBC08-7A89-440C-B0B7-092A1FB2B94C}" name="Column14017"/>
    <tableColumn id="14020" xr3:uid="{AD367218-F24E-441C-8A83-1A9D56525056}" name="Column14018"/>
    <tableColumn id="14021" xr3:uid="{0166FF34-91C8-490D-A11A-0C49F43E2F6A}" name="Column14019"/>
    <tableColumn id="14022" xr3:uid="{8A835BAB-229D-4635-B35E-793CB333E86B}" name="Column14020"/>
    <tableColumn id="14023" xr3:uid="{D3AC9902-105A-4124-8CCA-0655312A05ED}" name="Column14021"/>
    <tableColumn id="14024" xr3:uid="{5FBDF051-F579-4F24-8565-CF515C4B0EBC}" name="Column14022"/>
    <tableColumn id="14025" xr3:uid="{5F8AB219-7EAF-4D81-BBD7-C5C0F485BB66}" name="Column14023"/>
    <tableColumn id="14026" xr3:uid="{5ACC8310-3222-4F64-8EC7-5F02D6721B32}" name="Column14024"/>
    <tableColumn id="14027" xr3:uid="{84475325-7EDF-458F-AB9B-CA362C7B81C7}" name="Column14025"/>
    <tableColumn id="14028" xr3:uid="{BF9192D4-0397-4A6B-BAED-54EAF7E8CAD1}" name="Column14026"/>
    <tableColumn id="14029" xr3:uid="{34FB5303-9251-4DA3-BB51-B4BBFA354908}" name="Column14027"/>
    <tableColumn id="14030" xr3:uid="{5AC4EAA5-87BD-40F3-A519-C7EB079687C1}" name="Column14028"/>
    <tableColumn id="14031" xr3:uid="{28D29846-B704-4D46-B29D-12FD113FD498}" name="Column14029"/>
    <tableColumn id="14032" xr3:uid="{1D1B0C26-6723-406C-9FE3-6B891A36F6C3}" name="Column14030"/>
    <tableColumn id="14033" xr3:uid="{3F224FBE-8B9B-42B0-9056-2776BFBAE275}" name="Column14031"/>
    <tableColumn id="14034" xr3:uid="{81254277-57C4-4D3F-A9D2-49A316825E8D}" name="Column14032"/>
    <tableColumn id="14035" xr3:uid="{614EE1F4-3207-415D-BFCC-DE5792904A6D}" name="Column14033"/>
    <tableColumn id="14036" xr3:uid="{8C0CC5D8-759E-479A-B5FF-3225CDC349C2}" name="Column14034"/>
    <tableColumn id="14037" xr3:uid="{A825EA42-CED1-4A76-92B8-C17412B8A4F9}" name="Column14035"/>
    <tableColumn id="14038" xr3:uid="{A65FA502-0F74-4B05-8C71-7F65AACFB8E1}" name="Column14036"/>
    <tableColumn id="14039" xr3:uid="{D9E7AEC1-9603-44BF-B0FB-C47EA5C963AF}" name="Column14037"/>
    <tableColumn id="14040" xr3:uid="{B68D0464-0DF6-4EE8-916F-234C4FD5EF39}" name="Column14038"/>
    <tableColumn id="14041" xr3:uid="{9F809C8E-031C-49A0-94D9-59A4B09CCCD7}" name="Column14039"/>
    <tableColumn id="14042" xr3:uid="{03293DD6-38B1-4FD5-8451-68BE1209598F}" name="Column14040"/>
    <tableColumn id="14043" xr3:uid="{996A9146-DF23-4DBB-9194-E690E18C15AA}" name="Column14041"/>
    <tableColumn id="14044" xr3:uid="{8E4A1AEB-BEE7-4E77-8A3A-B267E5985947}" name="Column14042"/>
    <tableColumn id="14045" xr3:uid="{4169925C-D524-49D9-A939-3B0678FD6E40}" name="Column14043"/>
    <tableColumn id="14046" xr3:uid="{079AD458-40E2-4042-B6B8-7DED921CD9C2}" name="Column14044"/>
    <tableColumn id="14047" xr3:uid="{068FFA33-132E-41E9-A5D4-33A8D75F99A7}" name="Column14045"/>
    <tableColumn id="14048" xr3:uid="{CBF4721E-46B1-494F-AA54-4EC4CCD8A617}" name="Column14046"/>
    <tableColumn id="14049" xr3:uid="{BED9E4B8-BBFB-4145-B070-952521DAE3F2}" name="Column14047"/>
    <tableColumn id="14050" xr3:uid="{7DB25010-35B4-45A1-AF32-AF16D9B470AD}" name="Column14048"/>
    <tableColumn id="14051" xr3:uid="{178636AB-2C26-4B8E-AD41-5AB6C994C2CD}" name="Column14049"/>
    <tableColumn id="14052" xr3:uid="{FED2B6D6-C007-4800-A647-7B4B1189F36B}" name="Column14050"/>
    <tableColumn id="14053" xr3:uid="{8EBBA67A-B75A-4EF2-B244-0AF46B1093F6}" name="Column14051"/>
    <tableColumn id="14054" xr3:uid="{ECDB28CF-C92D-4AD2-932E-CB60B6DBC8B2}" name="Column14052"/>
    <tableColumn id="14055" xr3:uid="{054C7241-01FB-4B19-A93A-8CCB4A2D3A91}" name="Column14053"/>
    <tableColumn id="14056" xr3:uid="{07E0C207-6C8E-4A85-9A65-73066A45B04B}" name="Column14054"/>
    <tableColumn id="14057" xr3:uid="{6056BC23-68B8-4F87-8E1D-5A57FAC1055D}" name="Column14055"/>
    <tableColumn id="14058" xr3:uid="{5D1FF81B-ABB2-4DA8-884A-DBD9273B480E}" name="Column14056"/>
    <tableColumn id="14059" xr3:uid="{59446996-A13A-4CDF-9DC4-36E0BDFBE246}" name="Column14057"/>
    <tableColumn id="14060" xr3:uid="{E610B69F-14AC-43A8-946B-6213D11BC4A5}" name="Column14058"/>
    <tableColumn id="14061" xr3:uid="{AF53CBF7-96B6-451D-8ECE-7D777069F469}" name="Column14059"/>
    <tableColumn id="14062" xr3:uid="{3C23F712-D730-453E-925A-FD974DF9BB65}" name="Column14060"/>
    <tableColumn id="14063" xr3:uid="{AB5C4BBE-269D-4F89-B1DC-0FDEB0109F55}" name="Column14061"/>
    <tableColumn id="14064" xr3:uid="{F22E00CE-ABA2-41B5-8849-6B18CA22B11F}" name="Column14062"/>
    <tableColumn id="14065" xr3:uid="{93E0C215-B1E6-4C9F-93D9-114E26E34095}" name="Column14063"/>
    <tableColumn id="14066" xr3:uid="{730CF432-E2AD-4B12-AACD-7EE1D80833C4}" name="Column14064"/>
    <tableColumn id="14067" xr3:uid="{540172C5-A783-4376-8749-74D141F47D53}" name="Column14065"/>
    <tableColumn id="14068" xr3:uid="{78AA1A27-E543-4418-9A88-ED095E81B9F0}" name="Column14066"/>
    <tableColumn id="14069" xr3:uid="{A6F8167D-7188-43CA-AE8F-A7A2EE5C44A8}" name="Column14067"/>
    <tableColumn id="14070" xr3:uid="{504FD38A-E7DB-457E-BE58-8B156013FA6F}" name="Column14068"/>
    <tableColumn id="14071" xr3:uid="{9E397079-FED2-4FC7-BECD-FA90F2AE974C}" name="Column14069"/>
    <tableColumn id="14072" xr3:uid="{7AD0E277-3120-497E-BE69-DCD17F3E113D}" name="Column14070"/>
    <tableColumn id="14073" xr3:uid="{E60B77BC-7CFB-442A-9B52-0002D84CC64E}" name="Column14071"/>
    <tableColumn id="14074" xr3:uid="{5F581C73-ED07-4124-893A-3C135B089D14}" name="Column14072"/>
    <tableColumn id="14075" xr3:uid="{D975B323-2153-4373-BB15-857CC30BD030}" name="Column14073"/>
    <tableColumn id="14076" xr3:uid="{953B5128-D028-4663-86DC-9EBE36AD4A57}" name="Column14074"/>
    <tableColumn id="14077" xr3:uid="{5D370032-3618-43C3-A798-323D9D8F0818}" name="Column14075"/>
    <tableColumn id="14078" xr3:uid="{F5718F0F-9227-4577-A46B-52CB3791908A}" name="Column14076"/>
    <tableColumn id="14079" xr3:uid="{B53CAE4C-D9A9-4821-AE15-B3632A14273A}" name="Column14077"/>
    <tableColumn id="14080" xr3:uid="{75BB449B-F61F-4DAF-A2B5-8099016A388F}" name="Column14078"/>
    <tableColumn id="14081" xr3:uid="{2E867051-46F2-44A1-B66F-74B0A1A29658}" name="Column14079"/>
    <tableColumn id="14082" xr3:uid="{400FFE05-40B2-48CF-9AD8-72FE22B39E05}" name="Column14080"/>
    <tableColumn id="14083" xr3:uid="{53F9B555-FC84-4A8A-BF96-5E4989588FD1}" name="Column14081"/>
    <tableColumn id="14084" xr3:uid="{86DDBB61-56C1-45DD-B6BA-F121617E88D6}" name="Column14082"/>
    <tableColumn id="14085" xr3:uid="{CB30F6CF-6BED-4A63-8A95-35EA97D750AC}" name="Column14083"/>
    <tableColumn id="14086" xr3:uid="{D6F5249D-0FDA-4FC7-AB5A-385E5972B8D9}" name="Column14084"/>
    <tableColumn id="14087" xr3:uid="{35C1EBFF-9F21-4F47-99A7-6E976A15568B}" name="Column14085"/>
    <tableColumn id="14088" xr3:uid="{685C547B-3257-4F5D-ACE3-606CC361C66A}" name="Column14086"/>
    <tableColumn id="14089" xr3:uid="{754A66F0-0555-4571-9515-8D2D2FD34476}" name="Column14087"/>
    <tableColumn id="14090" xr3:uid="{A4C6BBF4-57EE-4DCC-8798-D0A4C6EFD770}" name="Column14088"/>
    <tableColumn id="14091" xr3:uid="{60666EAF-1F43-497C-BF1F-A31511AB300B}" name="Column14089"/>
    <tableColumn id="14092" xr3:uid="{F836EB64-6C9D-42F3-9E95-C17438B3966A}" name="Column14090"/>
    <tableColumn id="14093" xr3:uid="{F66FDD9A-2133-451A-B227-A2154224B6DB}" name="Column14091"/>
    <tableColumn id="14094" xr3:uid="{E67C1321-C5A3-4712-91AB-E909A9E87180}" name="Column14092"/>
    <tableColumn id="14095" xr3:uid="{1B0E660F-2914-41DA-B56D-CCED53B96AA0}" name="Column14093"/>
    <tableColumn id="14096" xr3:uid="{7E155ADB-B4B2-4792-B231-EE28245AE29C}" name="Column14094"/>
    <tableColumn id="14097" xr3:uid="{6FEFB257-9445-42BA-BC2A-2AEC74C60B1C}" name="Column14095"/>
    <tableColumn id="14098" xr3:uid="{E6C70FF8-C1AF-4A83-8C27-8F3F72C7FB77}" name="Column14096"/>
    <tableColumn id="14099" xr3:uid="{0C1F959E-8227-4CD4-AB3F-B32F9311B21E}" name="Column14097"/>
    <tableColumn id="14100" xr3:uid="{42B1DD51-F668-4388-9DBA-1D6FA1BDACB6}" name="Column14098"/>
    <tableColumn id="14101" xr3:uid="{AF4580AF-C060-479B-A308-7F33D3090187}" name="Column14099"/>
    <tableColumn id="14102" xr3:uid="{AC340CFE-C01D-4BD9-AF24-F9D030D2B198}" name="Column14100"/>
    <tableColumn id="14103" xr3:uid="{E7F71A7E-E2A6-41EB-929D-FE3525EEDDF0}" name="Column14101"/>
    <tableColumn id="14104" xr3:uid="{C74A72F8-A1E3-482D-9E95-E6A42F071737}" name="Column14102"/>
    <tableColumn id="14105" xr3:uid="{306B483D-C300-43EE-8625-0A8B23EED187}" name="Column14103"/>
    <tableColumn id="14106" xr3:uid="{3110A110-31C8-4789-85E7-46FFAE6E0DBC}" name="Column14104"/>
    <tableColumn id="14107" xr3:uid="{2B270EEF-84E5-44ED-95BB-D3D705B6661E}" name="Column14105"/>
    <tableColumn id="14108" xr3:uid="{FDDA6CCD-906B-4DD4-95D1-8C2BA87D801F}" name="Column14106"/>
    <tableColumn id="14109" xr3:uid="{1908B34A-B630-471E-81F2-E4FD1A180DCC}" name="Column14107"/>
    <tableColumn id="14110" xr3:uid="{0A2BA1A1-00D3-494B-883F-85EEC11AE78F}" name="Column14108"/>
    <tableColumn id="14111" xr3:uid="{E8067A87-73CE-462F-937C-CE7867D09B27}" name="Column14109"/>
    <tableColumn id="14112" xr3:uid="{4AB95288-4AA4-46F2-AD19-5237004A83AA}" name="Column14110"/>
    <tableColumn id="14113" xr3:uid="{4451DAA1-D587-43AB-BC73-3B6D51FEB32C}" name="Column14111"/>
    <tableColumn id="14114" xr3:uid="{7660D9E0-9655-4CCE-960E-337BA54F8643}" name="Column14112"/>
    <tableColumn id="14115" xr3:uid="{25FA60B0-A40F-4BF4-8A46-6A1167BD557A}" name="Column14113"/>
    <tableColumn id="14116" xr3:uid="{CE66D37B-B5FE-4532-BED8-9FA1F5316DDF}" name="Column14114"/>
    <tableColumn id="14117" xr3:uid="{EDFE270F-5F6A-42F8-99BB-6D20DCC61F37}" name="Column14115"/>
    <tableColumn id="14118" xr3:uid="{0B55B781-E8C8-476D-A30A-306C8528473F}" name="Column14116"/>
    <tableColumn id="14119" xr3:uid="{9495D6F6-145C-4537-B9F6-90F800645715}" name="Column14117"/>
    <tableColumn id="14120" xr3:uid="{E909A77C-0117-4854-8957-9A13311D511D}" name="Column14118"/>
    <tableColumn id="14121" xr3:uid="{7AC89D63-DFB7-4067-801C-00B74314B0F8}" name="Column14119"/>
    <tableColumn id="14122" xr3:uid="{A325A8BE-571B-47F2-A7F4-6511A78C06D1}" name="Column14120"/>
    <tableColumn id="14123" xr3:uid="{28752DED-7B6D-42BF-B01F-50D8FDD08413}" name="Column14121"/>
    <tableColumn id="14124" xr3:uid="{3553D07C-CE8B-439F-982D-9C9C3B41F75A}" name="Column14122"/>
    <tableColumn id="14125" xr3:uid="{2253BACE-70CB-4207-822F-DEF0773177F6}" name="Column14123"/>
    <tableColumn id="14126" xr3:uid="{9B53517C-6D75-4E1B-B6B8-2DF2D57C8F8F}" name="Column14124"/>
    <tableColumn id="14127" xr3:uid="{AAB98AD8-08ED-4072-947A-E162093E8315}" name="Column14125"/>
    <tableColumn id="14128" xr3:uid="{D5D30C0C-036B-43F9-B543-62809904CCDB}" name="Column14126"/>
    <tableColumn id="14129" xr3:uid="{A38EE504-E93A-4CB3-A6CD-F0480698F294}" name="Column14127"/>
    <tableColumn id="14130" xr3:uid="{C3ABA263-1A91-4B4E-8355-739AB11DC6A8}" name="Column14128"/>
    <tableColumn id="14131" xr3:uid="{65B3E0AD-ADD4-47D0-ABCC-B131BF1F8679}" name="Column14129"/>
    <tableColumn id="14132" xr3:uid="{73EF480F-1792-4893-81F2-AC97FE0D102E}" name="Column14130"/>
    <tableColumn id="14133" xr3:uid="{71A1B893-F07F-46BF-B4A3-9EB44E41AAAD}" name="Column14131"/>
    <tableColumn id="14134" xr3:uid="{5C8D3206-489C-4A4A-A0E0-3C1A65A6512B}" name="Column14132"/>
    <tableColumn id="14135" xr3:uid="{26DEDF6D-C398-4845-9791-43DECF9C930D}" name="Column14133"/>
    <tableColumn id="14136" xr3:uid="{175AFE9A-6E7E-440C-A564-1F4F2E1CE5AF}" name="Column14134"/>
    <tableColumn id="14137" xr3:uid="{66A77244-A536-450D-AD0B-34D5B0279AB0}" name="Column14135"/>
    <tableColumn id="14138" xr3:uid="{F283FBA0-F5ED-45B7-8583-A722FAA67529}" name="Column14136"/>
    <tableColumn id="14139" xr3:uid="{419319D3-C170-4558-8941-808B5C611FD6}" name="Column14137"/>
    <tableColumn id="14140" xr3:uid="{5BE2738F-3F66-4C43-8CDB-1E1C9FCF7F5E}" name="Column14138"/>
    <tableColumn id="14141" xr3:uid="{DE266468-7DD8-48E0-9A26-E99EFD839730}" name="Column14139"/>
    <tableColumn id="14142" xr3:uid="{AE6389A7-DF07-4354-B45A-D2C02F2F4083}" name="Column14140"/>
    <tableColumn id="14143" xr3:uid="{A9CE4B83-0A11-4396-9AA0-741D303BBCC3}" name="Column14141"/>
    <tableColumn id="14144" xr3:uid="{7CAAB20C-9B55-488D-8039-777CAD096A8F}" name="Column14142"/>
    <tableColumn id="14145" xr3:uid="{136F487A-9311-4AA7-B934-B4255921C7AA}" name="Column14143"/>
    <tableColumn id="14146" xr3:uid="{00D64D33-E200-4B0A-91A5-7CA5A0F574BC}" name="Column14144"/>
    <tableColumn id="14147" xr3:uid="{4B3E8C97-1112-4B2C-83DA-7193C742317B}" name="Column14145"/>
    <tableColumn id="14148" xr3:uid="{8D72E6B1-AC52-4DEA-B80A-6B6CA00D5603}" name="Column14146"/>
    <tableColumn id="14149" xr3:uid="{8B85CB90-2DD0-40B2-B478-AD3F5E59CA33}" name="Column14147"/>
    <tableColumn id="14150" xr3:uid="{7670071E-2F64-4C5E-8E7B-74FDAB77E854}" name="Column14148"/>
    <tableColumn id="14151" xr3:uid="{2B812E1B-AD1F-42B2-88D5-F25A81D5A90F}" name="Column14149"/>
    <tableColumn id="14152" xr3:uid="{41BB875F-3377-4202-83BE-9A1F69D48264}" name="Column14150"/>
    <tableColumn id="14153" xr3:uid="{C55E5744-41E7-45FB-9FD4-C2F24CBD06F2}" name="Column14151"/>
    <tableColumn id="14154" xr3:uid="{6912E167-0E7C-4238-8AF7-F5328FEA9AC7}" name="Column14152"/>
    <tableColumn id="14155" xr3:uid="{E81F9963-37C7-4F93-B562-D88712801670}" name="Column14153"/>
    <tableColumn id="14156" xr3:uid="{1F3B3937-ABC5-4E19-9B7F-2170A7063E06}" name="Column14154"/>
    <tableColumn id="14157" xr3:uid="{51A199C2-E6C4-4CC6-84CF-8FB3D4651096}" name="Column14155"/>
    <tableColumn id="14158" xr3:uid="{8AD3DB3D-4D6B-4670-BCEE-CEB980247C6E}" name="Column14156"/>
    <tableColumn id="14159" xr3:uid="{38D72ED6-36E7-4F9E-99AB-12F68EDCC0D2}" name="Column14157"/>
    <tableColumn id="14160" xr3:uid="{DEA9B5F3-43CC-42A4-A9F2-A38CBBCFC8C1}" name="Column14158"/>
    <tableColumn id="14161" xr3:uid="{44BE492E-A610-41E2-B7F9-88B38C69C023}" name="Column14159"/>
    <tableColumn id="14162" xr3:uid="{65C6C140-4EFB-47E7-AE2E-C9AEDAA2F155}" name="Column14160"/>
    <tableColumn id="14163" xr3:uid="{41C40EE7-9CA6-4DC1-A140-1365292DA861}" name="Column14161"/>
    <tableColumn id="14164" xr3:uid="{81090E9E-242A-4BC5-AB67-3A80BA397C0C}" name="Column14162"/>
    <tableColumn id="14165" xr3:uid="{777E634E-E606-4D21-97B6-A3E29252B6CC}" name="Column14163"/>
    <tableColumn id="14166" xr3:uid="{AB9D9DCB-875E-4D2C-9D60-EA09C02DBB97}" name="Column14164"/>
    <tableColumn id="14167" xr3:uid="{6D797608-5EC5-432D-A36C-F7EF9290B51E}" name="Column14165"/>
    <tableColumn id="14168" xr3:uid="{5A2143DE-3164-49BB-AD58-349B3AD0EB76}" name="Column14166"/>
    <tableColumn id="14169" xr3:uid="{7F30457D-68F2-46B7-B243-C2D55D9BDB1E}" name="Column14167"/>
    <tableColumn id="14170" xr3:uid="{96DFD7AA-63CE-46D4-B61C-3D7AE1A95F49}" name="Column14168"/>
    <tableColumn id="14171" xr3:uid="{39AEA800-584A-4C7D-AD03-3285D39264CC}" name="Column14169"/>
    <tableColumn id="14172" xr3:uid="{1ABFB411-8849-402F-B309-2C1425198D66}" name="Column14170"/>
    <tableColumn id="14173" xr3:uid="{017300E4-CB6E-4411-BE6C-C4EC7D95972D}" name="Column14171"/>
    <tableColumn id="14174" xr3:uid="{A8E66A03-C584-4642-92FF-491AD8B6C6CF}" name="Column14172"/>
    <tableColumn id="14175" xr3:uid="{E0230118-68DD-4A78-B6CB-1A7CCB8AAE04}" name="Column14173"/>
    <tableColumn id="14176" xr3:uid="{4D4A8C53-60DA-4B63-8548-CC4AC4D406BC}" name="Column14174"/>
    <tableColumn id="14177" xr3:uid="{D33AB16F-4B69-499F-A3C7-465F4702E455}" name="Column14175"/>
    <tableColumn id="14178" xr3:uid="{4BF6D1FD-56CA-435B-8E09-1C9CAACBE3B9}" name="Column14176"/>
    <tableColumn id="14179" xr3:uid="{E765F670-39C7-483E-8EF9-A1835B8549E8}" name="Column14177"/>
    <tableColumn id="14180" xr3:uid="{2A828C26-EE21-4CD6-8DE4-E9B501667EA7}" name="Column14178"/>
    <tableColumn id="14181" xr3:uid="{7CA5257B-1204-48AA-9834-9D8B8B9FAFC4}" name="Column14179"/>
    <tableColumn id="14182" xr3:uid="{27375AA8-3442-4B07-8E62-8FFFA7C522B7}" name="Column14180"/>
    <tableColumn id="14183" xr3:uid="{9BCFBB05-5121-4A65-9FEE-190BB435EEA4}" name="Column14181"/>
    <tableColumn id="14184" xr3:uid="{4AA5D912-AF57-4D2A-A19C-6E9C88E5CABE}" name="Column14182"/>
    <tableColumn id="14185" xr3:uid="{27B694D5-3610-4768-A346-1D1FF21B9570}" name="Column14183"/>
    <tableColumn id="14186" xr3:uid="{53549162-FE65-4BE1-A935-253B18A881E4}" name="Column14184"/>
    <tableColumn id="14187" xr3:uid="{A5EB4994-442E-49A8-ADFB-6087F3F7D2BF}" name="Column14185"/>
    <tableColumn id="14188" xr3:uid="{555CB5F5-90F7-48DF-B858-49D4C3CA728D}" name="Column14186"/>
    <tableColumn id="14189" xr3:uid="{3FD5C724-16C3-492F-AD93-A9367C1D22AE}" name="Column14187"/>
    <tableColumn id="14190" xr3:uid="{9BE8008D-BA40-4A37-BCB1-0EEB22CE1D43}" name="Column14188"/>
    <tableColumn id="14191" xr3:uid="{61B99327-2B97-4965-8871-EA294F497145}" name="Column14189"/>
    <tableColumn id="14192" xr3:uid="{67817455-C205-4F03-ABDA-8661A2925CF7}" name="Column14190"/>
    <tableColumn id="14193" xr3:uid="{26EE692C-AA2A-49E5-A02B-86E64EB3176B}" name="Column14191"/>
    <tableColumn id="14194" xr3:uid="{778E0C54-9D6D-4581-A701-9BF97FB3D96C}" name="Column14192"/>
    <tableColumn id="14195" xr3:uid="{1B1EC69E-392F-4B80-8269-C23FADEA4567}" name="Column14193"/>
    <tableColumn id="14196" xr3:uid="{B9982C59-0BE9-4F74-AAA7-1240FFE31F05}" name="Column14194"/>
    <tableColumn id="14197" xr3:uid="{150F1FE8-7C65-427E-B825-D0BF4F929A77}" name="Column14195"/>
    <tableColumn id="14198" xr3:uid="{22EF1DC9-9B1F-4824-AD8D-2C0AD62E2917}" name="Column14196"/>
    <tableColumn id="14199" xr3:uid="{C3D4573C-AF4E-41B8-9BFF-76C08BB5C563}" name="Column14197"/>
    <tableColumn id="14200" xr3:uid="{0620B7AD-E863-437D-BAC0-5B121728D96E}" name="Column14198"/>
    <tableColumn id="14201" xr3:uid="{F0305EFC-7319-48D2-B1A7-24575C195C27}" name="Column14199"/>
    <tableColumn id="14202" xr3:uid="{3FB6DDCF-04A9-4948-BAB3-20BE9B3F9866}" name="Column14200"/>
    <tableColumn id="14203" xr3:uid="{85A7D745-826B-4B7B-ADE5-B7B9EAF8C8FE}" name="Column14201"/>
    <tableColumn id="14204" xr3:uid="{A6BE56E5-C000-473F-AEEC-A1BDEBA4E7B2}" name="Column14202"/>
    <tableColumn id="14205" xr3:uid="{C637A4A7-4446-4792-8634-8B19CA42FDB0}" name="Column14203"/>
    <tableColumn id="14206" xr3:uid="{1FA567B4-B995-4E02-B9F4-B84D97483444}" name="Column14204"/>
    <tableColumn id="14207" xr3:uid="{EF51A2BB-E0A3-4438-8C63-5620CF6BD043}" name="Column14205"/>
    <tableColumn id="14208" xr3:uid="{0886FDDC-A2CD-4217-8707-9B52A0D2F008}" name="Column14206"/>
    <tableColumn id="14209" xr3:uid="{F5DB4F69-9781-4725-998F-B152882910E9}" name="Column14207"/>
    <tableColumn id="14210" xr3:uid="{33536CE9-197A-4B4D-805B-3F2EA5640556}" name="Column14208"/>
    <tableColumn id="14211" xr3:uid="{73074BD4-A245-44A4-BB44-BFC0284BC59C}" name="Column14209"/>
    <tableColumn id="14212" xr3:uid="{1A81B360-1503-4FB2-87D3-64778CFC62DE}" name="Column14210"/>
    <tableColumn id="14213" xr3:uid="{4BE5FF39-5AFD-49F9-B503-28C9DC67099B}" name="Column14211"/>
    <tableColumn id="14214" xr3:uid="{00AC1EE5-12CC-4121-966C-4B14A41E297C}" name="Column14212"/>
    <tableColumn id="14215" xr3:uid="{73817949-06DD-4C51-8B4D-4BBA0403957C}" name="Column14213"/>
    <tableColumn id="14216" xr3:uid="{9D329CDF-0CB6-48FB-9A5D-B7B13BBBF4A4}" name="Column14214"/>
    <tableColumn id="14217" xr3:uid="{6257DAD3-359B-4914-AC2E-91FBA6746E15}" name="Column14215"/>
    <tableColumn id="14218" xr3:uid="{C19EEEEC-C8E1-4E90-8FF4-581329A4A8BD}" name="Column14216"/>
    <tableColumn id="14219" xr3:uid="{C80555E9-6987-406C-A5E8-7826F9B84100}" name="Column14217"/>
    <tableColumn id="14220" xr3:uid="{60FFB5F1-12D9-44D5-A399-706E8B18B346}" name="Column14218"/>
    <tableColumn id="14221" xr3:uid="{BAF749AD-474E-4E16-932C-4F2919EC6633}" name="Column14219"/>
    <tableColumn id="14222" xr3:uid="{3F1BEBEF-829E-4CAE-9372-D5F63FC381FA}" name="Column14220"/>
    <tableColumn id="14223" xr3:uid="{4C201CF3-14A9-476D-B272-4C10B61326B8}" name="Column14221"/>
    <tableColumn id="14224" xr3:uid="{02FB301B-83C7-4918-B8FD-7D856E98BE28}" name="Column14222"/>
    <tableColumn id="14225" xr3:uid="{85ACB0EC-2C38-4739-863D-C7D9E5C4FDEE}" name="Column14223"/>
    <tableColumn id="14226" xr3:uid="{4DC40FEA-50BD-4B49-89AF-ADA1EC527AC4}" name="Column14224"/>
    <tableColumn id="14227" xr3:uid="{C807DBDB-501D-405B-852F-87C32522ECD4}" name="Column14225"/>
    <tableColumn id="14228" xr3:uid="{47A1045E-A00F-4C54-BEA7-5220E5B2222F}" name="Column14226"/>
    <tableColumn id="14229" xr3:uid="{52E08939-5552-44A4-B4A8-5DBE89132CAF}" name="Column14227"/>
    <tableColumn id="14230" xr3:uid="{8B6B0FF3-CBFE-41F7-866F-C6BA6FE5726A}" name="Column14228"/>
    <tableColumn id="14231" xr3:uid="{1609279F-FADF-4AEE-8CC4-C1F09EFB049E}" name="Column14229"/>
    <tableColumn id="14232" xr3:uid="{3291166B-C360-49E3-B5F5-1CFAB7CE5507}" name="Column14230"/>
    <tableColumn id="14233" xr3:uid="{2F1EF6AD-63F3-4DE1-9CDF-731DEC662880}" name="Column14231"/>
    <tableColumn id="14234" xr3:uid="{1BAB439C-04B5-4009-AE60-572DFFDCDABA}" name="Column14232"/>
    <tableColumn id="14235" xr3:uid="{2D49D71A-636C-4DB9-AE78-EBC65C5B7CC4}" name="Column14233"/>
    <tableColumn id="14236" xr3:uid="{227FF68B-A291-4A7C-AE73-E1946B6F5515}" name="Column14234"/>
    <tableColumn id="14237" xr3:uid="{1FC1174D-668F-4D89-8F20-6E10EA9A1662}" name="Column14235"/>
    <tableColumn id="14238" xr3:uid="{2DB649B4-4547-403B-87FB-78BD871BBBA1}" name="Column14236"/>
    <tableColumn id="14239" xr3:uid="{4BC75CC2-7EB8-4320-AEA2-8F9C88BF5F77}" name="Column14237"/>
    <tableColumn id="14240" xr3:uid="{C1F2B41D-000E-4251-98BB-2E708D38B84A}" name="Column14238"/>
    <tableColumn id="14241" xr3:uid="{A30F907F-F7EE-4EBD-8E46-F9A03F4F633F}" name="Column14239"/>
    <tableColumn id="14242" xr3:uid="{0DDF8BF1-5FF3-4684-AAB6-E00DE6F97B5F}" name="Column14240"/>
    <tableColumn id="14243" xr3:uid="{3632D5F3-7D0D-457F-908C-8D50A0464BC0}" name="Column14241"/>
    <tableColumn id="14244" xr3:uid="{CDF546EF-A37A-4DB7-8405-FC25535F362C}" name="Column14242"/>
    <tableColumn id="14245" xr3:uid="{0F7C66BA-0C88-450B-9565-46761F4A217B}" name="Column14243"/>
    <tableColumn id="14246" xr3:uid="{FC315485-360C-4814-BA14-513A734103DE}" name="Column14244"/>
    <tableColumn id="14247" xr3:uid="{53B35420-E0FF-4EEF-98F3-261CBE362C94}" name="Column14245"/>
    <tableColumn id="14248" xr3:uid="{72A2A2AF-A56C-4111-89DF-320079328D55}" name="Column14246"/>
    <tableColumn id="14249" xr3:uid="{B4250AD2-7F1C-4F5E-89FB-2ED1BFC268D7}" name="Column14247"/>
    <tableColumn id="14250" xr3:uid="{04FBA93D-C5B3-4200-A0CC-12524478214B}" name="Column14248"/>
    <tableColumn id="14251" xr3:uid="{9ABB3BF7-88C3-445F-B012-5F2CA5FFE60E}" name="Column14249"/>
    <tableColumn id="14252" xr3:uid="{7C802CA6-9DEF-4A67-A24E-E7C256C15148}" name="Column14250"/>
    <tableColumn id="14253" xr3:uid="{9FE8F3A6-E38B-4C71-AA90-C5F2B70EDBE6}" name="Column14251"/>
    <tableColumn id="14254" xr3:uid="{6672C3EC-9209-497B-94A2-98C15A738AAD}" name="Column14252"/>
    <tableColumn id="14255" xr3:uid="{EA9010FB-9F68-4B72-9C5F-A234B8A0DFF5}" name="Column14253"/>
    <tableColumn id="14256" xr3:uid="{19E0BCF3-8C32-49BC-8B93-F3B0C206B765}" name="Column14254"/>
    <tableColumn id="14257" xr3:uid="{3FF531E6-069B-4BD7-B2B7-91205A8BB1FE}" name="Column14255"/>
    <tableColumn id="14258" xr3:uid="{67599051-9024-4941-99AB-60DF88F7F54A}" name="Column14256"/>
    <tableColumn id="14259" xr3:uid="{A4AA9C4F-F70C-4F56-997A-57D178D46C57}" name="Column14257"/>
    <tableColumn id="14260" xr3:uid="{7D50D66F-5EA8-4D39-9A8A-B1245EA8BB82}" name="Column14258"/>
    <tableColumn id="14261" xr3:uid="{48AD3D21-ACC2-40DE-B273-13284F2E31B2}" name="Column14259"/>
    <tableColumn id="14262" xr3:uid="{BE944B40-D66B-4525-BE9E-DF778CC14F79}" name="Column14260"/>
    <tableColumn id="14263" xr3:uid="{2078BBC8-2342-48B7-9E7F-C1EB464EDAF2}" name="Column14261"/>
    <tableColumn id="14264" xr3:uid="{F960907D-73F2-46F7-BB38-1D7135376BF0}" name="Column14262"/>
    <tableColumn id="14265" xr3:uid="{A48F4F55-809F-4D8E-9280-14AA427F2728}" name="Column14263"/>
    <tableColumn id="14266" xr3:uid="{EA8B4AD6-20DA-408A-8842-28733749F607}" name="Column14264"/>
    <tableColumn id="14267" xr3:uid="{59A1DFCC-7372-4639-A041-7BB874DC7D69}" name="Column14265"/>
    <tableColumn id="14268" xr3:uid="{062DD5B6-D0FD-4752-916F-176706B8C9F5}" name="Column14266"/>
    <tableColumn id="14269" xr3:uid="{E957AB3C-5C88-4315-A7DC-5DCF1452CEA9}" name="Column14267"/>
    <tableColumn id="14270" xr3:uid="{79940FF1-B401-4E9D-86DA-71E87CCC6621}" name="Column14268"/>
    <tableColumn id="14271" xr3:uid="{32B6D1D9-0F68-42B1-896B-7E170AD7D2D4}" name="Column14269"/>
    <tableColumn id="14272" xr3:uid="{AA9F321A-A4BB-4CF1-B889-668729D8357A}" name="Column14270"/>
    <tableColumn id="14273" xr3:uid="{C2BD743C-A07D-4B58-A3F9-E718829120AF}" name="Column14271"/>
    <tableColumn id="14274" xr3:uid="{388584C9-9409-462C-A691-0921F55E53B2}" name="Column14272"/>
    <tableColumn id="14275" xr3:uid="{DD079515-A332-43B0-A74B-603B17415C2C}" name="Column14273"/>
    <tableColumn id="14276" xr3:uid="{51C2CBD8-AA9D-44B9-8FAB-AD4618C271F8}" name="Column14274"/>
    <tableColumn id="14277" xr3:uid="{09F219E9-B92C-4FF3-BF30-85295CB6F86B}" name="Column14275"/>
    <tableColumn id="14278" xr3:uid="{3387BFBD-81A2-46BB-BA0C-41CD5C3D8876}" name="Column14276"/>
    <tableColumn id="14279" xr3:uid="{DCE2836E-3143-40F3-AB13-9F26C6909AD9}" name="Column14277"/>
    <tableColumn id="14280" xr3:uid="{82F89D5D-31EE-49B6-B575-046592FD8A22}" name="Column14278"/>
    <tableColumn id="14281" xr3:uid="{4CA1ED06-53DF-48CA-B778-E4291EA59663}" name="Column14279"/>
    <tableColumn id="14282" xr3:uid="{5DAF4D2A-5D01-4F80-B8E8-2DB90022E201}" name="Column14280"/>
    <tableColumn id="14283" xr3:uid="{E6216A74-FB03-4424-8A39-BEC35EF0C9B4}" name="Column14281"/>
    <tableColumn id="14284" xr3:uid="{54AC5F7B-6171-4BCA-A3E9-1545BAE7790E}" name="Column14282"/>
    <tableColumn id="14285" xr3:uid="{2499248E-986E-401B-9AAA-91437D8C06D8}" name="Column14283"/>
    <tableColumn id="14286" xr3:uid="{7980F610-6F6B-4ACF-B1DF-779344FD1AA2}" name="Column14284"/>
    <tableColumn id="14287" xr3:uid="{BE0CA65D-214E-41EA-AAEC-E4C5729AEDEE}" name="Column14285"/>
    <tableColumn id="14288" xr3:uid="{C7D3304C-A3E9-4382-B906-E01FAFE0CEA4}" name="Column14286"/>
    <tableColumn id="14289" xr3:uid="{070BA9CB-A5B5-4CB1-9D10-59D167290B8D}" name="Column14287"/>
    <tableColumn id="14290" xr3:uid="{18500BE9-BA32-4760-9ABD-2413D5A5A660}" name="Column14288"/>
    <tableColumn id="14291" xr3:uid="{D45BF2B2-5FA1-4DE7-A270-B939820081D7}" name="Column14289"/>
    <tableColumn id="14292" xr3:uid="{FE7372ED-4E88-4E25-AA73-BCA66FEB884B}" name="Column14290"/>
    <tableColumn id="14293" xr3:uid="{10DF645A-BE6C-4535-9801-EC07BC1F7A76}" name="Column14291"/>
    <tableColumn id="14294" xr3:uid="{F3F56F13-7112-4781-A31E-A11955DE05DE}" name="Column14292"/>
    <tableColumn id="14295" xr3:uid="{31A01858-5F73-457C-AD9E-47A986226011}" name="Column14293"/>
    <tableColumn id="14296" xr3:uid="{EB0D8B09-2FFB-4760-9B3F-643DB5FB505B}" name="Column14294"/>
    <tableColumn id="14297" xr3:uid="{FF9F0D79-D739-4789-ABF2-FB6DCE1B9458}" name="Column14295"/>
    <tableColumn id="14298" xr3:uid="{B202A617-9998-49B3-9859-50622DC64A64}" name="Column14296"/>
    <tableColumn id="14299" xr3:uid="{7D7BE22A-52B6-4241-997D-D07F9FDDF4F7}" name="Column14297"/>
    <tableColumn id="14300" xr3:uid="{46138306-4778-4886-9135-138CF40EBF12}" name="Column14298"/>
    <tableColumn id="14301" xr3:uid="{AA6584B5-3328-4956-9D41-C8E066C8F73E}" name="Column14299"/>
    <tableColumn id="14302" xr3:uid="{1A822CB9-156C-437B-B746-FBF707094CA3}" name="Column14300"/>
    <tableColumn id="14303" xr3:uid="{9F1ED132-40E3-4E32-95D5-0BA4B6B21621}" name="Column14301"/>
    <tableColumn id="14304" xr3:uid="{98A438A7-69E2-4847-B939-E0830D31DFD5}" name="Column14302"/>
    <tableColumn id="14305" xr3:uid="{23DB0F8C-DAEA-4F47-8CBA-EDC44C18A154}" name="Column14303"/>
    <tableColumn id="14306" xr3:uid="{AFC855FB-35C0-4316-A946-06E33F8D65F2}" name="Column14304"/>
    <tableColumn id="14307" xr3:uid="{43DCCB4D-8309-4ABC-9FE7-208B8BDE0F45}" name="Column14305"/>
    <tableColumn id="14308" xr3:uid="{3A69F8B2-64F4-4927-B628-91535B13F823}" name="Column14306"/>
    <tableColumn id="14309" xr3:uid="{E04AF6A0-2CE5-4BB8-8216-1D76CA65003B}" name="Column14307"/>
    <tableColumn id="14310" xr3:uid="{C0CC73A3-A197-4007-9FDD-74D4C8BC9AEA}" name="Column14308"/>
    <tableColumn id="14311" xr3:uid="{6A803B69-D71F-4E41-B168-6E9764D0C2D5}" name="Column14309"/>
    <tableColumn id="14312" xr3:uid="{FA89A6DD-ACE8-48F4-A4FC-10ED9DD4BECC}" name="Column14310"/>
    <tableColumn id="14313" xr3:uid="{DFF6A7AD-D612-4C3D-9C45-86CE458D968B}" name="Column14311"/>
    <tableColumn id="14314" xr3:uid="{DF0598C4-0267-4D21-BE7B-F2F92B9A3CEE}" name="Column14312"/>
    <tableColumn id="14315" xr3:uid="{8E8CA20A-4B41-446D-A460-2FD9059934E6}" name="Column14313"/>
    <tableColumn id="14316" xr3:uid="{EF683848-EB95-43D6-B58F-760D8ECE03D1}" name="Column14314"/>
    <tableColumn id="14317" xr3:uid="{4C49BEF1-3E99-4B89-BCAC-155E8E80AECF}" name="Column14315"/>
    <tableColumn id="14318" xr3:uid="{1ED962AE-8C3A-4DC2-9443-1B8ED326559B}" name="Column14316"/>
    <tableColumn id="14319" xr3:uid="{8DEA3040-4FA0-4C40-B922-59F4B8660C70}" name="Column14317"/>
    <tableColumn id="14320" xr3:uid="{C7104345-8F4B-46BD-9EC6-D68D4B2B2FE2}" name="Column14318"/>
    <tableColumn id="14321" xr3:uid="{3D6D68A3-D3DC-48EA-84F0-411C6C52E224}" name="Column14319"/>
    <tableColumn id="14322" xr3:uid="{E9009A20-CB8D-4C24-AC7F-BEA1AD55C3B2}" name="Column14320"/>
    <tableColumn id="14323" xr3:uid="{14B2333C-985D-4DA4-9521-727DBA282282}" name="Column14321"/>
    <tableColumn id="14324" xr3:uid="{06F1BF4C-D113-4ADE-988F-3A1DDC7FFF53}" name="Column14322"/>
    <tableColumn id="14325" xr3:uid="{B28FB355-2479-4952-BAA0-7143B67CC977}" name="Column14323"/>
    <tableColumn id="14326" xr3:uid="{B0B0CB69-62D5-4F7E-A6E7-214CE00DDCB4}" name="Column14324"/>
    <tableColumn id="14327" xr3:uid="{AEB9234E-9ACC-4ACD-813E-DC9D1200822F}" name="Column14325"/>
    <tableColumn id="14328" xr3:uid="{88253577-E05A-42D0-B085-047829EC04B1}" name="Column14326"/>
    <tableColumn id="14329" xr3:uid="{C5BA30F3-9FB2-40BA-9560-62A5C0C0AD05}" name="Column14327"/>
    <tableColumn id="14330" xr3:uid="{847EA6CF-2B53-4A32-9A63-F9D7D2D30FD0}" name="Column14328"/>
    <tableColumn id="14331" xr3:uid="{9B933FED-8918-4586-A121-CDED2A0A6B7C}" name="Column14329"/>
    <tableColumn id="14332" xr3:uid="{E5CC69E8-0DD6-41A4-B7EC-9FA6852AC6D4}" name="Column14330"/>
    <tableColumn id="14333" xr3:uid="{50171C00-A92B-46EC-8C46-73F4A1B48C07}" name="Column14331"/>
    <tableColumn id="14334" xr3:uid="{B6169D62-B395-4DB3-BAA5-B64394FDD657}" name="Column14332"/>
    <tableColumn id="14335" xr3:uid="{E5DC44FD-E5C3-4395-965F-FD939ADC8328}" name="Column14333"/>
    <tableColumn id="14336" xr3:uid="{669F9744-2D82-4644-A368-3077FD39D2FF}" name="Column14334"/>
    <tableColumn id="14337" xr3:uid="{DE6E3A89-0277-4695-823A-AC68F9EA90CA}" name="Column14335"/>
    <tableColumn id="14338" xr3:uid="{9954C625-DA1B-499F-B092-0A73A2DCA2B4}" name="Column14336"/>
    <tableColumn id="14339" xr3:uid="{0A268BA6-AD70-4A42-87F2-1B8CF3F782EB}" name="Column14337"/>
    <tableColumn id="14340" xr3:uid="{DB2CD322-7636-4DA7-996B-F5FFC6791D9F}" name="Column14338"/>
    <tableColumn id="14341" xr3:uid="{C0C0DD91-276E-4F81-9ED4-29DBB8A911C2}" name="Column14339"/>
    <tableColumn id="14342" xr3:uid="{538D0222-5EB0-4589-81D3-C18528CB1E27}" name="Column14340"/>
    <tableColumn id="14343" xr3:uid="{9369ADC0-9E1B-4CAD-8967-88483DD6B512}" name="Column14341"/>
    <tableColumn id="14344" xr3:uid="{50F49B7C-CA62-4854-A47E-E346EEEC3900}" name="Column14342"/>
    <tableColumn id="14345" xr3:uid="{DE1D51B7-DED4-4A71-87A3-94CFBE5091D8}" name="Column14343"/>
    <tableColumn id="14346" xr3:uid="{6704386F-0544-4E39-A19B-EA7D1FED44CF}" name="Column14344"/>
    <tableColumn id="14347" xr3:uid="{92356AAD-2F51-48EB-861C-CA25D7C9381B}" name="Column14345"/>
    <tableColumn id="14348" xr3:uid="{40E439CC-89B7-4343-BB97-CEE70975DE59}" name="Column14346"/>
    <tableColumn id="14349" xr3:uid="{5704C38A-6CAE-464B-9FD2-5FA87041BF9A}" name="Column14347"/>
    <tableColumn id="14350" xr3:uid="{86A04668-B307-4759-A463-889165F64FA4}" name="Column14348"/>
    <tableColumn id="14351" xr3:uid="{919A6562-D378-4209-BAD0-508291D6D90A}" name="Column14349"/>
    <tableColumn id="14352" xr3:uid="{AA1F35F7-4A01-476F-AAC0-B3183092D81A}" name="Column14350"/>
    <tableColumn id="14353" xr3:uid="{B2AC2021-5AE7-4A5F-942D-215B8B947C69}" name="Column14351"/>
    <tableColumn id="14354" xr3:uid="{75115317-D5D0-4302-9B29-67A29AF47F6D}" name="Column14352"/>
    <tableColumn id="14355" xr3:uid="{17F0A05A-C42A-4414-B30A-11B2188FE371}" name="Column14353"/>
    <tableColumn id="14356" xr3:uid="{F2697BBD-C16A-44B8-80CA-C696C837C3BE}" name="Column14354"/>
    <tableColumn id="14357" xr3:uid="{14C67E61-9114-4D7F-9E92-60960F47AED2}" name="Column14355"/>
    <tableColumn id="14358" xr3:uid="{9030404B-7F29-455D-9BCC-5BA0253F7F5B}" name="Column14356"/>
    <tableColumn id="14359" xr3:uid="{BD754259-C5D6-4D73-983B-FED57CFFE5EF}" name="Column14357"/>
    <tableColumn id="14360" xr3:uid="{1D190654-38BE-491A-977D-0FD7A37CDEC4}" name="Column14358"/>
    <tableColumn id="14361" xr3:uid="{8D5E1BC0-2DD2-4BBA-B813-6428332738F4}" name="Column14359"/>
    <tableColumn id="14362" xr3:uid="{75982FB5-8CF4-4295-BF95-2887A97AFA7B}" name="Column14360"/>
    <tableColumn id="14363" xr3:uid="{7099CE31-3E60-491B-BA0C-00627BECE2B5}" name="Column14361"/>
    <tableColumn id="14364" xr3:uid="{3C060FC7-13A0-4FF0-B4E3-03DAB3B30401}" name="Column14362"/>
    <tableColumn id="14365" xr3:uid="{9FB075DE-034E-4BD3-AC43-3AFA0C2AB2B0}" name="Column14363"/>
    <tableColumn id="14366" xr3:uid="{82829AF2-B5FD-4417-9AE6-F4B26054A70C}" name="Column14364"/>
    <tableColumn id="14367" xr3:uid="{7C346091-0F1C-4827-AB92-A24792C637D2}" name="Column14365"/>
    <tableColumn id="14368" xr3:uid="{329DAF62-7197-4876-936F-8A729E159741}" name="Column14366"/>
    <tableColumn id="14369" xr3:uid="{C3E3547F-E626-4059-A95B-B481C5125DE9}" name="Column14367"/>
    <tableColumn id="14370" xr3:uid="{BBCA4801-40E3-4D54-A6F8-FEEC2766E6AF}" name="Column14368"/>
    <tableColumn id="14371" xr3:uid="{1882C59B-26C1-48B1-99ED-BC61F5FF559C}" name="Column14369"/>
    <tableColumn id="14372" xr3:uid="{CA3F6153-AC94-4D2E-B115-3D18743CA365}" name="Column14370"/>
    <tableColumn id="14373" xr3:uid="{E2CD587F-012C-445F-A04C-1D01D159A351}" name="Column14371"/>
    <tableColumn id="14374" xr3:uid="{92E5622D-C636-4850-ACC0-CA65FF64BAD2}" name="Column14372"/>
    <tableColumn id="14375" xr3:uid="{ACA42FC9-947E-43F3-8D42-D3FE601B58D5}" name="Column14373"/>
    <tableColumn id="14376" xr3:uid="{D4187A21-04CB-466F-A79A-9E4A23EBF2C9}" name="Column14374"/>
    <tableColumn id="14377" xr3:uid="{10C837A7-694B-4C22-BABD-0BE7AB4E770B}" name="Column14375"/>
    <tableColumn id="14378" xr3:uid="{0110D90E-F772-4EF0-9AA5-D6146064B7D2}" name="Column14376"/>
    <tableColumn id="14379" xr3:uid="{CC9BB238-6627-4894-AD5E-7F517F9F903C}" name="Column14377"/>
    <tableColumn id="14380" xr3:uid="{7B0094EA-9C98-4C9B-A38A-F925F3A100CC}" name="Column14378"/>
    <tableColumn id="14381" xr3:uid="{4065390F-3986-4547-8B2F-BF41C0653759}" name="Column14379"/>
    <tableColumn id="14382" xr3:uid="{E1AE30F3-4B1B-40F7-BD4F-E1609565FFB2}" name="Column14380"/>
    <tableColumn id="14383" xr3:uid="{852DF5BA-B0FC-4EF8-B1DC-2764955BB2FF}" name="Column14381"/>
    <tableColumn id="14384" xr3:uid="{250DF479-1D1B-481D-A5B4-3A74702F9AED}" name="Column14382"/>
    <tableColumn id="14385" xr3:uid="{F869C953-6DA2-499A-8148-1EB32EFBFDC9}" name="Column14383"/>
    <tableColumn id="14386" xr3:uid="{3B507297-7580-4346-966B-B562DDC68855}" name="Column14384"/>
    <tableColumn id="14387" xr3:uid="{818AC082-01BC-4CAB-9164-AB3BE720FDAC}" name="Column14385"/>
    <tableColumn id="14388" xr3:uid="{941E8FA4-278A-43AE-8842-1DADA8C8B94D}" name="Column14386"/>
    <tableColumn id="14389" xr3:uid="{371EA2A9-50B1-4155-832A-6D4827FC34C7}" name="Column14387"/>
    <tableColumn id="14390" xr3:uid="{A1E51711-4A96-4D78-8052-DCB9EBDC82C9}" name="Column14388"/>
    <tableColumn id="14391" xr3:uid="{2D39E53C-C03A-4C46-AA42-76BAD7551C5A}" name="Column14389"/>
    <tableColumn id="14392" xr3:uid="{AD8BC939-0661-438A-A1FC-418739246792}" name="Column14390"/>
    <tableColumn id="14393" xr3:uid="{4CFD4272-A856-4CA0-9D20-CA4EB00218BF}" name="Column14391"/>
    <tableColumn id="14394" xr3:uid="{6040B27E-A485-4614-AEFD-E2F2F5C96A86}" name="Column14392"/>
    <tableColumn id="14395" xr3:uid="{12D3A3CA-A64E-4626-ABAA-28B79098A457}" name="Column14393"/>
    <tableColumn id="14396" xr3:uid="{D948D8D1-C28A-471E-9564-49CB0E075372}" name="Column14394"/>
    <tableColumn id="14397" xr3:uid="{DBC94638-D8D3-49B9-83A6-949F58D11115}" name="Column14395"/>
    <tableColumn id="14398" xr3:uid="{8D187A3B-8F96-413D-9477-277129AE923B}" name="Column14396"/>
    <tableColumn id="14399" xr3:uid="{EF85C481-D5BD-4915-A1CE-6AAE8AA6DD0F}" name="Column14397"/>
    <tableColumn id="14400" xr3:uid="{27856CE3-BE95-48F3-90C5-05DDF8837FD6}" name="Column14398"/>
    <tableColumn id="14401" xr3:uid="{455BD790-54A8-42C7-AEE4-7D0FE6425C28}" name="Column14399"/>
    <tableColumn id="14402" xr3:uid="{84282607-7B61-43C7-B22E-2600CAB426E0}" name="Column14400"/>
    <tableColumn id="14403" xr3:uid="{90D99CCB-AD22-4B77-95AB-31B57E9EF576}" name="Column14401"/>
    <tableColumn id="14404" xr3:uid="{86C238CA-B6BE-4EA6-AC08-621E92F5E32D}" name="Column14402"/>
    <tableColumn id="14405" xr3:uid="{9BFF03CF-F228-49FE-984D-6FDCB47840E3}" name="Column14403"/>
    <tableColumn id="14406" xr3:uid="{F905A5ED-B8E6-4F1D-A142-E4ED6AC36EE2}" name="Column14404"/>
    <tableColumn id="14407" xr3:uid="{58ABA079-0892-45FD-8AE7-39879020D92A}" name="Column14405"/>
    <tableColumn id="14408" xr3:uid="{CE818307-10BF-4E75-96E8-28BA5F9276C2}" name="Column14406"/>
    <tableColumn id="14409" xr3:uid="{421C553C-0FD6-486A-9EEE-DDFE5E6F18D4}" name="Column14407"/>
    <tableColumn id="14410" xr3:uid="{BCA0FABB-3253-44D4-865E-EEA98062D447}" name="Column14408"/>
    <tableColumn id="14411" xr3:uid="{169BCF0E-F9E2-41ED-BA2F-20704526F1CB}" name="Column14409"/>
    <tableColumn id="14412" xr3:uid="{F0B20EA6-951D-4AA5-80F7-A752B8D8158A}" name="Column14410"/>
    <tableColumn id="14413" xr3:uid="{70655575-65F2-4C3D-8DE1-23F82010B766}" name="Column14411"/>
    <tableColumn id="14414" xr3:uid="{C99F7A30-EEF5-43E7-B282-8DB2F05BFADE}" name="Column14412"/>
    <tableColumn id="14415" xr3:uid="{83A876B0-44DC-43A0-8201-AEB201A04916}" name="Column14413"/>
    <tableColumn id="14416" xr3:uid="{7B034400-EBCD-4B95-8280-09E089F16A4C}" name="Column14414"/>
    <tableColumn id="14417" xr3:uid="{B0AC7F82-1339-49E9-AE88-E9F62A85847B}" name="Column14415"/>
    <tableColumn id="14418" xr3:uid="{08726775-FEA7-4862-BEA6-7BA12C35E03E}" name="Column14416"/>
    <tableColumn id="14419" xr3:uid="{8E40C244-B231-4292-941B-1733FEEE7CED}" name="Column14417"/>
    <tableColumn id="14420" xr3:uid="{249171E7-6DD0-45AD-8B90-D014E3121819}" name="Column14418"/>
    <tableColumn id="14421" xr3:uid="{D945AA3A-D302-4B9F-AED5-439D05799DE2}" name="Column14419"/>
    <tableColumn id="14422" xr3:uid="{4B1B6198-828E-44E6-B0D2-6748A4A15538}" name="Column14420"/>
    <tableColumn id="14423" xr3:uid="{EBAEFD96-3AF4-4A6B-A50F-1321A35AC517}" name="Column14421"/>
    <tableColumn id="14424" xr3:uid="{68FA3DAE-09C4-4280-B245-4FA967A8457D}" name="Column14422"/>
    <tableColumn id="14425" xr3:uid="{4DDD6FC0-BD1C-4C3F-AC15-95373C78F4C6}" name="Column14423"/>
    <tableColumn id="14426" xr3:uid="{33CD36C6-DA31-419D-93B5-56DD0080ACF9}" name="Column14424"/>
    <tableColumn id="14427" xr3:uid="{BFE2CB28-9B30-4B60-99DC-C12FFFD176DC}" name="Column14425"/>
    <tableColumn id="14428" xr3:uid="{BF085B07-8C3A-4087-8883-CA1379DE8873}" name="Column14426"/>
    <tableColumn id="14429" xr3:uid="{D45B6A99-60ED-4DE3-AF7F-4511DB7C8A7F}" name="Column14427"/>
    <tableColumn id="14430" xr3:uid="{9BD70449-328D-4D8A-A2A4-C0C248B2C5A1}" name="Column14428"/>
    <tableColumn id="14431" xr3:uid="{FF1A0F55-76FE-4286-A331-7A9F44E890A9}" name="Column14429"/>
    <tableColumn id="14432" xr3:uid="{2FC95920-4821-4D45-8F2D-DA1A3B54F92F}" name="Column14430"/>
    <tableColumn id="14433" xr3:uid="{87017A48-3E5B-4FC1-BD6F-64A3449780D2}" name="Column14431"/>
    <tableColumn id="14434" xr3:uid="{E0260DF5-E7D7-40BF-AEAE-9ED7398C92D0}" name="Column14432"/>
    <tableColumn id="14435" xr3:uid="{78FBA022-75A4-49B7-A8D5-34279E538BD5}" name="Column14433"/>
    <tableColumn id="14436" xr3:uid="{B4B387CE-FF32-4BBD-8DCC-F365F388065C}" name="Column14434"/>
    <tableColumn id="14437" xr3:uid="{280D2760-99BC-4351-84F9-F579A1EFAA57}" name="Column14435"/>
    <tableColumn id="14438" xr3:uid="{6D79B801-6682-46CF-AA36-9C52948D27CC}" name="Column14436"/>
    <tableColumn id="14439" xr3:uid="{73591E43-CA1F-4B85-B352-A3598765538A}" name="Column14437"/>
    <tableColumn id="14440" xr3:uid="{A6B71C32-C0A7-43D7-B3E5-70FB9238A2DF}" name="Column14438"/>
    <tableColumn id="14441" xr3:uid="{49C3FC6B-FF50-4613-9F7E-505EF7BE4ADB}" name="Column14439"/>
    <tableColumn id="14442" xr3:uid="{CAC33A03-BB51-4089-8A47-4937815B9A4A}" name="Column14440"/>
    <tableColumn id="14443" xr3:uid="{96B37CF7-B8FB-4406-BA76-6C07DC2B5A7F}" name="Column14441"/>
    <tableColumn id="14444" xr3:uid="{E5CD144B-F3D6-453D-90F5-FCF32E3AEB2F}" name="Column14442"/>
    <tableColumn id="14445" xr3:uid="{91E58B1D-7159-4415-82EF-1E22B26B1541}" name="Column14443"/>
    <tableColumn id="14446" xr3:uid="{71ACC3FB-7EED-411D-A77A-0E38ABBE6F2F}" name="Column14444"/>
    <tableColumn id="14447" xr3:uid="{D0C4433E-3B2C-4DF3-BE27-351FF9832CDF}" name="Column14445"/>
    <tableColumn id="14448" xr3:uid="{67AB2FE1-BFD9-4BB0-BBFF-4C3DECD7345E}" name="Column14446"/>
    <tableColumn id="14449" xr3:uid="{B333ACDA-1C30-4A42-BF55-E661F43C2FB5}" name="Column14447"/>
    <tableColumn id="14450" xr3:uid="{3EDE35CA-EE5E-43CD-9DFF-934BA8B69961}" name="Column14448"/>
    <tableColumn id="14451" xr3:uid="{6A4E6931-AB91-4667-98D2-ACEFC91227E0}" name="Column14449"/>
    <tableColumn id="14452" xr3:uid="{A60098C2-D28C-4F26-B566-9E884316F26F}" name="Column14450"/>
    <tableColumn id="14453" xr3:uid="{FE4696FF-70E7-4D83-B47D-B4EAFD24A521}" name="Column14451"/>
    <tableColumn id="14454" xr3:uid="{92850AFD-BB39-45A3-B8C2-31F948FD01A1}" name="Column14452"/>
    <tableColumn id="14455" xr3:uid="{08F5AF2E-C2E4-44EA-820F-88326C55E68E}" name="Column14453"/>
    <tableColumn id="14456" xr3:uid="{7F91ED36-AB44-4DA9-BA9E-3D63D99882D1}" name="Column14454"/>
    <tableColumn id="14457" xr3:uid="{6D493F19-804A-40F6-97F2-C99076C8787A}" name="Column14455"/>
    <tableColumn id="14458" xr3:uid="{4799B4A2-FB82-44ED-9D9C-27321D86859A}" name="Column14456"/>
    <tableColumn id="14459" xr3:uid="{3E2A025F-CB1E-47C7-8D69-B3725C841485}" name="Column14457"/>
    <tableColumn id="14460" xr3:uid="{1FFAF8E9-27CD-4A4B-860A-D7C38B9EB24E}" name="Column14458"/>
    <tableColumn id="14461" xr3:uid="{1B83AE1C-5855-4B7F-9D1C-2CA7A26BA24D}" name="Column14459"/>
    <tableColumn id="14462" xr3:uid="{E9127FAD-AB17-4E5A-8E51-332EE797E794}" name="Column14460"/>
    <tableColumn id="14463" xr3:uid="{EC315B21-12F4-4F80-8578-2A23450C7DE1}" name="Column14461"/>
    <tableColumn id="14464" xr3:uid="{17FB9427-C8C2-4E13-BE44-955399272D15}" name="Column14462"/>
    <tableColumn id="14465" xr3:uid="{903567FF-FE8A-4F9A-BC6F-8708E96B64D6}" name="Column14463"/>
    <tableColumn id="14466" xr3:uid="{699EC190-4A3E-433F-9A5C-2A8008648CA7}" name="Column14464"/>
    <tableColumn id="14467" xr3:uid="{9C063079-206F-4D5D-BDE6-E7440C15D07C}" name="Column14465"/>
    <tableColumn id="14468" xr3:uid="{54B96464-8DF2-47CD-9B57-B6887F896D08}" name="Column14466"/>
    <tableColumn id="14469" xr3:uid="{3A522929-9170-4A0E-93EB-FC6EF496863E}" name="Column14467"/>
    <tableColumn id="14470" xr3:uid="{5DD83737-6811-4705-9862-D57C36E0E965}" name="Column14468"/>
    <tableColumn id="14471" xr3:uid="{430B2D16-6718-4875-8ECC-A9A2929BA5C2}" name="Column14469"/>
    <tableColumn id="14472" xr3:uid="{14C11026-61F6-443A-B3EA-8476F22A4155}" name="Column14470"/>
    <tableColumn id="14473" xr3:uid="{694D51A1-D637-4C58-BA0A-F888F8BD1FAB}" name="Column14471"/>
    <tableColumn id="14474" xr3:uid="{963F6BC7-DB03-406E-9BF7-023FC611DD6D}" name="Column14472"/>
    <tableColumn id="14475" xr3:uid="{453504D3-04DE-44E0-A33F-4E296D42FE45}" name="Column14473"/>
    <tableColumn id="14476" xr3:uid="{0D006C67-41B5-4E9F-9477-AB50E191C42D}" name="Column14474"/>
    <tableColumn id="14477" xr3:uid="{88C8E7B2-AFBF-4ED2-A35A-2EE860C3CAD0}" name="Column14475"/>
    <tableColumn id="14478" xr3:uid="{2CA2B06D-A5F0-4E1A-BCA5-E498DC3F87C5}" name="Column14476"/>
    <tableColumn id="14479" xr3:uid="{A4697D47-D353-4347-9722-32C6FC76E3EB}" name="Column14477"/>
    <tableColumn id="14480" xr3:uid="{473AD44D-7156-444B-860C-AF76D042E0A0}" name="Column14478"/>
    <tableColumn id="14481" xr3:uid="{670BF523-C38C-46C2-9DA6-F5FE953A0056}" name="Column14479"/>
    <tableColumn id="14482" xr3:uid="{1D08407A-95B7-4330-840E-361566E7659D}" name="Column14480"/>
    <tableColumn id="14483" xr3:uid="{0B663B73-BDEA-42F2-B62F-85B568A44DCD}" name="Column14481"/>
    <tableColumn id="14484" xr3:uid="{8B5091A6-600C-4145-8D51-C7CA8AE21316}" name="Column14482"/>
    <tableColumn id="14485" xr3:uid="{AA929AA6-EFBA-494C-A3CB-161924A97159}" name="Column14483"/>
    <tableColumn id="14486" xr3:uid="{B0BE7F0C-B278-4181-89B4-6C3DAB3CA0EE}" name="Column14484"/>
    <tableColumn id="14487" xr3:uid="{6A1CC26A-047E-446A-999B-FB442E64E9B4}" name="Column14485"/>
    <tableColumn id="14488" xr3:uid="{1512B306-DEA4-4B36-9146-2E5F6A826410}" name="Column14486"/>
    <tableColumn id="14489" xr3:uid="{3AB484EF-6C8C-4D17-9E5C-03889A7CF5E0}" name="Column14487"/>
    <tableColumn id="14490" xr3:uid="{44D2299E-8F0F-40BB-A639-212A0CF28EF5}" name="Column14488"/>
    <tableColumn id="14491" xr3:uid="{5EF7300E-5690-4AA3-8489-2959CF5100EA}" name="Column14489"/>
    <tableColumn id="14492" xr3:uid="{540F3748-90EF-4AD3-83F8-430178532A54}" name="Column14490"/>
    <tableColumn id="14493" xr3:uid="{554F7119-E68D-460A-9029-EDBFD84D0854}" name="Column14491"/>
    <tableColumn id="14494" xr3:uid="{16625FBF-9F29-4D39-B462-8A0918F4B8A8}" name="Column14492"/>
    <tableColumn id="14495" xr3:uid="{FC93F819-0052-4A38-8487-AA85D941AFD1}" name="Column14493"/>
    <tableColumn id="14496" xr3:uid="{CEA1D332-0471-4ED0-AD5B-FE6478E57EFD}" name="Column14494"/>
    <tableColumn id="14497" xr3:uid="{06806084-0936-4AA8-9D6D-0C6984F92A46}" name="Column14495"/>
    <tableColumn id="14498" xr3:uid="{428FB7B5-6931-4F38-A830-90D41BA4D5EF}" name="Column14496"/>
    <tableColumn id="14499" xr3:uid="{6FDCC5EA-BB9E-4DC2-B0AA-979E4128036F}" name="Column14497"/>
    <tableColumn id="14500" xr3:uid="{571B1AF3-1C7B-4B93-B9DE-2B6DD88F94EB}" name="Column14498"/>
    <tableColumn id="14501" xr3:uid="{CBCA67CA-958E-4C89-B4D7-0F0B57C83992}" name="Column14499"/>
    <tableColumn id="14502" xr3:uid="{B222B20B-698E-47A6-B7E2-27C547CC90C6}" name="Column14500"/>
    <tableColumn id="14503" xr3:uid="{15265321-E818-4262-9FE6-D16F013FE18A}" name="Column14501"/>
    <tableColumn id="14504" xr3:uid="{822AB200-AD4E-4DB2-8CFD-951138258530}" name="Column14502"/>
    <tableColumn id="14505" xr3:uid="{35681022-8020-4485-9284-3AD2AF57A0A7}" name="Column14503"/>
    <tableColumn id="14506" xr3:uid="{86E19DAD-FB0C-417E-A6CA-0D96869F0F73}" name="Column14504"/>
    <tableColumn id="14507" xr3:uid="{1759ABDB-CAF9-48E9-9EAA-F10093E483BD}" name="Column14505"/>
    <tableColumn id="14508" xr3:uid="{083A8F0A-FE12-419C-862A-D055CB5AD44A}" name="Column14506"/>
    <tableColumn id="14509" xr3:uid="{38C4A971-837B-45B3-8B2F-A6923527E15F}" name="Column14507"/>
    <tableColumn id="14510" xr3:uid="{2D00B5A6-01CC-4CAE-8ADE-FE1D4DF1A860}" name="Column14508"/>
    <tableColumn id="14511" xr3:uid="{7E0A7C26-CDD0-4011-A1E7-011C86EE0D15}" name="Column14509"/>
    <tableColumn id="14512" xr3:uid="{66CCAB62-26C3-4F7F-AB99-B5BBA5D91161}" name="Column14510"/>
    <tableColumn id="14513" xr3:uid="{72C399F4-8A8B-4AF6-860C-084F9D70004B}" name="Column14511"/>
    <tableColumn id="14514" xr3:uid="{DE8A13B9-0151-4F37-9A69-567A5A2DAFFA}" name="Column14512"/>
    <tableColumn id="14515" xr3:uid="{53EE0CBB-646E-4EDD-A8AA-39E14D450D96}" name="Column14513"/>
    <tableColumn id="14516" xr3:uid="{DE378C1B-FA61-4A97-A76D-27DC180C86A9}" name="Column14514"/>
    <tableColumn id="14517" xr3:uid="{CC2E0DA5-0D11-4986-B85E-CA280171FC05}" name="Column14515"/>
    <tableColumn id="14518" xr3:uid="{E735782A-5ACA-4299-BEDF-2654FE1C57ED}" name="Column14516"/>
    <tableColumn id="14519" xr3:uid="{B87E81CC-D0D6-45DE-84E2-AFB588774A7D}" name="Column14517"/>
    <tableColumn id="14520" xr3:uid="{7B12835B-AA7E-469B-87BA-C534381EB579}" name="Column14518"/>
    <tableColumn id="14521" xr3:uid="{E9965049-FFBE-4331-98B5-50DCFB48DF02}" name="Column14519"/>
    <tableColumn id="14522" xr3:uid="{5645EEA7-D40E-4E62-8B17-38C0197358F5}" name="Column14520"/>
    <tableColumn id="14523" xr3:uid="{D47F6E3F-7ED0-4AC1-8941-9142E58964EA}" name="Column14521"/>
    <tableColumn id="14524" xr3:uid="{8DA19171-3451-4B05-80AA-54238B839E4D}" name="Column14522"/>
    <tableColumn id="14525" xr3:uid="{1512BBCB-D256-421D-9039-A5109E0D672B}" name="Column14523"/>
    <tableColumn id="14526" xr3:uid="{B19F153A-9551-43A4-B366-3860818BE3CB}" name="Column14524"/>
    <tableColumn id="14527" xr3:uid="{57F78B16-5037-498E-A5C5-47A320D1CCFF}" name="Column14525"/>
    <tableColumn id="14528" xr3:uid="{BF51C1DB-F080-4E46-843D-0D412F6CDB63}" name="Column14526"/>
    <tableColumn id="14529" xr3:uid="{961069CF-4475-4E0B-A9EA-B10CA25E430A}" name="Column14527"/>
    <tableColumn id="14530" xr3:uid="{043D368E-F316-4636-9E48-4112EF8EF6E9}" name="Column14528"/>
    <tableColumn id="14531" xr3:uid="{C40DEA12-B2BF-46C3-A70D-1DAC86444765}" name="Column14529"/>
    <tableColumn id="14532" xr3:uid="{59AA3F39-1EF9-454A-9189-F2D77B3594F6}" name="Column14530"/>
    <tableColumn id="14533" xr3:uid="{E4580E3F-333E-4722-8DFB-4829F3CF2282}" name="Column14531"/>
    <tableColumn id="14534" xr3:uid="{C827837C-289B-4205-80A9-695596753D60}" name="Column14532"/>
    <tableColumn id="14535" xr3:uid="{9194FD01-1F7C-4C58-8FE5-445D62CDCD7B}" name="Column14533"/>
    <tableColumn id="14536" xr3:uid="{54D3AFA0-FAD0-4033-9EC3-B63B9BBA59CC}" name="Column14534"/>
    <tableColumn id="14537" xr3:uid="{7ACE4C1B-3504-429F-97F4-A887A64C36E6}" name="Column14535"/>
    <tableColumn id="14538" xr3:uid="{B48A697C-DC2C-474C-9A7D-AFF645E962ED}" name="Column14536"/>
    <tableColumn id="14539" xr3:uid="{D20FA2F4-26D7-4257-86CC-121F9E813683}" name="Column14537"/>
    <tableColumn id="14540" xr3:uid="{68F04A5A-906F-495C-90B2-59E7A1E41599}" name="Column14538"/>
    <tableColumn id="14541" xr3:uid="{A95FC74D-91D0-43DF-AB92-D1F78DAAA203}" name="Column14539"/>
    <tableColumn id="14542" xr3:uid="{CD515872-2887-4287-ABB4-07475AA27A4F}" name="Column14540"/>
    <tableColumn id="14543" xr3:uid="{2C84B4E3-E307-413E-9154-7FFB82F150BB}" name="Column14541"/>
    <tableColumn id="14544" xr3:uid="{C3EE0086-0ECB-4949-ACBF-76572F845419}" name="Column14542"/>
    <tableColumn id="14545" xr3:uid="{AC005BFD-6A2A-4C3A-A832-4047E622A11D}" name="Column14543"/>
    <tableColumn id="14546" xr3:uid="{6B818534-C998-4E22-862E-8266C5655B42}" name="Column14544"/>
    <tableColumn id="14547" xr3:uid="{69DEE5C0-B740-455A-A5FF-FFA5B33ED78F}" name="Column14545"/>
    <tableColumn id="14548" xr3:uid="{DF6009FF-05BB-4246-A0FD-C32CAF5EDF95}" name="Column14546"/>
    <tableColumn id="14549" xr3:uid="{1C188392-FE28-40D3-BC83-11F4689807E4}" name="Column14547"/>
    <tableColumn id="14550" xr3:uid="{35891F52-1F24-4E8B-9825-76097B43FA0B}" name="Column14548"/>
    <tableColumn id="14551" xr3:uid="{6E49E668-069B-4233-9CB5-B2E7EC63B186}" name="Column14549"/>
    <tableColumn id="14552" xr3:uid="{51A89F46-D7B6-4CF1-9C43-5F4C3BA73824}" name="Column14550"/>
    <tableColumn id="14553" xr3:uid="{0DDD0F38-5A54-4910-B4CB-13AA0C617379}" name="Column14551"/>
    <tableColumn id="14554" xr3:uid="{D297E3B2-9408-4037-9A0B-78FCA6690EED}" name="Column14552"/>
    <tableColumn id="14555" xr3:uid="{CD04A8E0-3DBC-477B-9DC5-E3EAEE181C08}" name="Column14553"/>
    <tableColumn id="14556" xr3:uid="{FBDE670E-BA7F-445A-B4FD-C47E033A45AA}" name="Column14554"/>
    <tableColumn id="14557" xr3:uid="{AC796823-70D6-4B06-ABBC-1318F88221D8}" name="Column14555"/>
    <tableColumn id="14558" xr3:uid="{80642910-71F5-4440-980B-B5C4DFD485E5}" name="Column14556"/>
    <tableColumn id="14559" xr3:uid="{40FA3E76-2E1C-4A89-A0A3-660D34E04BDD}" name="Column14557"/>
    <tableColumn id="14560" xr3:uid="{FEB33D11-9D59-4659-86D7-D012BB3D9CF8}" name="Column14558"/>
    <tableColumn id="14561" xr3:uid="{F457A8B7-40D9-445A-B7CF-3BCDB9F7A9AC}" name="Column14559"/>
    <tableColumn id="14562" xr3:uid="{D6083CC9-C576-4687-8605-2B02CAD5BF32}" name="Column14560"/>
    <tableColumn id="14563" xr3:uid="{E78374C1-440F-4E27-AF24-791E90F6F9DA}" name="Column14561"/>
    <tableColumn id="14564" xr3:uid="{C0E9F142-388E-45D3-ABF9-77003BD0AC89}" name="Column14562"/>
    <tableColumn id="14565" xr3:uid="{0798012F-1F7D-47E2-8628-E878E8D87293}" name="Column14563"/>
    <tableColumn id="14566" xr3:uid="{365F64EC-9B1F-49A5-97A8-DE488F1B8E0D}" name="Column14564"/>
    <tableColumn id="14567" xr3:uid="{3B210CEE-AE1C-4F7E-A82E-E54F3F37B46F}" name="Column14565"/>
    <tableColumn id="14568" xr3:uid="{EE28BDB9-07F8-426F-AA9A-6F613072F944}" name="Column14566"/>
    <tableColumn id="14569" xr3:uid="{B6465584-C227-49BF-BECD-EE123AFD56A8}" name="Column14567"/>
    <tableColumn id="14570" xr3:uid="{73999E83-8312-4985-B543-C666BD83BA0D}" name="Column14568"/>
    <tableColumn id="14571" xr3:uid="{2E0FD872-EAD0-4FC4-8D83-5B12D1CD8C24}" name="Column14569"/>
    <tableColumn id="14572" xr3:uid="{E951F525-8654-4493-AB30-516FEEEDDF11}" name="Column14570"/>
    <tableColumn id="14573" xr3:uid="{60C0574A-A3C4-409D-8D4E-503E1900E984}" name="Column14571"/>
    <tableColumn id="14574" xr3:uid="{E05E5501-A0BD-4EBC-980E-52699F1E2196}" name="Column14572"/>
    <tableColumn id="14575" xr3:uid="{9F30C520-9E03-49B9-BC39-D9327EB122D5}" name="Column14573"/>
    <tableColumn id="14576" xr3:uid="{DCCA7295-3DF7-45C3-A9CE-5CCA943792AF}" name="Column14574"/>
    <tableColumn id="14577" xr3:uid="{2A4EF0CE-7CD6-4EB2-80EB-5A355DDF99C6}" name="Column14575"/>
    <tableColumn id="14578" xr3:uid="{9021F16F-4FCB-402B-9231-B080B1C595D8}" name="Column14576"/>
    <tableColumn id="14579" xr3:uid="{A21BAE4F-A2AB-4798-9755-43F7ACCD59AA}" name="Column14577"/>
    <tableColumn id="14580" xr3:uid="{C02F02D7-C8CD-4E06-90FC-1731DC627A95}" name="Column14578"/>
    <tableColumn id="14581" xr3:uid="{3BA8D09A-E146-4CB2-A427-6BB78C052C9A}" name="Column14579"/>
    <tableColumn id="14582" xr3:uid="{E20B83B9-0DBB-4969-8828-B2B64959CD72}" name="Column14580"/>
    <tableColumn id="14583" xr3:uid="{318E41DC-F757-46B3-9C64-BCBFABD088CF}" name="Column14581"/>
    <tableColumn id="14584" xr3:uid="{8C029BAC-FE7A-4087-93C3-FC8FF375D805}" name="Column14582"/>
    <tableColumn id="14585" xr3:uid="{B7DCAE9B-DF2D-4B80-AE07-C968FC618AF7}" name="Column14583"/>
    <tableColumn id="14586" xr3:uid="{A7DA9B61-6F1D-4478-BF9E-0901AFBF40CB}" name="Column14584"/>
    <tableColumn id="14587" xr3:uid="{F021319C-900B-4DDB-9712-63144129103C}" name="Column14585"/>
    <tableColumn id="14588" xr3:uid="{92A8F07E-36C5-4185-9DD5-24FF48574479}" name="Column14586"/>
    <tableColumn id="14589" xr3:uid="{54D237A1-C86D-441B-ABBF-88B557ADBD20}" name="Column14587"/>
    <tableColumn id="14590" xr3:uid="{B5337EA1-541A-41F9-9DF4-25F8A659E5A0}" name="Column14588"/>
    <tableColumn id="14591" xr3:uid="{DECE500D-89D8-4E0E-AEA2-3E0707DE496C}" name="Column14589"/>
    <tableColumn id="14592" xr3:uid="{557DFF35-9297-4D1A-959F-3CC110BA175D}" name="Column14590"/>
    <tableColumn id="14593" xr3:uid="{0BAD5DEE-5444-4C38-B87E-2606AD428D04}" name="Column14591"/>
    <tableColumn id="14594" xr3:uid="{4FE0B8F7-AB29-4937-A4D0-FB4FAD6E4043}" name="Column14592"/>
    <tableColumn id="14595" xr3:uid="{D70DCCE4-DEBF-41E6-9E57-BEF6733682EB}" name="Column14593"/>
    <tableColumn id="14596" xr3:uid="{7BFD3168-9768-4692-8B5F-8533ED5226DF}" name="Column14594"/>
    <tableColumn id="14597" xr3:uid="{C1D6EF1D-5AE3-48B5-BC4E-E5963BB291FA}" name="Column14595"/>
    <tableColumn id="14598" xr3:uid="{AD92BA8D-DE0B-464A-A5AA-A2AA2F2A6BBF}" name="Column14596"/>
    <tableColumn id="14599" xr3:uid="{65FEAB8A-C9A3-4AD3-83F7-314A6735032A}" name="Column14597"/>
    <tableColumn id="14600" xr3:uid="{37BA3AD6-FFED-48C0-8D59-0D53D51915CB}" name="Column14598"/>
    <tableColumn id="14601" xr3:uid="{38B609AA-7D63-4E99-B372-7A4CE4EEF368}" name="Column14599"/>
    <tableColumn id="14602" xr3:uid="{779D424A-489C-46FF-B1CB-EB03A1AD3E13}" name="Column14600"/>
    <tableColumn id="14603" xr3:uid="{8EF69B5B-73A5-4458-B71B-8A97C3FC2177}" name="Column14601"/>
    <tableColumn id="14604" xr3:uid="{ED841E49-67F2-4277-9DC8-EF8F24CFBDB4}" name="Column14602"/>
    <tableColumn id="14605" xr3:uid="{C31A43F7-F18A-4284-8EB9-21088DEFE862}" name="Column14603"/>
    <tableColumn id="14606" xr3:uid="{D72EE27F-3AF5-4EC9-9EEC-F2ACD8F02FBD}" name="Column14604"/>
    <tableColumn id="14607" xr3:uid="{F9580AE5-5FC2-4DE6-9618-330DBD42ED97}" name="Column14605"/>
    <tableColumn id="14608" xr3:uid="{DD3C6611-AF08-45E5-BB5D-67F43519F739}" name="Column14606"/>
    <tableColumn id="14609" xr3:uid="{3D05421E-3FD6-49B2-9700-981CF5BC67DA}" name="Column14607"/>
    <tableColumn id="14610" xr3:uid="{54E5E1F5-2C32-41E4-98B3-C6B23E050AE0}" name="Column14608"/>
    <tableColumn id="14611" xr3:uid="{F01B274B-5FF0-42BE-AA3A-623C11554659}" name="Column14609"/>
    <tableColumn id="14612" xr3:uid="{448FEDBE-C63D-4D99-A983-8A65D1B02D1A}" name="Column14610"/>
    <tableColumn id="14613" xr3:uid="{E5BD9C78-D8F2-460F-BC79-365554A0F104}" name="Column14611"/>
    <tableColumn id="14614" xr3:uid="{0848CA07-F839-4268-9CB0-5D130EFE736E}" name="Column14612"/>
    <tableColumn id="14615" xr3:uid="{5B743A9C-1204-4175-89C7-E05ED3AF1CE2}" name="Column14613"/>
    <tableColumn id="14616" xr3:uid="{1EF154AC-D8A1-4BF2-B5AD-B37FC9251095}" name="Column14614"/>
    <tableColumn id="14617" xr3:uid="{3BBF0778-EF4A-4453-A996-3BEE73812219}" name="Column14615"/>
    <tableColumn id="14618" xr3:uid="{807BDD51-5328-4780-B029-3E8F30E055BD}" name="Column14616"/>
    <tableColumn id="14619" xr3:uid="{62F639D2-3029-4F1C-B7DD-4F2953C6F1A6}" name="Column14617"/>
    <tableColumn id="14620" xr3:uid="{15786F56-6CB9-4469-83A3-DC8EFC462563}" name="Column14618"/>
    <tableColumn id="14621" xr3:uid="{C43E1F1E-AF9A-4383-82EA-9FFF0E9951EE}" name="Column14619"/>
    <tableColumn id="14622" xr3:uid="{A0677336-8C33-4694-A72B-7125471A7C06}" name="Column14620"/>
    <tableColumn id="14623" xr3:uid="{7427FFB4-B209-42D6-9A89-E5EE8D2F278F}" name="Column14621"/>
    <tableColumn id="14624" xr3:uid="{26EC754A-CDF4-4E38-8C5A-A1BEC4E29841}" name="Column14622"/>
    <tableColumn id="14625" xr3:uid="{8E7A7558-5016-43DE-BCB0-486E98DAB110}" name="Column14623"/>
    <tableColumn id="14626" xr3:uid="{A486CEA4-5EBB-497F-95FF-A98B0F7E3378}" name="Column14624"/>
    <tableColumn id="14627" xr3:uid="{48DD1419-7463-4349-9D21-70FBF61F4825}" name="Column14625"/>
    <tableColumn id="14628" xr3:uid="{765257E4-23BA-470A-998C-32A5ADE80435}" name="Column14626"/>
    <tableColumn id="14629" xr3:uid="{F1504E77-4F5C-494D-AB59-ED61C9DA0539}" name="Column14627"/>
    <tableColumn id="14630" xr3:uid="{84B5CEEB-DF0A-4983-A466-8FB99C4993DA}" name="Column14628"/>
    <tableColumn id="14631" xr3:uid="{AF278A6A-378D-4910-9C93-A90341C89C1E}" name="Column14629"/>
    <tableColumn id="14632" xr3:uid="{29792387-5F1D-4A87-81FD-A9EDD710F06D}" name="Column14630"/>
    <tableColumn id="14633" xr3:uid="{228ADCCD-985F-45EC-BFDB-D966CF36343E}" name="Column14631"/>
    <tableColumn id="14634" xr3:uid="{46E6E3E0-5C63-4B9D-97FF-C12A655E921A}" name="Column14632"/>
    <tableColumn id="14635" xr3:uid="{2F64AD33-4A90-4300-9AC5-226FA49F3735}" name="Column14633"/>
    <tableColumn id="14636" xr3:uid="{7E1CF7F5-0334-4801-91BE-150B32AB6F51}" name="Column14634"/>
    <tableColumn id="14637" xr3:uid="{B77307C0-CCDE-46D3-A735-FFEB35198A91}" name="Column14635"/>
    <tableColumn id="14638" xr3:uid="{BF0C63FA-EB61-4671-BE0F-6B878DD2FC0A}" name="Column14636"/>
    <tableColumn id="14639" xr3:uid="{E8C846BB-4193-4CBB-B2C9-189E76071F77}" name="Column14637"/>
    <tableColumn id="14640" xr3:uid="{400A9B42-DDD4-4BF4-9362-E51492C7B0E8}" name="Column14638"/>
    <tableColumn id="14641" xr3:uid="{95ED3E1D-AABB-46A8-BE0C-FE8E831303EE}" name="Column14639"/>
    <tableColumn id="14642" xr3:uid="{F26A8392-CD9C-4CFD-B15D-205B8AA63AA8}" name="Column14640"/>
    <tableColumn id="14643" xr3:uid="{679BC9EC-4359-42FF-81B0-D904D4499CE5}" name="Column14641"/>
    <tableColumn id="14644" xr3:uid="{F5D67BA5-799E-4639-9213-79EB004E4E52}" name="Column14642"/>
    <tableColumn id="14645" xr3:uid="{B72B94C3-A44E-4753-B261-724A2A0D9FE5}" name="Column14643"/>
    <tableColumn id="14646" xr3:uid="{3A25B55F-B4D7-4D24-88B1-B968DCF7E60D}" name="Column14644"/>
    <tableColumn id="14647" xr3:uid="{8801597E-8F6B-4CBA-AC1B-E09B687C084D}" name="Column14645"/>
    <tableColumn id="14648" xr3:uid="{9922555A-EFF8-465F-8638-8F5B88EAEF8D}" name="Column14646"/>
    <tableColumn id="14649" xr3:uid="{6E7B8742-8759-4AC9-8BF7-1B28434B1D30}" name="Column14647"/>
    <tableColumn id="14650" xr3:uid="{88954AF0-5E0C-400B-80F7-8838D67A59E3}" name="Column14648"/>
    <tableColumn id="14651" xr3:uid="{3F50659F-6514-4B64-B18E-E09CF5C3AC7A}" name="Column14649"/>
    <tableColumn id="14652" xr3:uid="{601541E6-A2B1-46D1-B33B-16B9854FFD0F}" name="Column14650"/>
    <tableColumn id="14653" xr3:uid="{D9CFCFD7-02AD-4F55-9591-D76363E75D59}" name="Column14651"/>
    <tableColumn id="14654" xr3:uid="{CFBE59EB-27F4-4188-AF56-4831FD16D219}" name="Column14652"/>
    <tableColumn id="14655" xr3:uid="{14B5CA69-877C-4F31-A8D1-E42824F8C329}" name="Column14653"/>
    <tableColumn id="14656" xr3:uid="{BFD00117-58C3-440D-91DC-B643E5EF1B41}" name="Column14654"/>
    <tableColumn id="14657" xr3:uid="{00D35111-C97A-4722-A543-25B4497EF9F6}" name="Column14655"/>
    <tableColumn id="14658" xr3:uid="{C6EA1547-B9CF-428D-8623-7DC20D3D0B1A}" name="Column14656"/>
    <tableColumn id="14659" xr3:uid="{72DC4B2C-CB7F-4BB9-901B-512F13048D89}" name="Column14657"/>
    <tableColumn id="14660" xr3:uid="{1591AEF5-7E45-48C6-9CDD-54729AFD0F38}" name="Column14658"/>
    <tableColumn id="14661" xr3:uid="{685C6D00-CCD2-4E61-86DC-19CCD2883455}" name="Column14659"/>
    <tableColumn id="14662" xr3:uid="{14E35D6E-3609-41EA-B91D-B45FCF2AB5E8}" name="Column14660"/>
    <tableColumn id="14663" xr3:uid="{3488F8B6-6CC4-4A65-A15A-92BF2F325F04}" name="Column14661"/>
    <tableColumn id="14664" xr3:uid="{C5AA0C02-FD24-4768-B606-35FC3F6FCDEA}" name="Column14662"/>
    <tableColumn id="14665" xr3:uid="{C4FBFD08-4D98-402F-A948-976F8F63A1FD}" name="Column14663"/>
    <tableColumn id="14666" xr3:uid="{02AA2185-E4CE-4C0A-A629-D7035D2F98DE}" name="Column14664"/>
    <tableColumn id="14667" xr3:uid="{75F27B48-A4E6-4609-AD06-2E0CCE429D36}" name="Column14665"/>
    <tableColumn id="14668" xr3:uid="{1DB8570C-0CB0-40AF-A367-35D6C0BAFFBF}" name="Column14666"/>
    <tableColumn id="14669" xr3:uid="{818D9EE1-E24F-457F-B966-3A98EC508359}" name="Column14667"/>
    <tableColumn id="14670" xr3:uid="{998AD7EF-D219-4395-ACC3-524D1D389E6F}" name="Column14668"/>
    <tableColumn id="14671" xr3:uid="{3C4F9792-D7D7-4B34-B6CC-8E4F94BE984F}" name="Column14669"/>
    <tableColumn id="14672" xr3:uid="{C4338CCD-1D20-4EE3-895F-569A76B8EC63}" name="Column14670"/>
    <tableColumn id="14673" xr3:uid="{61D61CF2-B88C-4912-A886-BB9BEDF9C478}" name="Column14671"/>
    <tableColumn id="14674" xr3:uid="{B71E0885-073F-45F0-AADC-039815465AA9}" name="Column14672"/>
    <tableColumn id="14675" xr3:uid="{EE83B651-2A0D-48DB-8EEB-C77F8E4B89C5}" name="Column14673"/>
    <tableColumn id="14676" xr3:uid="{ECB6174D-0EFA-4C5D-A03C-5D6DAA960057}" name="Column14674"/>
    <tableColumn id="14677" xr3:uid="{1F44A57C-40F5-40E4-AF81-F9D5C4155558}" name="Column14675"/>
    <tableColumn id="14678" xr3:uid="{3B2724B4-E2CE-4908-820C-71E50902DA50}" name="Column14676"/>
    <tableColumn id="14679" xr3:uid="{53B7ACFA-41CA-4A3D-8C89-8FD60B20CE7F}" name="Column14677"/>
    <tableColumn id="14680" xr3:uid="{A6D3015A-3BA2-416C-B804-A447ABDA336F}" name="Column14678"/>
    <tableColumn id="14681" xr3:uid="{A3593E39-91C3-4A3F-8ED4-9F0C3F02D01A}" name="Column14679"/>
    <tableColumn id="14682" xr3:uid="{AF0EAF95-ECA4-4723-9872-CFFA47E1CA51}" name="Column14680"/>
    <tableColumn id="14683" xr3:uid="{C69DC4D0-653F-44B4-BA61-D69B3051722C}" name="Column14681"/>
    <tableColumn id="14684" xr3:uid="{F663828D-C1BD-4B20-8846-6D7A87D03409}" name="Column14682"/>
    <tableColumn id="14685" xr3:uid="{5964C78F-A4E9-461E-ABAA-7C37D10EF388}" name="Column14683"/>
    <tableColumn id="14686" xr3:uid="{8E726D8C-B659-43A2-B7B0-C0A700A58A92}" name="Column14684"/>
    <tableColumn id="14687" xr3:uid="{092C90DC-B730-4E65-94EC-5E4ECE491A23}" name="Column14685"/>
    <tableColumn id="14688" xr3:uid="{427000E8-E029-4781-B1CB-4C995A059C25}" name="Column14686"/>
    <tableColumn id="14689" xr3:uid="{4903C3DB-EA4C-4D04-B591-6B64C436C051}" name="Column14687"/>
    <tableColumn id="14690" xr3:uid="{2745EF48-988F-41D3-8D77-D9167315110F}" name="Column14688"/>
    <tableColumn id="14691" xr3:uid="{2ADD9247-E5DA-427C-8026-28292291F95E}" name="Column14689"/>
    <tableColumn id="14692" xr3:uid="{3173A629-8C12-4082-8FE4-411B02947203}" name="Column14690"/>
    <tableColumn id="14693" xr3:uid="{A0D436C8-9A98-4EE6-B72E-CC051006DF24}" name="Column14691"/>
    <tableColumn id="14694" xr3:uid="{182A6E34-1ADE-4817-90A2-04CB16115E74}" name="Column14692"/>
    <tableColumn id="14695" xr3:uid="{233D6A0D-3499-4EB6-886A-71C910066F90}" name="Column14693"/>
    <tableColumn id="14696" xr3:uid="{3EB58671-5A75-42E3-9FEE-A1BF3C450794}" name="Column14694"/>
    <tableColumn id="14697" xr3:uid="{21DF7BEB-FAFF-43F2-844E-81513CFFB367}" name="Column14695"/>
    <tableColumn id="14698" xr3:uid="{39C3593B-AAFB-42F5-AE17-206435373834}" name="Column14696"/>
    <tableColumn id="14699" xr3:uid="{95FF84E1-FC77-410B-9EB6-40571E12098D}" name="Column14697"/>
    <tableColumn id="14700" xr3:uid="{82ECC2FB-92B0-4EB4-8B97-F1A04397AAFB}" name="Column14698"/>
    <tableColumn id="14701" xr3:uid="{87E079F8-3CBD-4AB9-B74A-4300C8D1960A}" name="Column14699"/>
    <tableColumn id="14702" xr3:uid="{77525F99-8ED5-4ED6-8096-9F05047F92D8}" name="Column14700"/>
    <tableColumn id="14703" xr3:uid="{B4F23418-77C6-499D-B564-F9418FB23765}" name="Column14701"/>
    <tableColumn id="14704" xr3:uid="{7223BEA4-24D1-4B37-8430-47332D1A0E42}" name="Column14702"/>
    <tableColumn id="14705" xr3:uid="{2BABB5C3-644C-43A3-B2B2-1FFB3591DD21}" name="Column14703"/>
    <tableColumn id="14706" xr3:uid="{38DF4C85-FB70-46EA-9B08-815A0FC7B4D4}" name="Column14704"/>
    <tableColumn id="14707" xr3:uid="{3863A774-EA39-4046-8670-82A0DAF5DD32}" name="Column14705"/>
    <tableColumn id="14708" xr3:uid="{027BCEF2-CEAB-4ABA-A1BB-F9FE0F9B3451}" name="Column14706"/>
    <tableColumn id="14709" xr3:uid="{F0CC013B-642C-41B6-9F1D-7CFFFF76D449}" name="Column14707"/>
    <tableColumn id="14710" xr3:uid="{0453553D-1224-42D8-AC46-9B7B3889713D}" name="Column14708"/>
    <tableColumn id="14711" xr3:uid="{BDB84F8F-BB1E-41E2-946C-C6D3F0B07DCF}" name="Column14709"/>
    <tableColumn id="14712" xr3:uid="{66186641-BD6A-4C33-9907-25F5AD2921BC}" name="Column14710"/>
    <tableColumn id="14713" xr3:uid="{608AE158-AB87-48D4-8BB8-58BA9C81CEFA}" name="Column14711"/>
    <tableColumn id="14714" xr3:uid="{ED26E374-6101-4D88-B86C-D716EB7C5D31}" name="Column14712"/>
    <tableColumn id="14715" xr3:uid="{415AF157-C728-450A-8378-28FD4BECFA67}" name="Column14713"/>
    <tableColumn id="14716" xr3:uid="{9BAF0E84-DCDA-41F9-BF87-A3540740B4B9}" name="Column14714"/>
    <tableColumn id="14717" xr3:uid="{690717C0-4ACA-4145-AF88-1B446628135B}" name="Column14715"/>
    <tableColumn id="14718" xr3:uid="{FA574C9E-16EF-47D3-AEFA-F3C970648162}" name="Column14716"/>
    <tableColumn id="14719" xr3:uid="{B4829EA3-6A55-4138-A100-850284C023FB}" name="Column14717"/>
    <tableColumn id="14720" xr3:uid="{C252B1BE-7376-43FC-BEEA-496BEFC8E48C}" name="Column14718"/>
    <tableColumn id="14721" xr3:uid="{64239A65-B2EC-468D-987B-B579A3742A3B}" name="Column14719"/>
    <tableColumn id="14722" xr3:uid="{65CA8DD6-A32F-4DEA-B0C5-B3D18B2B28EF}" name="Column14720"/>
    <tableColumn id="14723" xr3:uid="{85DD3DD8-B7F5-47FE-91E4-2EE92A21D5ED}" name="Column14721"/>
    <tableColumn id="14724" xr3:uid="{C9CAFDF0-6C04-4B2A-8355-7CBE2D835981}" name="Column14722"/>
    <tableColumn id="14725" xr3:uid="{03B405C6-BFCE-4DFF-BA03-D67FCEA00179}" name="Column14723"/>
    <tableColumn id="14726" xr3:uid="{D3D0D8FC-B6D5-4994-BD46-B5F59A6B6396}" name="Column14724"/>
    <tableColumn id="14727" xr3:uid="{BE583EAB-8051-4567-BDEC-EF0A8477020A}" name="Column14725"/>
    <tableColumn id="14728" xr3:uid="{F71A6A02-7EF7-4BE5-B4AC-963D792F0AF8}" name="Column14726"/>
    <tableColumn id="14729" xr3:uid="{945EE3BC-71A9-440B-95D5-5545A53A2B1D}" name="Column14727"/>
    <tableColumn id="14730" xr3:uid="{E3C486E9-CA83-44F2-95BE-CEE3A06A2DF8}" name="Column14728"/>
    <tableColumn id="14731" xr3:uid="{C125BE0B-74FC-42D5-B84D-14B191DDD075}" name="Column14729"/>
    <tableColumn id="14732" xr3:uid="{16FB2169-EE73-4D3F-9579-66A204022052}" name="Column14730"/>
    <tableColumn id="14733" xr3:uid="{5F9A6AA2-A90C-4163-9763-50B28C794562}" name="Column14731"/>
    <tableColumn id="14734" xr3:uid="{F93D5926-0B62-4FA1-91F6-F99C1C994BCB}" name="Column14732"/>
    <tableColumn id="14735" xr3:uid="{C3B2966E-69E5-4137-B47C-36E6BC720F77}" name="Column14733"/>
    <tableColumn id="14736" xr3:uid="{D08E0332-5527-4F92-B2F0-030109E39648}" name="Column14734"/>
    <tableColumn id="14737" xr3:uid="{9A6A499D-00B9-4B29-B1DC-E430EC1638FB}" name="Column14735"/>
    <tableColumn id="14738" xr3:uid="{092A9584-47F1-4F20-AA49-5029D2AF03CD}" name="Column14736"/>
    <tableColumn id="14739" xr3:uid="{77838B94-F6BB-4E05-841A-A71330A168E1}" name="Column14737"/>
    <tableColumn id="14740" xr3:uid="{D090111A-6D39-4082-A073-1D9BEE74B359}" name="Column14738"/>
    <tableColumn id="14741" xr3:uid="{7BB13087-8CDD-4BBA-9A90-73B1525E9B57}" name="Column14739"/>
    <tableColumn id="14742" xr3:uid="{F0030D77-EAC3-4BE0-881A-29595DDC8CB6}" name="Column14740"/>
    <tableColumn id="14743" xr3:uid="{AC1B6053-429A-4158-9FDC-912CD8550B81}" name="Column14741"/>
    <tableColumn id="14744" xr3:uid="{2C98A237-6CFD-45C2-8772-91BD26CEA7A1}" name="Column14742"/>
    <tableColumn id="14745" xr3:uid="{38437F8C-456C-4752-BDED-802739A961BA}" name="Column14743"/>
    <tableColumn id="14746" xr3:uid="{F78BAB9E-3C41-4CA2-86AA-C71772E33CFB}" name="Column14744"/>
    <tableColumn id="14747" xr3:uid="{654328D1-FF59-431B-A3AA-A8303673D1D8}" name="Column14745"/>
    <tableColumn id="14748" xr3:uid="{3CDDB2A2-1275-4851-9A25-137E50AD2F4B}" name="Column14746"/>
    <tableColumn id="14749" xr3:uid="{66C7C677-7541-49DE-BCDF-37026CDCCF4C}" name="Column14747"/>
    <tableColumn id="14750" xr3:uid="{D6443C29-62F7-40A0-B658-C78438F5AB3C}" name="Column14748"/>
    <tableColumn id="14751" xr3:uid="{D1731190-7E72-415F-B135-3EF9DCC84920}" name="Column14749"/>
    <tableColumn id="14752" xr3:uid="{838A2B90-8E17-474B-B57E-4F72E4D0678D}" name="Column14750"/>
    <tableColumn id="14753" xr3:uid="{5EF7FD97-8797-4E43-8C18-FD6CD2B570BE}" name="Column14751"/>
    <tableColumn id="14754" xr3:uid="{ADD75816-5A31-4C3E-B73C-753132A16A96}" name="Column14752"/>
    <tableColumn id="14755" xr3:uid="{0A3BAA79-4209-48D5-A94F-E9C35EDB4ADA}" name="Column14753"/>
    <tableColumn id="14756" xr3:uid="{59A88289-8735-4E69-BB64-5BF10E000E8A}" name="Column14754"/>
    <tableColumn id="14757" xr3:uid="{DB4F28FF-7874-45C9-97E2-604BAC24E589}" name="Column14755"/>
    <tableColumn id="14758" xr3:uid="{CA1D5F05-6B2F-44D3-9300-4EBA4F94236E}" name="Column14756"/>
    <tableColumn id="14759" xr3:uid="{732C27C3-CECC-418B-8CA8-2ADDC090CA72}" name="Column14757"/>
    <tableColumn id="14760" xr3:uid="{3AD1435C-DEAA-4853-8F09-2699A66FE407}" name="Column14758"/>
    <tableColumn id="14761" xr3:uid="{21EC29CA-B8D7-442B-94AE-C8D6090CE71B}" name="Column14759"/>
    <tableColumn id="14762" xr3:uid="{253CD043-58BF-4E66-AD70-F852DDC366F4}" name="Column14760"/>
    <tableColumn id="14763" xr3:uid="{014A4783-EAF0-437F-925A-22C46EB67188}" name="Column14761"/>
    <tableColumn id="14764" xr3:uid="{6175F0CF-1B9D-4BC2-A455-B720BBCDBC82}" name="Column14762"/>
    <tableColumn id="14765" xr3:uid="{7D6757C2-D877-4ECA-AE7A-4748581FCA32}" name="Column14763"/>
    <tableColumn id="14766" xr3:uid="{BDE4DDBC-F157-4332-9B8B-A124D4C5A6E7}" name="Column14764"/>
    <tableColumn id="14767" xr3:uid="{94B525B9-C2C6-4265-B270-91F36B9C2B2E}" name="Column14765"/>
    <tableColumn id="14768" xr3:uid="{6C77F14E-032E-4A6B-AE4D-92599ACF18BD}" name="Column14766"/>
    <tableColumn id="14769" xr3:uid="{E0EF0624-F7EA-4825-B955-703F75A02206}" name="Column14767"/>
    <tableColumn id="14770" xr3:uid="{9BA4687D-F99A-4210-8A12-4930D3A58DB8}" name="Column14768"/>
    <tableColumn id="14771" xr3:uid="{616E2CDD-7F76-40C8-9D4B-2A68DEB5EEDC}" name="Column14769"/>
    <tableColumn id="14772" xr3:uid="{E89C818F-8AF7-4B45-9B5A-9C7A89D25A3D}" name="Column14770"/>
    <tableColumn id="14773" xr3:uid="{FA2F6538-C1AF-48C8-80AC-4186A94AEA0F}" name="Column14771"/>
    <tableColumn id="14774" xr3:uid="{A8F22722-2957-4AE5-A6BC-9C8B58D4ACAC}" name="Column14772"/>
    <tableColumn id="14775" xr3:uid="{4ADBD288-F3A9-406E-A1C4-CCAC1ACABBE9}" name="Column14773"/>
    <tableColumn id="14776" xr3:uid="{6338DC24-0CF8-4F57-A85E-F417B8B46946}" name="Column14774"/>
    <tableColumn id="14777" xr3:uid="{D388B9A8-3FF0-4306-9B51-A4404601F32A}" name="Column14775"/>
    <tableColumn id="14778" xr3:uid="{040492EF-81E1-4D57-BD94-49AA040E9A88}" name="Column14776"/>
    <tableColumn id="14779" xr3:uid="{0508662A-EDBE-44C9-8E6B-005A419C01DB}" name="Column14777"/>
    <tableColumn id="14780" xr3:uid="{9AF096FD-1547-4A1B-9B4D-5145E8A99959}" name="Column14778"/>
    <tableColumn id="14781" xr3:uid="{7A6D1174-6A8D-4A2D-9828-E8BE32D34219}" name="Column14779"/>
    <tableColumn id="14782" xr3:uid="{4A5FEC4F-7EB7-434F-827C-34E7B4C3C234}" name="Column14780"/>
    <tableColumn id="14783" xr3:uid="{34DB4951-3D88-4067-944E-2D2F881FCB50}" name="Column14781"/>
    <tableColumn id="14784" xr3:uid="{131273F1-DCBE-405F-8AA2-B23C164AEC21}" name="Column14782"/>
    <tableColumn id="14785" xr3:uid="{53CDC145-21AA-4816-B904-A14397B42696}" name="Column14783"/>
    <tableColumn id="14786" xr3:uid="{138B0740-91DD-48B6-8129-91D57572F2E7}" name="Column14784"/>
    <tableColumn id="14787" xr3:uid="{0B26A53E-56D8-427B-8BD1-405B7C81AB34}" name="Column14785"/>
    <tableColumn id="14788" xr3:uid="{193EB50E-F704-4357-A304-C4FF896150ED}" name="Column14786"/>
    <tableColumn id="14789" xr3:uid="{31B90942-AB47-4E5B-9426-01B7BDCBF199}" name="Column14787"/>
    <tableColumn id="14790" xr3:uid="{915E301D-A4D7-466A-9D56-F5CC706013EE}" name="Column14788"/>
    <tableColumn id="14791" xr3:uid="{DE8CB38B-A5D6-4450-89FE-0D9B2157ED1E}" name="Column14789"/>
    <tableColumn id="14792" xr3:uid="{35B938B3-599A-4ADC-81C3-24ECE4EF8A8A}" name="Column14790"/>
    <tableColumn id="14793" xr3:uid="{B09E8DD3-82AC-4FC3-B50E-EAC6FF01627B}" name="Column14791"/>
    <tableColumn id="14794" xr3:uid="{F1195262-A2F5-461E-9900-E32FE9BD1BB6}" name="Column14792"/>
    <tableColumn id="14795" xr3:uid="{AED6A6EE-FD51-49A5-8EEC-7A9237F62EA0}" name="Column14793"/>
    <tableColumn id="14796" xr3:uid="{5CE7947D-593F-4F4A-9476-1BD69D257CCC}" name="Column14794"/>
    <tableColumn id="14797" xr3:uid="{18BDA063-FB8E-44F4-B0B0-58B342AB9143}" name="Column14795"/>
    <tableColumn id="14798" xr3:uid="{53C9A054-332F-40CC-8870-A8D90F8B5113}" name="Column14796"/>
    <tableColumn id="14799" xr3:uid="{DCD7FFC3-0A66-445E-92B8-E7CE968C21F9}" name="Column14797"/>
    <tableColumn id="14800" xr3:uid="{049EE169-C9B0-4F56-97EF-D302F85F459B}" name="Column14798"/>
    <tableColumn id="14801" xr3:uid="{36F4266A-F63D-4420-ADCD-63817773278F}" name="Column14799"/>
    <tableColumn id="14802" xr3:uid="{DDCECBEC-619E-4CC0-A58F-0A400DE2EA54}" name="Column14800"/>
    <tableColumn id="14803" xr3:uid="{9C08206D-B4E1-4B94-90C6-9E3E1D36BA40}" name="Column14801"/>
    <tableColumn id="14804" xr3:uid="{8A9AF347-F8B8-47D8-B417-0204EB53764E}" name="Column14802"/>
    <tableColumn id="14805" xr3:uid="{33C6795A-B45F-4675-A174-D4D33E97C884}" name="Column14803"/>
    <tableColumn id="14806" xr3:uid="{4882BB9C-F7A6-4D5C-8953-9222FF8A0208}" name="Column14804"/>
    <tableColumn id="14807" xr3:uid="{453388F3-CBDE-4335-B8B7-85232B8A44E4}" name="Column14805"/>
    <tableColumn id="14808" xr3:uid="{9DC48B09-9990-40FC-9CDE-E4A9A770FBB7}" name="Column14806"/>
    <tableColumn id="14809" xr3:uid="{35D961D3-8B0D-4649-AF22-D37263FB3132}" name="Column14807"/>
    <tableColumn id="14810" xr3:uid="{DAD3299C-6CED-4D9D-8066-794CDDB66788}" name="Column14808"/>
    <tableColumn id="14811" xr3:uid="{C3646564-840F-4957-9C70-6EC5EDBCB6F8}" name="Column14809"/>
    <tableColumn id="14812" xr3:uid="{7431E9E5-CD2E-4B18-9719-5721015D0261}" name="Column14810"/>
    <tableColumn id="14813" xr3:uid="{AD7B6FC3-B13B-4AFE-82F6-CEEA65481304}" name="Column14811"/>
    <tableColumn id="14814" xr3:uid="{0F0DBDEE-5F7C-4E88-AC66-821CEAC5A5A7}" name="Column14812"/>
    <tableColumn id="14815" xr3:uid="{41705A84-E216-4E50-8090-F25B34536C65}" name="Column14813"/>
    <tableColumn id="14816" xr3:uid="{C73700F6-08E9-41AA-9AA9-C57B973DF1BA}" name="Column14814"/>
    <tableColumn id="14817" xr3:uid="{2CE74869-6158-4148-BADE-472CD32900EF}" name="Column14815"/>
    <tableColumn id="14818" xr3:uid="{345CCBD1-7E5A-4375-91F9-AFC2838831C1}" name="Column14816"/>
    <tableColumn id="14819" xr3:uid="{34CAA279-37E5-4559-BD69-C9540DAC22DA}" name="Column14817"/>
    <tableColumn id="14820" xr3:uid="{BDE579FA-00F2-4726-8228-F7AFED750466}" name="Column14818"/>
    <tableColumn id="14821" xr3:uid="{03CAB0C1-3686-4845-B5EB-3C0D3DA624E9}" name="Column14819"/>
    <tableColumn id="14822" xr3:uid="{310984A3-9931-48D3-9AAF-10DFB1FF7C59}" name="Column14820"/>
    <tableColumn id="14823" xr3:uid="{BE2E265E-81D2-4AC4-8783-05450DAB19F6}" name="Column14821"/>
    <tableColumn id="14824" xr3:uid="{81F04554-DE15-4B2C-BCA4-1AE6AE789354}" name="Column14822"/>
    <tableColumn id="14825" xr3:uid="{614600EE-8B6B-47C2-BFFC-8748DA84007C}" name="Column14823"/>
    <tableColumn id="14826" xr3:uid="{B859AE3D-CB22-481C-AEE1-117E1CE79CAD}" name="Column14824"/>
    <tableColumn id="14827" xr3:uid="{B6BCD0E5-1676-4C22-8A97-AFEF652649E3}" name="Column14825"/>
    <tableColumn id="14828" xr3:uid="{151D1831-75D0-46D8-A8BD-8DFC59A61195}" name="Column14826"/>
    <tableColumn id="14829" xr3:uid="{6B217206-4843-4EB9-9EA8-B772C7892031}" name="Column14827"/>
    <tableColumn id="14830" xr3:uid="{00790551-ABDB-434B-9DB3-C0FA6DE2FF36}" name="Column14828"/>
    <tableColumn id="14831" xr3:uid="{8FD4C819-F0A2-466C-B38B-FA7109AF31F6}" name="Column14829"/>
    <tableColumn id="14832" xr3:uid="{B8BD7004-8921-4C25-849C-460961D9DC9B}" name="Column14830"/>
    <tableColumn id="14833" xr3:uid="{E73EE4FE-5EB8-418B-B5FF-C4F03027B3E7}" name="Column14831"/>
    <tableColumn id="14834" xr3:uid="{8CB3795F-1D66-474B-BE83-53A189F4254B}" name="Column14832"/>
    <tableColumn id="14835" xr3:uid="{AD46D15F-8388-42F0-A761-279F7AD3197D}" name="Column14833"/>
    <tableColumn id="14836" xr3:uid="{6CCA9321-45DB-4DC9-A616-C2C67CB7A667}" name="Column14834"/>
    <tableColumn id="14837" xr3:uid="{87EBD118-7A3A-465E-895E-01421CB33C25}" name="Column14835"/>
    <tableColumn id="14838" xr3:uid="{52FFA026-90F9-4348-9ED6-A91E58D1BDA3}" name="Column14836"/>
    <tableColumn id="14839" xr3:uid="{E2ADC037-E1C1-4EB2-9389-5F27DB7D2C3D}" name="Column14837"/>
    <tableColumn id="14840" xr3:uid="{1DD7F221-EEB1-4386-A555-985B0D760044}" name="Column14838"/>
    <tableColumn id="14841" xr3:uid="{C6594C40-A9D1-40E9-8943-CBDBA5EE21AC}" name="Column14839"/>
    <tableColumn id="14842" xr3:uid="{A2C012ED-A411-401B-B501-25B3452A4324}" name="Column14840"/>
    <tableColumn id="14843" xr3:uid="{76896040-DFD0-4261-8C12-C97812F7B273}" name="Column14841"/>
    <tableColumn id="14844" xr3:uid="{99A30691-543D-4B20-A85E-E012B97C9CE4}" name="Column14842"/>
    <tableColumn id="14845" xr3:uid="{C6F60ADD-01CB-49D5-B7B0-7294FF446CDF}" name="Column14843"/>
    <tableColumn id="14846" xr3:uid="{B0247DD4-6ACA-48D0-BC77-0BE282FA688C}" name="Column14844"/>
    <tableColumn id="14847" xr3:uid="{DEC13E41-259F-4C25-945F-B42D24E5CC2A}" name="Column14845"/>
    <tableColumn id="14848" xr3:uid="{B4F361C0-1080-401C-9542-CECA9855E9A8}" name="Column14846"/>
    <tableColumn id="14849" xr3:uid="{EAD6B22F-D801-4E51-846F-758346C24B9F}" name="Column14847"/>
    <tableColumn id="14850" xr3:uid="{96F56B93-259C-40C7-AF15-5EEC4039A6D0}" name="Column14848"/>
    <tableColumn id="14851" xr3:uid="{89098672-891B-4C6E-A4C4-58DC8E709204}" name="Column14849"/>
    <tableColumn id="14852" xr3:uid="{4220708A-733D-4FDB-812A-F512CD66C2CE}" name="Column14850"/>
    <tableColumn id="14853" xr3:uid="{A6E70FC4-489A-442F-B589-CE9A8C7D3135}" name="Column14851"/>
    <tableColumn id="14854" xr3:uid="{DE256BA1-209A-49F1-8AAA-CDE2D33B5A07}" name="Column14852"/>
    <tableColumn id="14855" xr3:uid="{8086D9AA-1E21-4873-8828-30817B7579CA}" name="Column14853"/>
    <tableColumn id="14856" xr3:uid="{1307C9DE-F9FD-421F-AE1B-3294AD5DDAC4}" name="Column14854"/>
    <tableColumn id="14857" xr3:uid="{1C83C7F7-C02E-4B67-B976-4CBAC23064B4}" name="Column14855"/>
    <tableColumn id="14858" xr3:uid="{F251221B-DA42-43CC-AA5D-9A7DFF93FE71}" name="Column14856"/>
    <tableColumn id="14859" xr3:uid="{DFF9D3D2-03E5-4E0C-AA29-34A52C53895B}" name="Column14857"/>
    <tableColumn id="14860" xr3:uid="{69719D72-2663-4A9A-BD5B-70F986278B37}" name="Column14858"/>
    <tableColumn id="14861" xr3:uid="{4ECD7931-22E0-4F55-9FF2-3915E6DBBDC5}" name="Column14859"/>
    <tableColumn id="14862" xr3:uid="{6932400C-B48E-4068-B84B-8B33889B79D6}" name="Column14860"/>
    <tableColumn id="14863" xr3:uid="{B2B0E47E-6C68-42B7-B948-3351BED6F534}" name="Column14861"/>
    <tableColumn id="14864" xr3:uid="{B591360E-AA73-4AF3-8C6D-8C6257E18D42}" name="Column14862"/>
    <tableColumn id="14865" xr3:uid="{2D4D6DC6-3ED6-4FAE-96BF-2D0E2A119A6A}" name="Column14863"/>
    <tableColumn id="14866" xr3:uid="{403EF6AD-F934-44CB-ACD6-56E040217A3D}" name="Column14864"/>
    <tableColumn id="14867" xr3:uid="{41F83F8C-2872-4DE5-9632-ABE04F3134E2}" name="Column14865"/>
    <tableColumn id="14868" xr3:uid="{AD713F77-328B-4CF3-BA8E-DEBFD93E5A0C}" name="Column14866"/>
    <tableColumn id="14869" xr3:uid="{5615D7E0-4A8D-4E6B-9B60-D81F3598306A}" name="Column14867"/>
    <tableColumn id="14870" xr3:uid="{64521CF2-F121-4397-9696-DF8D3A5C1A84}" name="Column14868"/>
    <tableColumn id="14871" xr3:uid="{27E0F098-DCCD-447E-936A-04C68CE4DDD4}" name="Column14869"/>
    <tableColumn id="14872" xr3:uid="{3F4845B8-C2B7-4099-ADB0-1927E3EC157E}" name="Column14870"/>
    <tableColumn id="14873" xr3:uid="{90F36E1E-3180-4CAE-AB2E-7C9DB89FC97B}" name="Column14871"/>
    <tableColumn id="14874" xr3:uid="{0BE3BE9A-9C97-4F42-BD14-68F4880E8F2C}" name="Column14872"/>
    <tableColumn id="14875" xr3:uid="{6F7DA6AD-FB69-410B-923B-2CD4556DA40A}" name="Column14873"/>
    <tableColumn id="14876" xr3:uid="{504E3E0B-BFA1-4FF3-83EA-D2584BFBEA4E}" name="Column14874"/>
    <tableColumn id="14877" xr3:uid="{6FD7FAF4-05B4-4983-B49F-E1BF4EAF408F}" name="Column14875"/>
    <tableColumn id="14878" xr3:uid="{7D4096FB-6E8C-4569-A569-02A61E68136B}" name="Column14876"/>
    <tableColumn id="14879" xr3:uid="{2F1B2866-8516-4725-99EC-585EF2C7A4B7}" name="Column14877"/>
    <tableColumn id="14880" xr3:uid="{71658E4A-CEAE-489C-BAF3-197F918A5433}" name="Column14878"/>
    <tableColumn id="14881" xr3:uid="{2F51A7B5-AEDC-4F14-B94D-BF4132C54C18}" name="Column14879"/>
    <tableColumn id="14882" xr3:uid="{E17681A7-DB3C-46E5-A7A8-715D5D586B0A}" name="Column14880"/>
    <tableColumn id="14883" xr3:uid="{F07434FB-5D36-4C4F-B00D-C0B55B9FB0F9}" name="Column14881"/>
    <tableColumn id="14884" xr3:uid="{1251B42C-2674-47E5-B3A8-25DFE2F3F06D}" name="Column14882"/>
    <tableColumn id="14885" xr3:uid="{C5A4F09C-203E-41FF-BBC4-9A045FF94C9E}" name="Column14883"/>
    <tableColumn id="14886" xr3:uid="{2A723AB6-2BA3-414F-B6FA-71EC69B49C2E}" name="Column14884"/>
    <tableColumn id="14887" xr3:uid="{79505861-5BF8-434C-BAFE-D087E0D9241C}" name="Column14885"/>
    <tableColumn id="14888" xr3:uid="{1C6C553B-6EBD-4AF4-976D-D6E898688173}" name="Column14886"/>
    <tableColumn id="14889" xr3:uid="{2770B208-B91D-425D-87F2-5D01D046DF22}" name="Column14887"/>
    <tableColumn id="14890" xr3:uid="{CE98C4D0-AEAD-4976-B442-FC24DAE82AB5}" name="Column14888"/>
    <tableColumn id="14891" xr3:uid="{75201EF8-AB44-4129-9474-FF4CAA02C0D4}" name="Column14889"/>
    <tableColumn id="14892" xr3:uid="{9E5A67EA-4759-4D15-B003-17F9C686E61D}" name="Column14890"/>
    <tableColumn id="14893" xr3:uid="{25B4C236-79DA-42E8-BC81-4B2DD6EC196B}" name="Column14891"/>
    <tableColumn id="14894" xr3:uid="{31629151-A71D-4BCE-8062-B03BD3DD000B}" name="Column14892"/>
    <tableColumn id="14895" xr3:uid="{BC11BB88-9A42-44A8-AF02-70CD710F0A08}" name="Column14893"/>
    <tableColumn id="14896" xr3:uid="{99B8ACC6-A300-4CD4-BCD3-225A9116656C}" name="Column14894"/>
    <tableColumn id="14897" xr3:uid="{4442A5C6-D21E-4EB9-8B5B-DAA572D9DB61}" name="Column14895"/>
    <tableColumn id="14898" xr3:uid="{9672961A-D5F6-4162-88C0-84D9D27C30A5}" name="Column14896"/>
    <tableColumn id="14899" xr3:uid="{204EFF06-8B1B-4C64-8E22-BEE34E46D848}" name="Column14897"/>
    <tableColumn id="14900" xr3:uid="{0DD6AFCC-4AF0-46F8-96FD-6A3CB6031E56}" name="Column14898"/>
    <tableColumn id="14901" xr3:uid="{D9B0FEAD-5A0E-40EA-8418-6E3BBF2EB725}" name="Column14899"/>
    <tableColumn id="14902" xr3:uid="{D36835E0-F3DE-4F02-B524-BFAEFFBDF83C}" name="Column14900"/>
    <tableColumn id="14903" xr3:uid="{2B851998-4BC6-4BD4-AE9C-237FCAE983DF}" name="Column14901"/>
    <tableColumn id="14904" xr3:uid="{CA62705E-DCBF-459E-9481-F1A06636881B}" name="Column14902"/>
    <tableColumn id="14905" xr3:uid="{66BA059F-8DC6-438B-AEBD-51A4A94FEEE6}" name="Column14903"/>
    <tableColumn id="14906" xr3:uid="{2D866141-F1D3-441A-9BE3-75AD8E0F1DE0}" name="Column14904"/>
    <tableColumn id="14907" xr3:uid="{8EA498DB-EEF7-4C27-B4F5-1432CB82CB2B}" name="Column14905"/>
    <tableColumn id="14908" xr3:uid="{059372C7-AED4-4500-844D-302A5B1A8DBF}" name="Column14906"/>
    <tableColumn id="14909" xr3:uid="{BAA8A241-CCFB-4D2A-96CB-CC64E7F06ADB}" name="Column14907"/>
    <tableColumn id="14910" xr3:uid="{97B1AF28-3DD4-48EB-B140-795ED5B3B894}" name="Column14908"/>
    <tableColumn id="14911" xr3:uid="{C811C620-3727-4338-89B0-64AF7519BB32}" name="Column14909"/>
    <tableColumn id="14912" xr3:uid="{27CC734B-3158-4966-A453-012A709F197C}" name="Column14910"/>
    <tableColumn id="14913" xr3:uid="{CAEA0A15-B23B-4E4D-A541-B6D38A4B2EE4}" name="Column14911"/>
    <tableColumn id="14914" xr3:uid="{09BB4D11-5595-4CB2-9CA1-3297AADC5597}" name="Column14912"/>
    <tableColumn id="14915" xr3:uid="{D36C97EA-1014-497B-8412-E2459743FF65}" name="Column14913"/>
    <tableColumn id="14916" xr3:uid="{5F171CEB-16A6-4C28-828C-7A08C95891B5}" name="Column14914"/>
    <tableColumn id="14917" xr3:uid="{195B117D-913B-40CC-8CF3-12952BA97830}" name="Column14915"/>
    <tableColumn id="14918" xr3:uid="{C87D33B3-9034-4415-B5A9-DA0695C289BA}" name="Column14916"/>
    <tableColumn id="14919" xr3:uid="{A9403302-456B-403A-B919-B87268009930}" name="Column14917"/>
    <tableColumn id="14920" xr3:uid="{6D5515CC-2D2D-4B07-907F-C0BEA822FB62}" name="Column14918"/>
    <tableColumn id="14921" xr3:uid="{EE0FEAE0-800E-47CF-A604-0E97DA26110E}" name="Column14919"/>
    <tableColumn id="14922" xr3:uid="{C053E298-CC12-4A9E-B74E-8CF96F327453}" name="Column14920"/>
    <tableColumn id="14923" xr3:uid="{FCFCA368-F262-4C53-A9EB-3C27A938C682}" name="Column14921"/>
    <tableColumn id="14924" xr3:uid="{5EC31B64-4107-474B-8388-4DC1C89F5B97}" name="Column14922"/>
    <tableColumn id="14925" xr3:uid="{59251BC7-CCC6-4843-B957-585F958F474E}" name="Column14923"/>
    <tableColumn id="14926" xr3:uid="{9BD305B6-99B1-4334-A143-62A7FB69B712}" name="Column14924"/>
    <tableColumn id="14927" xr3:uid="{930F88A9-563D-4E41-868B-6D26E2C3A306}" name="Column14925"/>
    <tableColumn id="14928" xr3:uid="{721B98CF-91F0-46D3-9A91-6632567A57BA}" name="Column14926"/>
    <tableColumn id="14929" xr3:uid="{F57FEB0A-DCAC-4F24-A50D-85138F88EA4F}" name="Column14927"/>
    <tableColumn id="14930" xr3:uid="{E1A26B21-8160-45E7-A3F7-581E8019D836}" name="Column14928"/>
    <tableColumn id="14931" xr3:uid="{27F43D2A-E3F0-4407-AB76-86BD9A26FD0F}" name="Column14929"/>
    <tableColumn id="14932" xr3:uid="{3215BC94-D773-4C6F-B5C2-29EB01A2214A}" name="Column14930"/>
    <tableColumn id="14933" xr3:uid="{E008F990-40F0-4DAE-9476-0C3CAF691AB6}" name="Column14931"/>
    <tableColumn id="14934" xr3:uid="{7F4C4774-F535-4365-8744-99D372774543}" name="Column14932"/>
    <tableColumn id="14935" xr3:uid="{B9A07AA6-06A1-40F8-B437-F01E545C812E}" name="Column14933"/>
    <tableColumn id="14936" xr3:uid="{CD2C102A-4B7E-4FD1-BAA8-6636BD2FDF43}" name="Column14934"/>
    <tableColumn id="14937" xr3:uid="{7C2771B0-DF48-4A43-94A2-A8C2257BC62F}" name="Column14935"/>
    <tableColumn id="14938" xr3:uid="{B907CE66-4A03-4915-BA8A-D81093184FF0}" name="Column14936"/>
    <tableColumn id="14939" xr3:uid="{E63B1FAA-AAF2-413F-B062-9308290BBE32}" name="Column14937"/>
    <tableColumn id="14940" xr3:uid="{D51B088F-416C-4659-80C1-93F79441CE11}" name="Column14938"/>
    <tableColumn id="14941" xr3:uid="{BBCD8CC6-D057-4209-BDAE-FE920347D089}" name="Column14939"/>
    <tableColumn id="14942" xr3:uid="{3616560A-D236-47EB-B74D-5D32FE4E44BB}" name="Column14940"/>
    <tableColumn id="14943" xr3:uid="{62713ED6-CACF-40A6-BC1A-A1E170ADC391}" name="Column14941"/>
    <tableColumn id="14944" xr3:uid="{E47745DF-CE43-4D73-ACCC-9C88F49BDF0C}" name="Column14942"/>
    <tableColumn id="14945" xr3:uid="{9435A34A-DF9C-44C6-BC6F-4ED8EE7EE9A5}" name="Column14943"/>
    <tableColumn id="14946" xr3:uid="{63CFDBEC-7DFB-422D-9E94-3690CEC1D37E}" name="Column14944"/>
    <tableColumn id="14947" xr3:uid="{D78F6BFF-854B-4FE3-B7F4-39D6CF8C5439}" name="Column14945"/>
    <tableColumn id="14948" xr3:uid="{8D2A8140-0B6D-4654-BACF-DFC1EBDA98D1}" name="Column14946"/>
    <tableColumn id="14949" xr3:uid="{F99E8A82-B63D-435A-9661-8FB0CE71BA6E}" name="Column14947"/>
    <tableColumn id="14950" xr3:uid="{E88C8DC7-B719-4457-ACA6-73978DD06DD1}" name="Column14948"/>
    <tableColumn id="14951" xr3:uid="{4267E763-4A5D-4418-8E6C-F10404EAA27E}" name="Column14949"/>
    <tableColumn id="14952" xr3:uid="{F11BC5A3-1A46-4F87-A37F-A74AA1EE20C2}" name="Column14950"/>
    <tableColumn id="14953" xr3:uid="{F8A6BE59-1F8E-4A7F-995B-96795BBFD0EA}" name="Column14951"/>
    <tableColumn id="14954" xr3:uid="{F60F3C7F-82CA-48D8-B2C5-A3BF6F2A97CC}" name="Column14952"/>
    <tableColumn id="14955" xr3:uid="{A0A2270F-C991-4A85-A0BE-67087E44FEDF}" name="Column14953"/>
    <tableColumn id="14956" xr3:uid="{F5BA2E51-9FAC-422E-AE75-72D786FCFD3A}" name="Column14954"/>
    <tableColumn id="14957" xr3:uid="{27438231-40AC-42F9-B83D-932F90E24DB4}" name="Column14955"/>
    <tableColumn id="14958" xr3:uid="{F9EA1150-503F-485C-8CA0-C5595E53C313}" name="Column14956"/>
    <tableColumn id="14959" xr3:uid="{12EA1C09-91FD-4A5F-AD71-D8676CB21617}" name="Column14957"/>
    <tableColumn id="14960" xr3:uid="{2C3CC0D2-0E0A-406C-A179-3E8725420931}" name="Column14958"/>
    <tableColumn id="14961" xr3:uid="{8B71F904-A59A-495A-A717-4B9853A414C7}" name="Column14959"/>
    <tableColumn id="14962" xr3:uid="{A52FFFEA-BDB1-4EEA-8CDB-DD4254F64C9E}" name="Column14960"/>
    <tableColumn id="14963" xr3:uid="{C64915A8-0149-4B75-A16F-A1FCACC7FE0C}" name="Column14961"/>
    <tableColumn id="14964" xr3:uid="{87CAC74C-56E6-4AC1-8414-5580F27ECB90}" name="Column14962"/>
    <tableColumn id="14965" xr3:uid="{81D35016-5164-4CBA-BD45-F5E9818797D6}" name="Column14963"/>
    <tableColumn id="14966" xr3:uid="{FCB681FF-D3A1-4879-B41A-7A1F7B341374}" name="Column14964"/>
    <tableColumn id="14967" xr3:uid="{F412628F-1F7E-46C0-A4D4-C2CB209DB6C8}" name="Column14965"/>
    <tableColumn id="14968" xr3:uid="{4B0A4098-F1D5-4D7B-A39B-47A16D347D5C}" name="Column14966"/>
    <tableColumn id="14969" xr3:uid="{F26756F1-CE0F-434D-B735-13BB765A6031}" name="Column14967"/>
    <tableColumn id="14970" xr3:uid="{FDA1E66C-E6F5-42FB-A9DD-A02D4A2ED191}" name="Column14968"/>
    <tableColumn id="14971" xr3:uid="{5030DF8F-B846-4369-B3DE-C2FD69C35B7A}" name="Column14969"/>
    <tableColumn id="14972" xr3:uid="{100277E4-BE88-44CF-8B87-0674FB184B1D}" name="Column14970"/>
    <tableColumn id="14973" xr3:uid="{ED1A9774-1AAF-4755-BFE8-0DE063280E66}" name="Column14971"/>
    <tableColumn id="14974" xr3:uid="{37D4D2F9-6183-4B0B-BADC-53ADAA6C04DA}" name="Column14972"/>
    <tableColumn id="14975" xr3:uid="{C86FEFAE-28B0-4F4B-A379-928805533895}" name="Column14973"/>
    <tableColumn id="14976" xr3:uid="{3C42D700-2A10-415E-8B6A-5377A5BEAF3D}" name="Column14974"/>
    <tableColumn id="14977" xr3:uid="{13CE9F6B-4EDD-4853-A22A-EACC45BAAB36}" name="Column14975"/>
    <tableColumn id="14978" xr3:uid="{BD362223-EB7F-4EA2-98C8-2157A6681823}" name="Column14976"/>
    <tableColumn id="14979" xr3:uid="{84C1EC3C-CEE1-4680-B69B-73C1DC0C639E}" name="Column14977"/>
    <tableColumn id="14980" xr3:uid="{DAC6F26A-9EA4-4016-8F9D-32296C13D2A0}" name="Column14978"/>
    <tableColumn id="14981" xr3:uid="{EEA1DDD8-3BAB-4933-85FB-E765B27CD305}" name="Column14979"/>
    <tableColumn id="14982" xr3:uid="{37DF0473-9D75-4234-9026-89BAB255195B}" name="Column14980"/>
    <tableColumn id="14983" xr3:uid="{C9D559CC-740B-4D34-8DD0-8FAACAFD348A}" name="Column14981"/>
    <tableColumn id="14984" xr3:uid="{0F894A44-4755-42AC-9FDC-ED23E0D1A1D6}" name="Column14982"/>
    <tableColumn id="14985" xr3:uid="{6D3EC4A2-6C60-432F-B0A8-85218A86DE12}" name="Column14983"/>
    <tableColumn id="14986" xr3:uid="{F51D80FC-0C8B-4607-8820-E91F30BA27C4}" name="Column14984"/>
    <tableColumn id="14987" xr3:uid="{FB8A673D-0FBA-45CB-A016-9E20570A55DF}" name="Column14985"/>
    <tableColumn id="14988" xr3:uid="{EB6C3DAF-F5D2-4BB5-B636-4204A768A7AF}" name="Column14986"/>
    <tableColumn id="14989" xr3:uid="{AED481D9-052A-4CFA-BFE3-CEBD6CF39981}" name="Column14987"/>
    <tableColumn id="14990" xr3:uid="{227F8995-A2DE-40F9-B863-55B797C466A9}" name="Column14988"/>
    <tableColumn id="14991" xr3:uid="{292F9150-1B79-404C-83DB-C0452B47CEC1}" name="Column14989"/>
    <tableColumn id="14992" xr3:uid="{FC399905-7A5C-44D5-B0DA-F188D01A18B7}" name="Column14990"/>
    <tableColumn id="14993" xr3:uid="{446E4791-8078-48F1-B05B-71E812F04005}" name="Column14991"/>
    <tableColumn id="14994" xr3:uid="{79D40B29-77C9-424E-A436-A1D5D233FA94}" name="Column14992"/>
    <tableColumn id="14995" xr3:uid="{E2799422-2173-43AA-9E18-30FC11007FE8}" name="Column14993"/>
    <tableColumn id="14996" xr3:uid="{6051D98D-0CDF-4174-B9F2-9FD7F1ED8F15}" name="Column14994"/>
    <tableColumn id="14997" xr3:uid="{CFB901A9-D4E9-4291-A0F5-85882248A534}" name="Column14995"/>
    <tableColumn id="14998" xr3:uid="{37126120-6731-414C-9CA7-D658FF0409DF}" name="Column14996"/>
    <tableColumn id="14999" xr3:uid="{33B773BF-3190-475F-9E6C-A16992042B1B}" name="Column14997"/>
    <tableColumn id="15000" xr3:uid="{2EE4FD45-01CB-4F5C-88B7-244BB555B495}" name="Column14998"/>
    <tableColumn id="15001" xr3:uid="{FA774BFE-7358-4D8F-83A3-057E51FA553E}" name="Column14999"/>
    <tableColumn id="15002" xr3:uid="{86CA477F-C70D-4672-B9FF-12D9478D3F54}" name="Column15000"/>
    <tableColumn id="15003" xr3:uid="{0B3A8CF6-4EF6-40E4-BD8E-DE3B47528AF2}" name="Column15001"/>
    <tableColumn id="15004" xr3:uid="{58992B66-2C06-4BC2-B245-1FA5F86F70C3}" name="Column15002"/>
    <tableColumn id="15005" xr3:uid="{AF72A6FB-8ACA-4949-9867-802EC90B1394}" name="Column15003"/>
    <tableColumn id="15006" xr3:uid="{5F66229E-5C12-4031-9802-68E383C762DE}" name="Column15004"/>
    <tableColumn id="15007" xr3:uid="{FA7F0C75-5020-495B-86FB-414D8DCE64BF}" name="Column15005"/>
    <tableColumn id="15008" xr3:uid="{FF8902E9-22EE-4FF4-9DC2-535E009E4CE4}" name="Column15006"/>
    <tableColumn id="15009" xr3:uid="{FB6E4EAA-155E-4EF0-87DD-0E5E94E3CF5D}" name="Column15007"/>
    <tableColumn id="15010" xr3:uid="{30BF4562-48BD-4A08-B74A-1475F9CB7498}" name="Column15008"/>
    <tableColumn id="15011" xr3:uid="{D1B1535F-2F71-4848-BD2A-6DD7F0D59121}" name="Column15009"/>
    <tableColumn id="15012" xr3:uid="{53FCFE23-60D9-48AC-B461-931F4DEBACDD}" name="Column15010"/>
    <tableColumn id="15013" xr3:uid="{E90C08B1-3F3C-49DC-9DB6-0CA946D9B329}" name="Column15011"/>
    <tableColumn id="15014" xr3:uid="{F89DEFEA-3137-4C8D-B035-6A37EFC94CDA}" name="Column15012"/>
    <tableColumn id="15015" xr3:uid="{8A3449A7-99FB-49CC-984A-4C8C93E0CD27}" name="Column15013"/>
    <tableColumn id="15016" xr3:uid="{AE1B60AB-1461-4681-8AB1-AF7EE2D3BA4F}" name="Column15014"/>
    <tableColumn id="15017" xr3:uid="{100B06C4-0510-44A9-917F-40CB50ECABFA}" name="Column15015"/>
    <tableColumn id="15018" xr3:uid="{D3DD8363-169F-4691-89B8-A8B25237C1F5}" name="Column15016"/>
    <tableColumn id="15019" xr3:uid="{638BC17C-1911-4BE5-A01D-A9B7F0662C78}" name="Column15017"/>
    <tableColumn id="15020" xr3:uid="{EA62BD01-ECD9-47AC-A643-96D2FBA25734}" name="Column15018"/>
    <tableColumn id="15021" xr3:uid="{A63DF2B8-8C6E-4C42-9F61-61EE142BC264}" name="Column15019"/>
    <tableColumn id="15022" xr3:uid="{279F8E4D-896E-4D05-95AF-F5DB0501A876}" name="Column15020"/>
    <tableColumn id="15023" xr3:uid="{6DA873C4-A632-48D3-9EE1-F9B2B0F059CE}" name="Column15021"/>
    <tableColumn id="15024" xr3:uid="{4B243386-9405-4766-B630-BFE73F5DF741}" name="Column15022"/>
    <tableColumn id="15025" xr3:uid="{96606C48-E477-4F67-AC6D-B5063B7F7803}" name="Column15023"/>
    <tableColumn id="15026" xr3:uid="{7BFD69F9-1678-482F-82CA-2B6432ABA0B1}" name="Column15024"/>
    <tableColumn id="15027" xr3:uid="{18934428-5C3D-495D-8026-19C508907C0C}" name="Column15025"/>
    <tableColumn id="15028" xr3:uid="{E068EE43-53C5-47E0-B041-84DA0386507A}" name="Column15026"/>
    <tableColumn id="15029" xr3:uid="{7A4DFB9B-839D-4020-B56D-2ADEC2C324B3}" name="Column15027"/>
    <tableColumn id="15030" xr3:uid="{96FA1684-810E-429C-A746-E0A2BE2D43A9}" name="Column15028"/>
    <tableColumn id="15031" xr3:uid="{422F9379-96B6-4685-8F56-5CA05D3CB300}" name="Column15029"/>
    <tableColumn id="15032" xr3:uid="{5BC590D5-0383-4B33-A56D-1C125A421CD3}" name="Column15030"/>
    <tableColumn id="15033" xr3:uid="{2B00DA26-365F-4A89-B1DF-625E081E955E}" name="Column15031"/>
    <tableColumn id="15034" xr3:uid="{D31B1CA6-FF96-45AC-8317-99180CECF98E}" name="Column15032"/>
    <tableColumn id="15035" xr3:uid="{4680B199-83E9-4A37-84E5-D6522F9CD99A}" name="Column15033"/>
    <tableColumn id="15036" xr3:uid="{C71ABD63-5F2F-4609-86C4-49D3F0B687BC}" name="Column15034"/>
    <tableColumn id="15037" xr3:uid="{D9EF956D-FF18-4E0F-B272-EDD80B3E19A5}" name="Column15035"/>
    <tableColumn id="15038" xr3:uid="{86328241-89C8-4A88-B4AF-5542732E8BE9}" name="Column15036"/>
    <tableColumn id="15039" xr3:uid="{3F4DEF7C-354D-4543-89E8-57F32F71D304}" name="Column15037"/>
    <tableColumn id="15040" xr3:uid="{95B294FC-6611-4D40-9777-9FA245DBDFFC}" name="Column15038"/>
    <tableColumn id="15041" xr3:uid="{848F556F-D623-4012-80AE-E8699CF4ACB7}" name="Column15039"/>
    <tableColumn id="15042" xr3:uid="{83BA9761-B20F-4177-A04F-434795808344}" name="Column15040"/>
    <tableColumn id="15043" xr3:uid="{C1B990B2-3796-4875-AC42-7F0E17A2A0C4}" name="Column15041"/>
    <tableColumn id="15044" xr3:uid="{911155CB-9C57-4A8A-AA06-08B40C1533FB}" name="Column15042"/>
    <tableColumn id="15045" xr3:uid="{FCF8B536-EEA4-4A23-9492-F27F2ED0E33B}" name="Column15043"/>
    <tableColumn id="15046" xr3:uid="{DE21057B-43BE-4B84-8796-809EA2C11D65}" name="Column15044"/>
    <tableColumn id="15047" xr3:uid="{8CF8A346-4E7B-45D3-B6B8-1105C78FBD16}" name="Column15045"/>
    <tableColumn id="15048" xr3:uid="{E4BDB5EA-4FC4-406B-8CD2-7AFF897EE29A}" name="Column15046"/>
    <tableColumn id="15049" xr3:uid="{5340331E-73C0-4045-AD33-4B556687F641}" name="Column15047"/>
    <tableColumn id="15050" xr3:uid="{28F21A66-2A66-4B68-9C3D-396C05BD5BBB}" name="Column15048"/>
    <tableColumn id="15051" xr3:uid="{A14D84BD-3CD2-4DB6-BEA8-7F4531ED3343}" name="Column15049"/>
    <tableColumn id="15052" xr3:uid="{D3154F59-EC8C-4E50-874F-DED4D8D96C09}" name="Column15050"/>
    <tableColumn id="15053" xr3:uid="{CF50D467-0E75-419B-9E3D-8164E59950B8}" name="Column15051"/>
    <tableColumn id="15054" xr3:uid="{99028232-5186-4733-9F58-A865310D2371}" name="Column15052"/>
    <tableColumn id="15055" xr3:uid="{92608FAA-2BD4-49A6-82FF-FB6B463825C3}" name="Column15053"/>
    <tableColumn id="15056" xr3:uid="{FD704165-AFF6-43A1-8D2D-BE8F387150A6}" name="Column15054"/>
    <tableColumn id="15057" xr3:uid="{B3D885A4-681F-49BA-ACA7-DF42A6EFCF5E}" name="Column15055"/>
    <tableColumn id="15058" xr3:uid="{F556E652-A030-404C-B357-8CC7BDDC796E}" name="Column15056"/>
    <tableColumn id="15059" xr3:uid="{AC8A7068-5CC9-484B-BBC6-698D195191B0}" name="Column15057"/>
    <tableColumn id="15060" xr3:uid="{E896DE9C-E4E1-4220-BCF9-C51C7A0B5DAF}" name="Column15058"/>
    <tableColumn id="15061" xr3:uid="{8F83F0A0-6193-4989-9D50-A6FC6543F3FE}" name="Column15059"/>
    <tableColumn id="15062" xr3:uid="{7CBE0C81-3E6A-4D9C-AE41-C12CD515B167}" name="Column15060"/>
    <tableColumn id="15063" xr3:uid="{09F55332-3058-4777-9BAF-A2203D931E01}" name="Column15061"/>
    <tableColumn id="15064" xr3:uid="{47D68CB4-22C5-40F2-B2CD-3E94ABFCDC23}" name="Column15062"/>
    <tableColumn id="15065" xr3:uid="{929A328B-6122-4DFD-8BC8-9B6A34F56CCF}" name="Column15063"/>
    <tableColumn id="15066" xr3:uid="{13DAA53F-8E68-402B-A5DE-2D72A5D831C9}" name="Column15064"/>
    <tableColumn id="15067" xr3:uid="{103FFF69-098A-4D52-9FC3-5E31EB5E6C0C}" name="Column15065"/>
    <tableColumn id="15068" xr3:uid="{EC2F6A3F-09F6-4893-8268-3F6CE37BDC86}" name="Column15066"/>
    <tableColumn id="15069" xr3:uid="{6CC4E69E-C0AF-4287-8AE4-328545CF3734}" name="Column15067"/>
    <tableColumn id="15070" xr3:uid="{6A41E94C-E23B-48BF-A1DA-36F1BE92B8F9}" name="Column15068"/>
    <tableColumn id="15071" xr3:uid="{43594E35-E484-49DB-BF7C-268FE85A0B1D}" name="Column15069"/>
    <tableColumn id="15072" xr3:uid="{5EBEA484-51DF-4287-9455-3422BBB7FC05}" name="Column15070"/>
    <tableColumn id="15073" xr3:uid="{9B2EA716-8D61-404C-A5D2-C7AB57245B18}" name="Column15071"/>
    <tableColumn id="15074" xr3:uid="{E9CE3F2B-7714-4CB0-8F58-601400D80DD5}" name="Column15072"/>
    <tableColumn id="15075" xr3:uid="{80DF37F4-7361-41AD-B103-60D836723DC4}" name="Column15073"/>
    <tableColumn id="15076" xr3:uid="{5ABEE92B-3A6F-4324-B2CA-D66BED152F1D}" name="Column15074"/>
    <tableColumn id="15077" xr3:uid="{AED9CDFB-E663-408E-8BFC-B696604A3EEC}" name="Column15075"/>
    <tableColumn id="15078" xr3:uid="{C5E6C2C7-5DA0-46A2-98ED-221333BAB55B}" name="Column15076"/>
    <tableColumn id="15079" xr3:uid="{371C6DEA-D31E-4597-8230-EEE8BF338479}" name="Column15077"/>
    <tableColumn id="15080" xr3:uid="{51EDDB68-0787-44CA-B8D5-B636FC8C0733}" name="Column15078"/>
    <tableColumn id="15081" xr3:uid="{3EAFF206-DB32-4A6E-ABCB-359C5ABD683C}" name="Column15079"/>
    <tableColumn id="15082" xr3:uid="{A88713F4-945E-4FF4-97B8-5E8795579D2A}" name="Column15080"/>
    <tableColumn id="15083" xr3:uid="{89565618-DA94-424D-8966-9D3384B1E049}" name="Column15081"/>
    <tableColumn id="15084" xr3:uid="{ED4D0A82-9CFC-4EB1-8046-5C0355253DE2}" name="Column15082"/>
    <tableColumn id="15085" xr3:uid="{F3CC4489-879B-4987-A9C6-2300772E8DFB}" name="Column15083"/>
    <tableColumn id="15086" xr3:uid="{17BB87E8-C763-4B86-AD14-E6A9D335D4C6}" name="Column15084"/>
    <tableColumn id="15087" xr3:uid="{EE21EEB7-0BC6-4FEF-BD75-F70CD88865E2}" name="Column15085"/>
    <tableColumn id="15088" xr3:uid="{F8C00DCC-04BF-4D42-A358-29079C5A39C2}" name="Column15086"/>
    <tableColumn id="15089" xr3:uid="{D4B5A83A-0278-4E8B-BA9F-D5EC068504DC}" name="Column15087"/>
    <tableColumn id="15090" xr3:uid="{2E9452F2-1C5F-4B47-922A-A6DCA11D529A}" name="Column15088"/>
    <tableColumn id="15091" xr3:uid="{BCE57189-0EDC-4AB2-8CB3-06D67900C5A6}" name="Column15089"/>
    <tableColumn id="15092" xr3:uid="{10211B7D-BBFB-44BF-838D-668DFD7BCE69}" name="Column15090"/>
    <tableColumn id="15093" xr3:uid="{4A13AC7A-DF90-4D3B-B5AF-0B527CB9E8C5}" name="Column15091"/>
    <tableColumn id="15094" xr3:uid="{5CD00502-1505-4A40-9E6C-1B036C2E9DDC}" name="Column15092"/>
    <tableColumn id="15095" xr3:uid="{9D4F37B8-80AB-4A82-896F-62A70C683C7E}" name="Column15093"/>
    <tableColumn id="15096" xr3:uid="{FE7DC278-342A-48C6-ADDC-B16E9DC40067}" name="Column15094"/>
    <tableColumn id="15097" xr3:uid="{5D2F27C7-AA18-44FB-B125-73FE7F1A6683}" name="Column15095"/>
    <tableColumn id="15098" xr3:uid="{DAB4A9E7-E23D-4ABB-A7F4-C06401CCA9D5}" name="Column15096"/>
    <tableColumn id="15099" xr3:uid="{5F1E0055-DAC6-4BF0-A164-3F9078AA7DD1}" name="Column15097"/>
    <tableColumn id="15100" xr3:uid="{FD78169A-202B-406C-809C-2808861BF9B4}" name="Column15098"/>
    <tableColumn id="15101" xr3:uid="{F987B4ED-4BE5-4C83-99BC-D6C5B32498EE}" name="Column15099"/>
    <tableColumn id="15102" xr3:uid="{A8C4B34C-2B42-490B-A570-3B8B650F34FF}" name="Column15100"/>
    <tableColumn id="15103" xr3:uid="{1DA00D5E-D57A-47BB-8D02-A0D329EA48FC}" name="Column15101"/>
    <tableColumn id="15104" xr3:uid="{812C24F8-365D-44CF-AD55-7EA1358CD3AF}" name="Column15102"/>
    <tableColumn id="15105" xr3:uid="{C542610E-A549-4118-BDF6-B9E16D2CBA8B}" name="Column15103"/>
    <tableColumn id="15106" xr3:uid="{95822037-9A6E-4052-B22F-220B2439D7BD}" name="Column15104"/>
    <tableColumn id="15107" xr3:uid="{58F8E3A1-80C3-497A-8610-2407497400EA}" name="Column15105"/>
    <tableColumn id="15108" xr3:uid="{0E134B84-7C39-4916-AD17-052C59A6D9CC}" name="Column15106"/>
    <tableColumn id="15109" xr3:uid="{4F71EEAA-45E1-4413-B5C4-47CACCD9E86F}" name="Column15107"/>
    <tableColumn id="15110" xr3:uid="{C0EBDFD4-6ACC-47BB-90F1-D7F0C7E8ED39}" name="Column15108"/>
    <tableColumn id="15111" xr3:uid="{E87C38CA-04BA-4220-B82A-194501604B07}" name="Column15109"/>
    <tableColumn id="15112" xr3:uid="{EDB24A81-E48E-4978-86F0-64874D2797ED}" name="Column15110"/>
    <tableColumn id="15113" xr3:uid="{AE49304F-B2D8-4C8E-B683-ABB934E2EDED}" name="Column15111"/>
    <tableColumn id="15114" xr3:uid="{700B5684-B18B-42CA-B543-E94E72A8B534}" name="Column15112"/>
    <tableColumn id="15115" xr3:uid="{289DEF7D-9C11-40D5-86A6-AE8744930C7D}" name="Column15113"/>
    <tableColumn id="15116" xr3:uid="{2021DE31-6CCC-4E81-A448-831BAAD35E27}" name="Column15114"/>
    <tableColumn id="15117" xr3:uid="{136D3276-1C6B-4785-9551-4BA0A094BBC2}" name="Column15115"/>
    <tableColumn id="15118" xr3:uid="{7E76F2FF-8AD1-40A2-9007-73ED339816EC}" name="Column15116"/>
    <tableColumn id="15119" xr3:uid="{E6831917-DD53-494E-8480-78F191907300}" name="Column15117"/>
    <tableColumn id="15120" xr3:uid="{B35C8F43-1488-4739-8800-3A9A991812BF}" name="Column15118"/>
    <tableColumn id="15121" xr3:uid="{299BDCEA-797C-411C-82D5-332AC92D4BA4}" name="Column15119"/>
    <tableColumn id="15122" xr3:uid="{A83823C0-91C6-4E22-9D98-D48CC7C935C9}" name="Column15120"/>
    <tableColumn id="15123" xr3:uid="{84A86666-012F-45C7-BD78-CD5D73E90001}" name="Column15121"/>
    <tableColumn id="15124" xr3:uid="{5C97D9F4-2C09-4F10-AC0E-30DC52C7EEEE}" name="Column15122"/>
    <tableColumn id="15125" xr3:uid="{550B4ED5-D944-4E0F-91A6-B102C7A1EB6F}" name="Column15123"/>
    <tableColumn id="15126" xr3:uid="{BED6967A-49EC-42FD-9E6D-7FE31E2B57E2}" name="Column15124"/>
    <tableColumn id="15127" xr3:uid="{3AB44F90-9E8F-4C93-9E69-5CB1D6829241}" name="Column15125"/>
    <tableColumn id="15128" xr3:uid="{F38A1E9D-E4A3-4286-B884-8262C0E119A9}" name="Column15126"/>
    <tableColumn id="15129" xr3:uid="{0A49FA42-B7EB-429C-B599-F2B0CBFDBAAE}" name="Column15127"/>
    <tableColumn id="15130" xr3:uid="{E68C975E-1078-4A69-9B1B-1622A75DE88F}" name="Column15128"/>
    <tableColumn id="15131" xr3:uid="{F5350F24-C7A6-4E27-933F-D184F2192AE3}" name="Column15129"/>
    <tableColumn id="15132" xr3:uid="{06FD25CB-8880-42B7-A7F8-F9CD1714F60D}" name="Column15130"/>
    <tableColumn id="15133" xr3:uid="{B19C4B3F-21DC-481F-826F-D38C976C0193}" name="Column15131"/>
    <tableColumn id="15134" xr3:uid="{096137B0-39FF-4640-8389-74A54FEE07AF}" name="Column15132"/>
    <tableColumn id="15135" xr3:uid="{797D94D1-47C0-4E4A-B81A-132AF9B23304}" name="Column15133"/>
    <tableColumn id="15136" xr3:uid="{68ED6C41-5A27-4BC8-AC12-DA6E2D16F21A}" name="Column15134"/>
    <tableColumn id="15137" xr3:uid="{F9173EF9-67A9-4AF8-90C8-D309B114B56C}" name="Column15135"/>
    <tableColumn id="15138" xr3:uid="{ABC55EF6-AE94-4168-91E1-E1B43C9A4D8E}" name="Column15136"/>
    <tableColumn id="15139" xr3:uid="{25CD0B4D-1E19-4D46-B32B-816E9F80C1E6}" name="Column15137"/>
    <tableColumn id="15140" xr3:uid="{A2C98621-3343-41EA-ACAE-B2EFE7DAD680}" name="Column15138"/>
    <tableColumn id="15141" xr3:uid="{EA01D032-2366-4E7E-BBF7-14E50A137313}" name="Column15139"/>
    <tableColumn id="15142" xr3:uid="{23499625-0B72-4BC9-BDA6-5020733D1AD4}" name="Column15140"/>
    <tableColumn id="15143" xr3:uid="{34AE519A-B5F5-47CB-A31E-EE667CC2010D}" name="Column15141"/>
    <tableColumn id="15144" xr3:uid="{6764D335-82CB-49FD-ACF9-428EFA4D6C68}" name="Column15142"/>
    <tableColumn id="15145" xr3:uid="{CDEC2EC1-7EFB-463A-904A-061531B2BBF4}" name="Column15143"/>
    <tableColumn id="15146" xr3:uid="{EA47C277-ED8C-463D-A7F2-81D605C9BCE1}" name="Column15144"/>
    <tableColumn id="15147" xr3:uid="{0ED5EFCB-D0B2-4245-A57A-B442E71D86D9}" name="Column15145"/>
    <tableColumn id="15148" xr3:uid="{16301BD5-A985-4DA8-95CB-9EA5311CD396}" name="Column15146"/>
    <tableColumn id="15149" xr3:uid="{1EFAC6CD-74D4-4A22-A17A-CF60295CB382}" name="Column15147"/>
    <tableColumn id="15150" xr3:uid="{8DA479E2-76C9-477E-AE0F-110399459ECB}" name="Column15148"/>
    <tableColumn id="15151" xr3:uid="{1C3CE66E-D28C-48BA-80AA-67543C642249}" name="Column15149"/>
    <tableColumn id="15152" xr3:uid="{E755B345-4BC6-4B3F-9895-E6264BC42D95}" name="Column15150"/>
    <tableColumn id="15153" xr3:uid="{24D75ED0-E2A2-4C75-81B3-CB541A2FF658}" name="Column15151"/>
    <tableColumn id="15154" xr3:uid="{C78A9DF4-AB94-41FD-959E-FB14B9AA9A5E}" name="Column15152"/>
    <tableColumn id="15155" xr3:uid="{2ED7304E-8F8C-48C6-8F61-97DE1E0D7637}" name="Column15153"/>
    <tableColumn id="15156" xr3:uid="{3B7A8D7B-3B13-448F-8473-D7D2CE650F6D}" name="Column15154"/>
    <tableColumn id="15157" xr3:uid="{8B006B2B-3E60-4623-A0CC-006F4D03041D}" name="Column15155"/>
    <tableColumn id="15158" xr3:uid="{8C9F61EE-862A-4C99-9F15-0807C400CFD2}" name="Column15156"/>
    <tableColumn id="15159" xr3:uid="{ABA9AFAD-D1DE-4DAB-BEB8-62F628F988D1}" name="Column15157"/>
    <tableColumn id="15160" xr3:uid="{2121E670-21C8-4F5D-9401-D196881259E8}" name="Column15158"/>
    <tableColumn id="15161" xr3:uid="{C6947C59-842F-4DAE-B707-4AD17DDFFD7D}" name="Column15159"/>
    <tableColumn id="15162" xr3:uid="{F2B03548-80B1-4A30-BC2D-46C7DB58DE7F}" name="Column15160"/>
    <tableColumn id="15163" xr3:uid="{FAF7A281-B595-4496-8224-44A700E31F7A}" name="Column15161"/>
    <tableColumn id="15164" xr3:uid="{36F33530-E22F-434E-9481-F2D2E31CFAB1}" name="Column15162"/>
    <tableColumn id="15165" xr3:uid="{9ACADA3F-5045-4399-8967-C17953A89346}" name="Column15163"/>
    <tableColumn id="15166" xr3:uid="{F3A65229-58D5-4D19-B241-3DB98BB20ABF}" name="Column15164"/>
    <tableColumn id="15167" xr3:uid="{D60DBDB2-786E-4641-9C0A-39AA77F8B8B2}" name="Column15165"/>
    <tableColumn id="15168" xr3:uid="{BCDE41F4-1D22-4169-BBB1-0C1EE6511296}" name="Column15166"/>
    <tableColumn id="15169" xr3:uid="{5BBF5384-C741-4B97-AC22-B942934939D2}" name="Column15167"/>
    <tableColumn id="15170" xr3:uid="{F551A376-736F-40C5-9FB2-C536E3DD3B34}" name="Column15168"/>
    <tableColumn id="15171" xr3:uid="{1D45159E-16E2-43D8-ADD5-D0F728CF3964}" name="Column15169"/>
    <tableColumn id="15172" xr3:uid="{5C578004-D0E8-43AA-8239-D20E4915B5C2}" name="Column15170"/>
    <tableColumn id="15173" xr3:uid="{41C4B89B-484B-4047-93A8-12C6618606FD}" name="Column15171"/>
    <tableColumn id="15174" xr3:uid="{2AA4FFD9-CE7F-4DC2-BC03-50B8622D9395}" name="Column15172"/>
    <tableColumn id="15175" xr3:uid="{0DDEE0EF-2011-41FC-8BD5-4B3BD564F1A7}" name="Column15173"/>
    <tableColumn id="15176" xr3:uid="{A6C21F77-D096-40B9-BD32-3304469E1C8C}" name="Column15174"/>
    <tableColumn id="15177" xr3:uid="{EC7E0FE1-2BBB-4B55-A96D-A989385DC8C1}" name="Column15175"/>
    <tableColumn id="15178" xr3:uid="{0E97725C-59C3-4C61-8ACA-7A2A8B073FA2}" name="Column15176"/>
    <tableColumn id="15179" xr3:uid="{97C4CDB2-CB7B-444A-BB1F-1A38EF718DA3}" name="Column15177"/>
    <tableColumn id="15180" xr3:uid="{BA9984A1-2B67-45A9-BEC1-335927BF4F58}" name="Column15178"/>
    <tableColumn id="15181" xr3:uid="{90360244-F417-4EBC-ADAB-7AE8B884C53E}" name="Column15179"/>
    <tableColumn id="15182" xr3:uid="{268DF740-E28C-4EDD-BCA0-A4C83EF8CFA0}" name="Column15180"/>
    <tableColumn id="15183" xr3:uid="{7D7A90CC-66C8-433C-90D8-FD905CBAFF57}" name="Column15181"/>
    <tableColumn id="15184" xr3:uid="{36233F82-4910-498B-8884-C7590ECC5451}" name="Column15182"/>
    <tableColumn id="15185" xr3:uid="{BAF235A6-18A6-4A2B-96C2-5C93D17A3019}" name="Column15183"/>
    <tableColumn id="15186" xr3:uid="{AE3638F4-43E6-4196-AB66-78E5A58FF117}" name="Column15184"/>
    <tableColumn id="15187" xr3:uid="{A065546B-E169-4858-B37E-01F29490620A}" name="Column15185"/>
    <tableColumn id="15188" xr3:uid="{9796F81F-ED7C-43E2-80DA-842F482344A4}" name="Column15186"/>
    <tableColumn id="15189" xr3:uid="{571A4E96-A749-443D-95F4-98321A9DE9F9}" name="Column15187"/>
    <tableColumn id="15190" xr3:uid="{CB7399A7-5E93-4D08-B2FB-54C1C1FDA84B}" name="Column15188"/>
    <tableColumn id="15191" xr3:uid="{92A552C8-490D-436C-914B-C69A6348823B}" name="Column15189"/>
    <tableColumn id="15192" xr3:uid="{7FE97231-8B50-4C98-B20F-1A3626FBAF8D}" name="Column15190"/>
    <tableColumn id="15193" xr3:uid="{1F89AEB9-AB96-4F37-9196-835E223EF670}" name="Column15191"/>
    <tableColumn id="15194" xr3:uid="{0A2A9650-4CE8-4C0C-B625-01E5FA625A7E}" name="Column15192"/>
    <tableColumn id="15195" xr3:uid="{0E36BD87-34CD-4779-BEAB-DF9EDED8EDB6}" name="Column15193"/>
    <tableColumn id="15196" xr3:uid="{D620194F-2B55-47E7-8DAD-10F0E0680BFD}" name="Column15194"/>
    <tableColumn id="15197" xr3:uid="{DCB5598F-76C1-4B70-90DF-08FA7D5F15EB}" name="Column15195"/>
    <tableColumn id="15198" xr3:uid="{FF1407F1-B7F6-4F46-9BEA-187054283B6E}" name="Column15196"/>
    <tableColumn id="15199" xr3:uid="{35D156BD-209E-4A30-9805-4B4F866BEEB7}" name="Column15197"/>
    <tableColumn id="15200" xr3:uid="{C892AEDF-6BE7-4122-B1A8-6CE90A65E2F4}" name="Column15198"/>
    <tableColumn id="15201" xr3:uid="{31A2A194-FBE9-482E-9372-44238E34A559}" name="Column15199"/>
    <tableColumn id="15202" xr3:uid="{A44D9724-5D0E-46E4-A166-47ED6DC17549}" name="Column15200"/>
    <tableColumn id="15203" xr3:uid="{EDFD4F4D-6FCA-41EE-B9D9-86703529866A}" name="Column15201"/>
    <tableColumn id="15204" xr3:uid="{078AB13B-9D35-494C-AF2C-1B6DAE5C8570}" name="Column15202"/>
    <tableColumn id="15205" xr3:uid="{3D42215B-2B7F-4034-8F8A-F4860ED5973D}" name="Column15203"/>
    <tableColumn id="15206" xr3:uid="{C9F768F0-6246-4997-8BDA-CA717B451ACF}" name="Column15204"/>
    <tableColumn id="15207" xr3:uid="{DD51A506-5F1E-4CF8-81E0-A25530B2DEB7}" name="Column15205"/>
    <tableColumn id="15208" xr3:uid="{C08F5FF7-87F2-4F7B-9F09-694E4E139498}" name="Column15206"/>
    <tableColumn id="15209" xr3:uid="{230CACAB-883D-4A88-8718-F991D45CF8A9}" name="Column15207"/>
    <tableColumn id="15210" xr3:uid="{9B7F7F43-39BF-4D0C-B265-CD2C2EFC4524}" name="Column15208"/>
    <tableColumn id="15211" xr3:uid="{66C70F47-9567-444D-8917-919F3B3061EA}" name="Column15209"/>
    <tableColumn id="15212" xr3:uid="{72050CF4-1F44-4A1C-B2AE-88C22937ED6D}" name="Column15210"/>
    <tableColumn id="15213" xr3:uid="{FCC08EBA-362D-4B58-BB98-E63BEC24B5F1}" name="Column15211"/>
    <tableColumn id="15214" xr3:uid="{21D8E939-476D-4CAA-B9A4-204851978F9F}" name="Column15212"/>
    <tableColumn id="15215" xr3:uid="{F4455D39-31C1-4305-9574-CAA75076B0FF}" name="Column15213"/>
    <tableColumn id="15216" xr3:uid="{29275405-22DB-4809-8FB3-AA931616AD22}" name="Column15214"/>
    <tableColumn id="15217" xr3:uid="{CD50B123-C7D6-4F5C-AD19-B80CE09E7163}" name="Column15215"/>
    <tableColumn id="15218" xr3:uid="{18238DBC-1C9A-4E8A-A6F9-E875A626E0C4}" name="Column15216"/>
    <tableColumn id="15219" xr3:uid="{5A812157-F291-4FD2-AB7C-50465E3D9DAE}" name="Column15217"/>
    <tableColumn id="15220" xr3:uid="{B1F2EDFA-E730-4E9A-9FCF-01ECA18AD9C6}" name="Column15218"/>
    <tableColumn id="15221" xr3:uid="{1950DBF2-64D8-4DDB-BE22-1E5A743165AB}" name="Column15219"/>
    <tableColumn id="15222" xr3:uid="{2CC11DB3-EAB7-4BF5-A56B-E7E163990016}" name="Column15220"/>
    <tableColumn id="15223" xr3:uid="{DDDC3826-B4B2-4641-9AB0-A6D02403543C}" name="Column15221"/>
    <tableColumn id="15224" xr3:uid="{DDF97220-2526-4539-B562-79CBDFE7E05D}" name="Column15222"/>
    <tableColumn id="15225" xr3:uid="{F4FB5770-7169-46F3-B4D6-36E9B26BD65C}" name="Column15223"/>
    <tableColumn id="15226" xr3:uid="{51DAC5F4-6D1A-4F96-A36D-E8EA1EACF556}" name="Column15224"/>
    <tableColumn id="15227" xr3:uid="{52CA9527-2F54-4CD6-80D9-22113A052932}" name="Column15225"/>
    <tableColumn id="15228" xr3:uid="{6A0EA26B-2485-4431-97BA-6B0FDB38CCF8}" name="Column15226"/>
    <tableColumn id="15229" xr3:uid="{01DBAB17-0351-4612-BDAE-DE864BDE3995}" name="Column15227"/>
    <tableColumn id="15230" xr3:uid="{5161B588-9485-4A4A-AE0A-ABD7773009E2}" name="Column15228"/>
    <tableColumn id="15231" xr3:uid="{5DFE5C79-3590-44CA-AD48-D9E9A9A3F7AC}" name="Column15229"/>
    <tableColumn id="15232" xr3:uid="{2BB7EB12-4FF9-4437-8786-01277DE7AD58}" name="Column15230"/>
    <tableColumn id="15233" xr3:uid="{321875C3-8958-4B62-9C06-7EFC08C75FF6}" name="Column15231"/>
    <tableColumn id="15234" xr3:uid="{107A82D2-258E-4263-9D4A-4FC1BDF1F108}" name="Column15232"/>
    <tableColumn id="15235" xr3:uid="{72E2D974-E479-4822-A36E-62AECD936E43}" name="Column15233"/>
    <tableColumn id="15236" xr3:uid="{5F46B76D-6AAE-43A9-9621-06079FFF0CA4}" name="Column15234"/>
    <tableColumn id="15237" xr3:uid="{D3BDCD39-86C2-456E-B344-064BB8CDFF64}" name="Column15235"/>
    <tableColumn id="15238" xr3:uid="{A346580B-4819-4D5C-BE4E-3828722AD61F}" name="Column15236"/>
    <tableColumn id="15239" xr3:uid="{94729C6A-3BF9-4E1F-85C6-B80FB8FFD600}" name="Column15237"/>
    <tableColumn id="15240" xr3:uid="{FA2C283F-66C9-4572-9F8F-9BB1D3174F1C}" name="Column15238"/>
    <tableColumn id="15241" xr3:uid="{B0CA94D6-FE3C-411F-92B5-37F1F80B97EF}" name="Column15239"/>
    <tableColumn id="15242" xr3:uid="{7D67FF37-A7DF-4475-AE54-590D61A85EDF}" name="Column15240"/>
    <tableColumn id="15243" xr3:uid="{133720E1-CE04-4034-9116-5987FB0E0373}" name="Column15241"/>
    <tableColumn id="15244" xr3:uid="{6E6A789A-3322-4E66-86D1-46F683E359E9}" name="Column15242"/>
    <tableColumn id="15245" xr3:uid="{7D57EADE-110D-4D69-9A9C-55300A2AD128}" name="Column15243"/>
    <tableColumn id="15246" xr3:uid="{935F4F49-9ABE-4675-88AC-EB6575D3F738}" name="Column15244"/>
    <tableColumn id="15247" xr3:uid="{5943967D-C6F8-4C63-9D4C-EAF32BABB3A1}" name="Column15245"/>
    <tableColumn id="15248" xr3:uid="{BFFA67D2-346A-4FE9-A9A7-5CD1611ED2F5}" name="Column15246"/>
    <tableColumn id="15249" xr3:uid="{73752A22-61A1-4C5B-95E4-6BEF0C57D1A4}" name="Column15247"/>
    <tableColumn id="15250" xr3:uid="{1D23EC37-A90B-4E9D-BB4A-64267432B5A6}" name="Column15248"/>
    <tableColumn id="15251" xr3:uid="{B29E2A8B-113C-41BC-96E2-F8B2C2A55DFF}" name="Column15249"/>
    <tableColumn id="15252" xr3:uid="{50AF7AAC-B834-4720-BF69-E228EAD36D0B}" name="Column15250"/>
    <tableColumn id="15253" xr3:uid="{B6D742EC-C115-4EEA-BCFB-0A4CCAE68509}" name="Column15251"/>
    <tableColumn id="15254" xr3:uid="{656B83EC-CFC8-45CC-8608-CE950B82621A}" name="Column15252"/>
    <tableColumn id="15255" xr3:uid="{C091B205-C469-4341-B424-A9CE94F521A4}" name="Column15253"/>
    <tableColumn id="15256" xr3:uid="{F3C50130-4332-463B-AD30-DF6E6798384A}" name="Column15254"/>
    <tableColumn id="15257" xr3:uid="{ECF61032-2333-4445-9D77-3CA6DA62FDE2}" name="Column15255"/>
    <tableColumn id="15258" xr3:uid="{0D66709C-BC51-4CB8-84D1-19D6D5FFD4DF}" name="Column15256"/>
    <tableColumn id="15259" xr3:uid="{C368E33B-C746-4C0D-868C-45AEB70F0D23}" name="Column15257"/>
    <tableColumn id="15260" xr3:uid="{8DA4A62D-643F-4ABB-9893-13E23257039A}" name="Column15258"/>
    <tableColumn id="15261" xr3:uid="{70E14A5C-56D4-4C70-B08D-D45E7873AFF1}" name="Column15259"/>
    <tableColumn id="15262" xr3:uid="{815907F0-76E4-4406-A284-01947DC6B0DB}" name="Column15260"/>
    <tableColumn id="15263" xr3:uid="{D6AB5AF6-CB41-4C8F-8613-F52222C63452}" name="Column15261"/>
    <tableColumn id="15264" xr3:uid="{45C22A16-25E2-4FF6-A864-0C6FF10B4A2D}" name="Column15262"/>
    <tableColumn id="15265" xr3:uid="{37935F2C-A728-4643-8038-4013459C3226}" name="Column15263"/>
    <tableColumn id="15266" xr3:uid="{D5EA2F73-B36D-414A-9FE3-54AB0EBDB810}" name="Column15264"/>
    <tableColumn id="15267" xr3:uid="{E3ADE79B-ED52-467D-A4A6-FFB7E2C13916}" name="Column15265"/>
    <tableColumn id="15268" xr3:uid="{4188069C-05FD-4C3E-9102-843A40F1882A}" name="Column15266"/>
    <tableColumn id="15269" xr3:uid="{8F79D068-F105-4BF1-B53E-E00A90DBA512}" name="Column15267"/>
    <tableColumn id="15270" xr3:uid="{61D001F1-8DE7-4B12-930C-778A43DD6B06}" name="Column15268"/>
    <tableColumn id="15271" xr3:uid="{60EF3F77-88A0-4519-B51F-4BCC37BE60E1}" name="Column15269"/>
    <tableColumn id="15272" xr3:uid="{BB467A4D-7F5D-4098-B593-7C89FB82D334}" name="Column15270"/>
    <tableColumn id="15273" xr3:uid="{E0EE7C76-E36A-452E-93D1-C10D8DBF8C92}" name="Column15271"/>
    <tableColumn id="15274" xr3:uid="{6146B577-7197-43B3-92A0-5FF8C1D50E8D}" name="Column15272"/>
    <tableColumn id="15275" xr3:uid="{14A2C3FA-A8B6-43B3-A6B0-3C472611BE91}" name="Column15273"/>
    <tableColumn id="15276" xr3:uid="{18DB56C6-9671-4912-98D4-10A2EC95F556}" name="Column15274"/>
    <tableColumn id="15277" xr3:uid="{20C2EE16-5481-4B50-BE9F-471D5F729836}" name="Column15275"/>
    <tableColumn id="15278" xr3:uid="{FE768CA1-BC62-4A7E-B781-170D19A75C9C}" name="Column15276"/>
    <tableColumn id="15279" xr3:uid="{FFF8102E-0D19-4497-9ED1-4C7A2FD66818}" name="Column15277"/>
    <tableColumn id="15280" xr3:uid="{FD614C24-5EE7-4703-8F41-DFC08E38419B}" name="Column15278"/>
    <tableColumn id="15281" xr3:uid="{FF66D4EA-0400-47FC-9EE7-250F2DEF5453}" name="Column15279"/>
    <tableColumn id="15282" xr3:uid="{25E166A6-257E-4BD5-90BC-3140F271A36D}" name="Column15280"/>
    <tableColumn id="15283" xr3:uid="{1F68ED93-1BEE-4195-B749-911B431B6828}" name="Column15281"/>
    <tableColumn id="15284" xr3:uid="{36EF3D84-A1D8-4CE6-A677-15159E519E47}" name="Column15282"/>
    <tableColumn id="15285" xr3:uid="{9491F958-9E95-43FF-832B-F5067E2F0BF5}" name="Column15283"/>
    <tableColumn id="15286" xr3:uid="{AF2F0C2A-8960-46BA-965B-1045C9EAE1D6}" name="Column15284"/>
    <tableColumn id="15287" xr3:uid="{E01D409B-90EE-4CE9-97E6-4E27DB7323AB}" name="Column15285"/>
    <tableColumn id="15288" xr3:uid="{0BF3CDE1-DA7D-4B8C-84B5-7E6E0160A071}" name="Column15286"/>
    <tableColumn id="15289" xr3:uid="{2A2FA119-1DA2-434E-9EC4-FE4C3859AEC4}" name="Column15287"/>
    <tableColumn id="15290" xr3:uid="{A0C1DFA5-2845-46F2-9B9E-C29642A2937F}" name="Column15288"/>
    <tableColumn id="15291" xr3:uid="{12109E2D-AB67-4FB3-9075-2DF86A7CF890}" name="Column15289"/>
    <tableColumn id="15292" xr3:uid="{B82DEB4B-B974-404D-95BF-34641B09F285}" name="Column15290"/>
    <tableColumn id="15293" xr3:uid="{5FE097FA-D54D-4CBC-9274-7F80900A1556}" name="Column15291"/>
    <tableColumn id="15294" xr3:uid="{8803E6EC-69A3-4427-ABD3-824FBD6D359F}" name="Column15292"/>
    <tableColumn id="15295" xr3:uid="{649F5104-3642-4B0B-B9B0-4EACE2753C8A}" name="Column15293"/>
    <tableColumn id="15296" xr3:uid="{299A2F83-FB68-4A4F-9D0C-77CE979ADD76}" name="Column15294"/>
    <tableColumn id="15297" xr3:uid="{F179987F-EC58-43BA-9298-5CA72FC8EECB}" name="Column15295"/>
    <tableColumn id="15298" xr3:uid="{1AB09F8F-6407-410A-8919-0EFFB65D8A45}" name="Column15296"/>
    <tableColumn id="15299" xr3:uid="{33C8673E-EAB3-4609-9FE8-DCADECD5D516}" name="Column15297"/>
    <tableColumn id="15300" xr3:uid="{EE7E9619-16CB-4C65-994D-E4A9F73DD72C}" name="Column15298"/>
    <tableColumn id="15301" xr3:uid="{CF8D4B90-328E-43D3-BDC7-FA168B2BD7BF}" name="Column15299"/>
    <tableColumn id="15302" xr3:uid="{E2638689-C2B5-4295-B2A3-1222A30C9410}" name="Column15300"/>
    <tableColumn id="15303" xr3:uid="{00B0FA8E-C4FC-4438-8786-D296A56873B5}" name="Column15301"/>
    <tableColumn id="15304" xr3:uid="{FF1C749E-2AA3-405F-9063-3B381687BEC3}" name="Column15302"/>
    <tableColumn id="15305" xr3:uid="{6EE0E710-98B5-4998-B2E0-E30C03B2E02B}" name="Column15303"/>
    <tableColumn id="15306" xr3:uid="{09491040-F702-428A-BE48-C1A53509D0F8}" name="Column15304"/>
    <tableColumn id="15307" xr3:uid="{2B5B35A9-9EAA-4EA8-B361-A299CF8390E9}" name="Column15305"/>
    <tableColumn id="15308" xr3:uid="{C97CCDB5-89CF-4A14-B700-E8EA9E08415D}" name="Column15306"/>
    <tableColumn id="15309" xr3:uid="{D8610937-2599-417E-9822-7450D1C59407}" name="Column15307"/>
    <tableColumn id="15310" xr3:uid="{D4301244-7723-4ABC-9606-C7D8271D0B18}" name="Column15308"/>
    <tableColumn id="15311" xr3:uid="{88E016D4-CC3A-4AA0-8102-4CB016621C53}" name="Column15309"/>
    <tableColumn id="15312" xr3:uid="{21C68501-5F75-4C0C-91E7-729E17E9B47A}" name="Column15310"/>
    <tableColumn id="15313" xr3:uid="{24CBE98E-0EDA-457E-8216-34D73F7C41AF}" name="Column15311"/>
    <tableColumn id="15314" xr3:uid="{4C6406FB-9E89-4BC0-AFE0-6251C3F21347}" name="Column15312"/>
    <tableColumn id="15315" xr3:uid="{0B7F63C4-57CD-436F-9F6A-94639EEAC7FD}" name="Column15313"/>
    <tableColumn id="15316" xr3:uid="{259272C0-0F24-489A-B87A-7BDFA9A5CE5C}" name="Column15314"/>
    <tableColumn id="15317" xr3:uid="{FD206ECE-6309-475A-AF3D-C87CE0C60F74}" name="Column15315"/>
    <tableColumn id="15318" xr3:uid="{E78056DD-1F5A-4891-9A98-0713AE47B9FC}" name="Column15316"/>
    <tableColumn id="15319" xr3:uid="{853937D9-5889-454A-ADCE-DF2A974AF0B9}" name="Column15317"/>
    <tableColumn id="15320" xr3:uid="{23505FF8-CF58-4B61-A148-35CABD9A03C5}" name="Column15318"/>
    <tableColumn id="15321" xr3:uid="{D0C9991C-A01F-4739-A0BB-B54BC02764F7}" name="Column15319"/>
    <tableColumn id="15322" xr3:uid="{A7EBEA59-5673-4DAB-873C-1C0675CF3A7B}" name="Column15320"/>
    <tableColumn id="15323" xr3:uid="{20575388-E225-4AB2-BE2E-972C841CBAAA}" name="Column15321"/>
    <tableColumn id="15324" xr3:uid="{92CB5CE3-B468-4322-890A-9C2258B7788C}" name="Column15322"/>
    <tableColumn id="15325" xr3:uid="{D060142B-BB68-45AF-912E-D0815B05FE6D}" name="Column15323"/>
    <tableColumn id="15326" xr3:uid="{D4F82264-413B-4B46-974F-1DBC62BE11D8}" name="Column15324"/>
    <tableColumn id="15327" xr3:uid="{E5E358EE-D69A-4382-AD0B-DC05A29A02CC}" name="Column15325"/>
    <tableColumn id="15328" xr3:uid="{5D924618-AAD5-4EFC-91EC-C95DC1DFFA5C}" name="Column15326"/>
    <tableColumn id="15329" xr3:uid="{703F0647-D3BC-4CFB-A556-E8FEC612A813}" name="Column15327"/>
    <tableColumn id="15330" xr3:uid="{6FC532EA-D120-4993-9969-A811987F81E1}" name="Column15328"/>
    <tableColumn id="15331" xr3:uid="{8EFF4815-927A-4501-BF95-D4BDC954D06F}" name="Column15329"/>
    <tableColumn id="15332" xr3:uid="{E53ECE0A-DDDB-4A22-B80D-4E92B0037795}" name="Column15330"/>
    <tableColumn id="15333" xr3:uid="{18503DBB-9926-4F8B-8C8F-D4C08B214AFB}" name="Column15331"/>
    <tableColumn id="15334" xr3:uid="{7DB18DC2-306C-4F0E-9502-16AB56F643A9}" name="Column15332"/>
    <tableColumn id="15335" xr3:uid="{B61092B3-2767-4324-8370-2E2267662119}" name="Column15333"/>
    <tableColumn id="15336" xr3:uid="{ED328BF0-5F5C-4786-8736-0AFBC8F04E60}" name="Column15334"/>
    <tableColumn id="15337" xr3:uid="{8657EDF5-1668-4D45-B1A1-A1219362AEB3}" name="Column15335"/>
    <tableColumn id="15338" xr3:uid="{182FD553-F803-45D9-943E-C698C62D7FBC}" name="Column15336"/>
    <tableColumn id="15339" xr3:uid="{0D0C5E6A-D55D-418E-8442-8BF3A4C55E84}" name="Column15337"/>
    <tableColumn id="15340" xr3:uid="{2A26276E-2432-4BB1-B4E0-DF8331BECDA7}" name="Column15338"/>
    <tableColumn id="15341" xr3:uid="{B337503C-24F6-44DC-B75E-D82BC9824025}" name="Column15339"/>
    <tableColumn id="15342" xr3:uid="{8E4D7A04-38DD-4E27-862A-82D7E5A98B8B}" name="Column15340"/>
    <tableColumn id="15343" xr3:uid="{C20FC1F9-A5EA-49D4-A006-2ABFEC752379}" name="Column15341"/>
    <tableColumn id="15344" xr3:uid="{5ADAD725-6908-481C-8301-697F562A3D13}" name="Column15342"/>
    <tableColumn id="15345" xr3:uid="{36C69739-0481-48A1-9CDE-83C2A98DAAB3}" name="Column15343"/>
    <tableColumn id="15346" xr3:uid="{DD1A0AE4-C9E4-4EC1-90FE-46499EA15768}" name="Column15344"/>
    <tableColumn id="15347" xr3:uid="{5D1C232C-4814-43B5-9B56-3D480E5A84DE}" name="Column15345"/>
    <tableColumn id="15348" xr3:uid="{4BB64CBB-61C7-44A0-A11A-B1C34ABE5F3E}" name="Column15346"/>
    <tableColumn id="15349" xr3:uid="{1B45C85C-0490-4E34-8F34-0956CA24B796}" name="Column15347"/>
    <tableColumn id="15350" xr3:uid="{011B717F-0213-46C0-A4C4-C1434D3988D3}" name="Column15348"/>
    <tableColumn id="15351" xr3:uid="{FD037E6B-FE0B-493F-BA7B-E7B69761F221}" name="Column15349"/>
    <tableColumn id="15352" xr3:uid="{98500087-2585-445F-889C-B29FD609C4B2}" name="Column15350"/>
    <tableColumn id="15353" xr3:uid="{8DD59B44-ED29-45EF-A089-3E63C8630A99}" name="Column15351"/>
    <tableColumn id="15354" xr3:uid="{BA54121D-EEFA-4404-BF8E-C8A19F8E7BDC}" name="Column15352"/>
    <tableColumn id="15355" xr3:uid="{47B388B0-739F-4E77-AD66-C7682AD0619F}" name="Column15353"/>
    <tableColumn id="15356" xr3:uid="{B0D799FE-04B9-41BC-924F-2A528CEAC85C}" name="Column15354"/>
    <tableColumn id="15357" xr3:uid="{0F7DF1EA-24E1-465A-AEA7-F90F320F5DB7}" name="Column15355"/>
    <tableColumn id="15358" xr3:uid="{E67A449C-B8BF-4852-B440-74D9529EB955}" name="Column15356"/>
    <tableColumn id="15359" xr3:uid="{386ECC0E-3CBB-4E81-AFA5-B15C08FA993C}" name="Column15357"/>
    <tableColumn id="15360" xr3:uid="{4BEB1097-D472-43E5-9EFF-2497237747E6}" name="Column15358"/>
    <tableColumn id="15361" xr3:uid="{FA904E13-CB4A-4A4C-8AD6-2A886945442E}" name="Column15359"/>
    <tableColumn id="15362" xr3:uid="{66846506-24E0-410A-9D8A-6005C1585B0C}" name="Column15360"/>
    <tableColumn id="15363" xr3:uid="{84E6A62A-B317-4C45-860E-A369443CE283}" name="Column15361"/>
    <tableColumn id="15364" xr3:uid="{673E15A3-4BA2-4D85-AC27-4EB26C3D254C}" name="Column15362"/>
    <tableColumn id="15365" xr3:uid="{3D605A3D-A642-4F5B-9D47-A0F5AA9176B0}" name="Column15363"/>
    <tableColumn id="15366" xr3:uid="{D6BF3DE4-F5D2-4FA6-81B0-B28FCDF10CE7}" name="Column15364"/>
    <tableColumn id="15367" xr3:uid="{E2D9313B-3208-4AFE-90D6-06949B63929A}" name="Column15365"/>
    <tableColumn id="15368" xr3:uid="{51E883D6-0049-42B2-8696-63F4D63561DB}" name="Column15366"/>
    <tableColumn id="15369" xr3:uid="{F1F5F9C4-F93A-45AE-97A8-F75E02CADF16}" name="Column15367"/>
    <tableColumn id="15370" xr3:uid="{E63C7D8D-D69B-40CC-B9CD-6DF8A169C6F6}" name="Column15368"/>
    <tableColumn id="15371" xr3:uid="{91C2ABBC-41F1-4635-9F47-FF14B65E01F5}" name="Column15369"/>
    <tableColumn id="15372" xr3:uid="{C6CA7127-2B61-42C2-AB94-CB3BBEE4A8BA}" name="Column15370"/>
    <tableColumn id="15373" xr3:uid="{2D7E1713-1947-4596-AEEB-282FF0ED32A4}" name="Column15371"/>
    <tableColumn id="15374" xr3:uid="{23B99CAF-B498-4237-A474-F45589E5BE94}" name="Column15372"/>
    <tableColumn id="15375" xr3:uid="{109EB08F-E74D-4265-8D7B-453ED39E32FD}" name="Column15373"/>
    <tableColumn id="15376" xr3:uid="{9C96C8AB-8910-455F-9043-D1321A2B850C}" name="Column15374"/>
    <tableColumn id="15377" xr3:uid="{EA5D7F7B-C28B-41CA-BB99-80A73F752C3F}" name="Column15375"/>
    <tableColumn id="15378" xr3:uid="{BCB04CD2-DAA1-49CB-8226-482A53BF992E}" name="Column15376"/>
    <tableColumn id="15379" xr3:uid="{9C71441F-8ED3-4E6D-A7F5-9B86AABBA3B5}" name="Column15377"/>
    <tableColumn id="15380" xr3:uid="{31F7C1AD-A471-49D6-A038-3FBBC8CE32E1}" name="Column15378"/>
    <tableColumn id="15381" xr3:uid="{317EB068-C350-4D9E-9147-16BE0D91918B}" name="Column15379"/>
    <tableColumn id="15382" xr3:uid="{5D0014F6-69A6-47DE-92A3-A6057DD7213E}" name="Column15380"/>
    <tableColumn id="15383" xr3:uid="{E4AB2A42-D6C2-4860-A8B6-6836C2E4F821}" name="Column15381"/>
    <tableColumn id="15384" xr3:uid="{6B5C93B6-6394-4033-8819-9F1AD91EB68D}" name="Column15382"/>
    <tableColumn id="15385" xr3:uid="{54B90123-330F-464E-850B-532E31490E67}" name="Column15383"/>
    <tableColumn id="15386" xr3:uid="{3CB7C30C-482F-4435-8EDC-A0890E44CE6A}" name="Column15384"/>
    <tableColumn id="15387" xr3:uid="{45ABB083-4492-405C-B9A3-0C6EF287D7CF}" name="Column15385"/>
    <tableColumn id="15388" xr3:uid="{BC9A0019-5BFE-451B-B67C-38EC57163DB6}" name="Column15386"/>
    <tableColumn id="15389" xr3:uid="{50F4EFAD-D0B7-4CE4-922B-3D96F6CF982C}" name="Column15387"/>
    <tableColumn id="15390" xr3:uid="{04006CCD-F616-44DF-A136-78C8B8D8EB03}" name="Column15388"/>
    <tableColumn id="15391" xr3:uid="{A0BE961A-30C6-4521-AEBB-0ECD22D561BE}" name="Column15389"/>
    <tableColumn id="15392" xr3:uid="{4DCA88C0-E39C-4959-80DB-53BD40067196}" name="Column15390"/>
    <tableColumn id="15393" xr3:uid="{24D30F3E-0425-4507-8D9B-77CA37AFF380}" name="Column15391"/>
    <tableColumn id="15394" xr3:uid="{70F36833-DEBE-47F3-80F0-AD563D15E387}" name="Column15392"/>
    <tableColumn id="15395" xr3:uid="{7696782B-8DF8-46FB-AB42-32774D42DD91}" name="Column15393"/>
    <tableColumn id="15396" xr3:uid="{C236B610-4AF4-447C-A56E-AF741D1B302E}" name="Column15394"/>
    <tableColumn id="15397" xr3:uid="{261EB03F-8104-4635-9FF5-9F0652CC6005}" name="Column15395"/>
    <tableColumn id="15398" xr3:uid="{2CACBA4F-02B1-4827-ABF1-14653C8E7A50}" name="Column15396"/>
    <tableColumn id="15399" xr3:uid="{F4FA9858-4912-488A-A0CB-6C2C53C337E6}" name="Column15397"/>
    <tableColumn id="15400" xr3:uid="{A17193E2-1D7C-42B6-9293-5256D271CC1E}" name="Column15398"/>
    <tableColumn id="15401" xr3:uid="{777DAED0-E8E3-4F43-9F12-229EDE345A52}" name="Column15399"/>
    <tableColumn id="15402" xr3:uid="{A1106B1E-17C5-43F9-8283-8A51641DB008}" name="Column15400"/>
    <tableColumn id="15403" xr3:uid="{130897A2-5583-4B46-8766-C86CCFC68045}" name="Column15401"/>
    <tableColumn id="15404" xr3:uid="{26826913-E770-4CEC-93EA-C7714296F9F4}" name="Column15402"/>
    <tableColumn id="15405" xr3:uid="{9B6482C8-55A1-4D15-996C-51353CEFD8D0}" name="Column15403"/>
    <tableColumn id="15406" xr3:uid="{9CCB5478-014B-441E-84EB-FBD7941D385A}" name="Column15404"/>
    <tableColumn id="15407" xr3:uid="{87EAC052-69CD-4358-9A3F-91389F8A4191}" name="Column15405"/>
    <tableColumn id="15408" xr3:uid="{A1C46A50-0EA7-4B5C-AF24-E9442C43F3D9}" name="Column15406"/>
    <tableColumn id="15409" xr3:uid="{1CE58326-402F-41FB-B1DE-FBEE263EE609}" name="Column15407"/>
    <tableColumn id="15410" xr3:uid="{40804802-83DC-45DD-8B0E-F6E6F67E0614}" name="Column15408"/>
    <tableColumn id="15411" xr3:uid="{3E8B8BF6-C72C-4AC9-A63D-4C85DA59D646}" name="Column15409"/>
    <tableColumn id="15412" xr3:uid="{8919E4E2-50EF-4365-A15D-B5D5D0C7910B}" name="Column15410"/>
    <tableColumn id="15413" xr3:uid="{093A9B09-90B8-4BDA-8FE6-82DCEB70BAA1}" name="Column15411"/>
    <tableColumn id="15414" xr3:uid="{2BFD166E-11A5-4AC6-B1EB-8C8CE395C4AE}" name="Column15412"/>
    <tableColumn id="15415" xr3:uid="{10E86D3A-4301-494B-9244-5AF657EAD7CB}" name="Column15413"/>
    <tableColumn id="15416" xr3:uid="{24635CC1-7C01-4C35-9011-25B2E7DD5C91}" name="Column15414"/>
    <tableColumn id="15417" xr3:uid="{78D62786-CFB5-4A1C-8533-71D0F413D90A}" name="Column15415"/>
    <tableColumn id="15418" xr3:uid="{40981107-2D98-42AD-A185-A8EC0332D3C9}" name="Column15416"/>
    <tableColumn id="15419" xr3:uid="{207BD1B0-278C-4724-BC4A-3A6C13642922}" name="Column15417"/>
    <tableColumn id="15420" xr3:uid="{B9D76F18-913C-4C94-91C9-D2D4175B8EF7}" name="Column15418"/>
    <tableColumn id="15421" xr3:uid="{870BBCDD-ABAE-4DA1-8C2A-1F1F40FA7A73}" name="Column15419"/>
    <tableColumn id="15422" xr3:uid="{1EAAF48D-1B2E-4EF2-AA83-0A3BF638D1AD}" name="Column15420"/>
    <tableColumn id="15423" xr3:uid="{AA0CC3C8-F18E-46A2-A959-9A34704F268C}" name="Column15421"/>
    <tableColumn id="15424" xr3:uid="{026004C7-4FF7-494E-8C7D-953A259CCDA0}" name="Column15422"/>
    <tableColumn id="15425" xr3:uid="{F6138119-8A7F-4718-9CE4-B1CB9BD9B690}" name="Column15423"/>
    <tableColumn id="15426" xr3:uid="{35E03908-5880-4B65-B69B-85B20956273F}" name="Column15424"/>
    <tableColumn id="15427" xr3:uid="{E4A1FBA2-BE5B-414A-B1AF-1B8F5DCDCE98}" name="Column15425"/>
    <tableColumn id="15428" xr3:uid="{9E053EB4-E92D-44F2-968C-2C6804AC1EF1}" name="Column15426"/>
    <tableColumn id="15429" xr3:uid="{7C34F412-7744-4209-9614-5FAC8D1886F2}" name="Column15427"/>
    <tableColumn id="15430" xr3:uid="{98494F56-9956-4C5C-B37A-585C38D4E9B2}" name="Column15428"/>
    <tableColumn id="15431" xr3:uid="{9FD243AE-C29A-477D-95F8-F8DA56950C93}" name="Column15429"/>
    <tableColumn id="15432" xr3:uid="{DBEDD84B-98B1-4501-BE5E-558903E2FD77}" name="Column15430"/>
    <tableColumn id="15433" xr3:uid="{DBC52F12-4CCB-4B90-963C-B2F312F227D0}" name="Column15431"/>
    <tableColumn id="15434" xr3:uid="{7C5100BD-9DE1-4AE7-897C-8E40A1E41DF8}" name="Column15432"/>
    <tableColumn id="15435" xr3:uid="{600B6F50-62C5-4070-9C16-CE563D3F3AC4}" name="Column15433"/>
    <tableColumn id="15436" xr3:uid="{3112FC63-E976-4E95-9854-EE6602CCE31A}" name="Column15434"/>
    <tableColumn id="15437" xr3:uid="{0D9E8A92-9E51-4F0D-A67F-8BCC097493E6}" name="Column15435"/>
    <tableColumn id="15438" xr3:uid="{0004E6C2-3FF2-4C45-AB38-CCF36ECA428C}" name="Column15436"/>
    <tableColumn id="15439" xr3:uid="{5EEE608B-5C0D-4FFA-A2B7-937D228AA62B}" name="Column15437"/>
    <tableColumn id="15440" xr3:uid="{9B7D79E4-F48B-4686-B113-0BC476FC6FD4}" name="Column15438"/>
    <tableColumn id="15441" xr3:uid="{4FDF4C1B-EDA4-4C71-94EA-206CC4B3FAD7}" name="Column15439"/>
    <tableColumn id="15442" xr3:uid="{82AF6EEE-5497-4DC7-88ED-D61025847ABF}" name="Column15440"/>
    <tableColumn id="15443" xr3:uid="{938664F1-2D01-4D19-AFDE-A9CB97AFF3DE}" name="Column15441"/>
    <tableColumn id="15444" xr3:uid="{5FCDC379-DEA1-463C-BAE9-673D298E5B8B}" name="Column15442"/>
    <tableColumn id="15445" xr3:uid="{E1B6AA3D-8FD2-4DE5-AF06-EC761BDB57CA}" name="Column15443"/>
    <tableColumn id="15446" xr3:uid="{AE01CA16-EF0A-44D1-BDA6-B6968C2C339B}" name="Column15444"/>
    <tableColumn id="15447" xr3:uid="{96B7BF01-BF19-49FF-8E73-3093C3F0A548}" name="Column15445"/>
    <tableColumn id="15448" xr3:uid="{14FFEDE4-18A7-4BD3-9DE0-46E9141063A6}" name="Column15446"/>
    <tableColumn id="15449" xr3:uid="{7D367A19-6E2F-4354-89C9-26B58DBF8443}" name="Column15447"/>
    <tableColumn id="15450" xr3:uid="{C15AEC06-4596-487C-A7D5-075CE60E1876}" name="Column15448"/>
    <tableColumn id="15451" xr3:uid="{EE926D48-36B0-4FBD-AD5A-0DD9E3FF9D1A}" name="Column15449"/>
    <tableColumn id="15452" xr3:uid="{DFB58C93-36E5-40A8-8E0A-73EF332B86F5}" name="Column15450"/>
    <tableColumn id="15453" xr3:uid="{DA531FC9-8B9C-45AD-BBD3-B88BCD8B6917}" name="Column15451"/>
    <tableColumn id="15454" xr3:uid="{96A2866D-0B6A-46E8-A7B3-D2E1DFDF60E4}" name="Column15452"/>
    <tableColumn id="15455" xr3:uid="{D3AF0505-5A45-40BF-B6DF-70ED987961E5}" name="Column15453"/>
    <tableColumn id="15456" xr3:uid="{2E1F8FF8-275A-4721-A375-74967AF5ADE3}" name="Column15454"/>
    <tableColumn id="15457" xr3:uid="{DBE91ED4-8091-4BFE-AD18-6EB21EE076B9}" name="Column15455"/>
    <tableColumn id="15458" xr3:uid="{2134F82D-CD90-4918-B973-645D4F5FF395}" name="Column15456"/>
    <tableColumn id="15459" xr3:uid="{226B2CB6-3057-457E-9D3D-7CB01A96F545}" name="Column15457"/>
    <tableColumn id="15460" xr3:uid="{20398390-BEE4-4824-9C67-1FF08FB2F0AF}" name="Column15458"/>
    <tableColumn id="15461" xr3:uid="{09DE809C-434B-4BE4-8816-8E56F995462E}" name="Column15459"/>
    <tableColumn id="15462" xr3:uid="{19AA57AE-FC4B-4A34-8244-685661B10DF1}" name="Column15460"/>
    <tableColumn id="15463" xr3:uid="{F60F1325-5A66-4875-92B1-55E599D13890}" name="Column15461"/>
    <tableColumn id="15464" xr3:uid="{8683602D-97D8-4157-B5F7-29CCC1F3ABBA}" name="Column15462"/>
    <tableColumn id="15465" xr3:uid="{12E64C2D-DBA5-49F1-96BF-B52B4A6C9480}" name="Column15463"/>
    <tableColumn id="15466" xr3:uid="{B0C47713-289D-48C9-B872-34A5D8AC360A}" name="Column15464"/>
    <tableColumn id="15467" xr3:uid="{DAF13317-7DB2-43D0-9772-15CA3508A04C}" name="Column15465"/>
    <tableColumn id="15468" xr3:uid="{6464DD97-E450-4D6A-B83E-23844E21B3F6}" name="Column15466"/>
    <tableColumn id="15469" xr3:uid="{B327B747-BCA7-4DE0-ABC5-5395D6D21317}" name="Column15467"/>
    <tableColumn id="15470" xr3:uid="{7EC119D6-950C-4E62-9981-1F9D155ECDDC}" name="Column15468"/>
    <tableColumn id="15471" xr3:uid="{6DEA7D6D-F5BB-412B-A559-42E90F43BFEC}" name="Column15469"/>
    <tableColumn id="15472" xr3:uid="{ECE17074-DACF-4F74-803A-260DAF416FB0}" name="Column15470"/>
    <tableColumn id="15473" xr3:uid="{D65801D2-72C9-4E40-9BBB-972FD1CD073A}" name="Column15471"/>
    <tableColumn id="15474" xr3:uid="{8010FCEA-EF3F-415B-8F31-0FCBFDFFC38A}" name="Column15472"/>
    <tableColumn id="15475" xr3:uid="{456BC6BC-70F5-4438-85C5-ECF2FBF526DA}" name="Column15473"/>
    <tableColumn id="15476" xr3:uid="{265FD844-09BE-4ADA-84CF-00E44A0ACF16}" name="Column15474"/>
    <tableColumn id="15477" xr3:uid="{63DC7D12-607E-4A04-BAB9-2A9D14BA4877}" name="Column15475"/>
    <tableColumn id="15478" xr3:uid="{D76346EF-F9EA-4383-AD79-886F2A6E50BD}" name="Column15476"/>
    <tableColumn id="15479" xr3:uid="{84571B52-F852-440F-8880-70A4F5CA6B49}" name="Column15477"/>
    <tableColumn id="15480" xr3:uid="{48A3C7F5-7970-4AE8-8E65-9BFA8C69E668}" name="Column15478"/>
    <tableColumn id="15481" xr3:uid="{F7F281F1-694B-4148-B02B-325EA70B533D}" name="Column15479"/>
    <tableColumn id="15482" xr3:uid="{4D4517CA-DB6D-4C71-9846-84B54B4929DB}" name="Column15480"/>
    <tableColumn id="15483" xr3:uid="{C1915BDE-D4FD-46BC-B98A-07D7176FCC3D}" name="Column15481"/>
    <tableColumn id="15484" xr3:uid="{9C7C297E-A46F-4E05-B521-C3F40E7A1D25}" name="Column15482"/>
    <tableColumn id="15485" xr3:uid="{23D1EF0E-D385-4E21-99F8-AC495C56B0A4}" name="Column15483"/>
    <tableColumn id="15486" xr3:uid="{AE320CFC-6FBF-45B3-9007-7351DEF66DA3}" name="Column15484"/>
    <tableColumn id="15487" xr3:uid="{F037EF5D-B349-4337-9835-7CAB06D45256}" name="Column15485"/>
    <tableColumn id="15488" xr3:uid="{C330B90D-DA37-4978-AFC5-DCCCE6F07D02}" name="Column15486"/>
    <tableColumn id="15489" xr3:uid="{5F836C81-EB43-4EA9-AC85-63847C0EF839}" name="Column15487"/>
    <tableColumn id="15490" xr3:uid="{0009F996-BDE5-4E31-A856-A56530E892AD}" name="Column15488"/>
    <tableColumn id="15491" xr3:uid="{3A95E7DA-15A8-4979-872D-BF884703E578}" name="Column15489"/>
    <tableColumn id="15492" xr3:uid="{2705D635-83F8-4E2A-BC72-7261B3B30876}" name="Column15490"/>
    <tableColumn id="15493" xr3:uid="{68B0DF07-0A7A-4C2C-A374-71F880000F99}" name="Column15491"/>
    <tableColumn id="15494" xr3:uid="{29E700C0-A39C-4C7B-833C-CC3487182822}" name="Column15492"/>
    <tableColumn id="15495" xr3:uid="{A4FFA2A1-6770-4BF6-BAD9-4B54BCCD7ACB}" name="Column15493"/>
    <tableColumn id="15496" xr3:uid="{0B269EDB-61F0-420C-8B11-D7D088A7C104}" name="Column15494"/>
    <tableColumn id="15497" xr3:uid="{D70D3E48-44A5-4473-84F0-239011FD0375}" name="Column15495"/>
    <tableColumn id="15498" xr3:uid="{DBAE32FD-859E-4D1A-9E20-75C0B28AA804}" name="Column15496"/>
    <tableColumn id="15499" xr3:uid="{B569094F-45A1-4AF3-91B3-F0740E1D3292}" name="Column15497"/>
    <tableColumn id="15500" xr3:uid="{A68C8F37-0937-4958-9D80-F4ABD28C0EF8}" name="Column15498"/>
    <tableColumn id="15501" xr3:uid="{65BEEC0D-BA85-4D42-A4F5-BEC745150CC5}" name="Column15499"/>
    <tableColumn id="15502" xr3:uid="{C72D7E86-713E-4415-A78E-5123D752BBA4}" name="Column15500"/>
    <tableColumn id="15503" xr3:uid="{AAEC6EC9-1A99-4D6F-9BEE-BB1508680D0F}" name="Column15501"/>
    <tableColumn id="15504" xr3:uid="{957A5714-778B-4181-A3BA-B7AAFA9B7237}" name="Column15502"/>
    <tableColumn id="15505" xr3:uid="{06088E3B-1121-424C-B310-340031FCDF00}" name="Column15503"/>
    <tableColumn id="15506" xr3:uid="{5EC6EBB9-77E2-4D58-8CBF-E18C92DF1058}" name="Column15504"/>
    <tableColumn id="15507" xr3:uid="{0A5782EF-E159-42F5-9EC7-E380301005FF}" name="Column15505"/>
    <tableColumn id="15508" xr3:uid="{0A141A3C-7A8E-4ABC-8A1A-5F01C9C3602D}" name="Column15506"/>
    <tableColumn id="15509" xr3:uid="{29E3D656-C340-4BE0-B72B-70F7FFA60C37}" name="Column15507"/>
    <tableColumn id="15510" xr3:uid="{BCEA9084-6C4D-445B-A538-633627A01648}" name="Column15508"/>
    <tableColumn id="15511" xr3:uid="{93FACA0A-4D83-469F-9F66-52D3FBD05F5B}" name="Column15509"/>
    <tableColumn id="15512" xr3:uid="{62E366A3-B4EB-40AA-AB39-B01BCE9C417D}" name="Column15510"/>
    <tableColumn id="15513" xr3:uid="{1E9649A8-8391-4335-BA95-AC4D681DFCC7}" name="Column15511"/>
    <tableColumn id="15514" xr3:uid="{B7073449-32E5-4940-B4AD-86BA374A30FE}" name="Column15512"/>
    <tableColumn id="15515" xr3:uid="{56BE952B-D58E-432D-A697-1D4FBB52620B}" name="Column15513"/>
    <tableColumn id="15516" xr3:uid="{53685519-67DF-45B9-867F-1FA4DEDCDA9D}" name="Column15514"/>
    <tableColumn id="15517" xr3:uid="{EC966888-61A4-44E6-A71F-34ABC05F751D}" name="Column15515"/>
    <tableColumn id="15518" xr3:uid="{55331268-BEEB-4D87-A08E-4E759CA0B7F0}" name="Column15516"/>
    <tableColumn id="15519" xr3:uid="{7B87DE8F-F5C0-4AD4-918A-9E6B43BB17E7}" name="Column15517"/>
    <tableColumn id="15520" xr3:uid="{AD3CDEDD-9CC8-4DEB-8A19-FF243245FB10}" name="Column15518"/>
    <tableColumn id="15521" xr3:uid="{128485D6-7B15-40AB-B6AA-B292892F72DA}" name="Column15519"/>
    <tableColumn id="15522" xr3:uid="{9CB138B7-5A9D-4EB7-AA5D-19437A718192}" name="Column15520"/>
    <tableColumn id="15523" xr3:uid="{80AB8A89-9211-4F97-A9B6-6ED55C3A9256}" name="Column15521"/>
    <tableColumn id="15524" xr3:uid="{D4C3B306-8C07-47F8-8F88-9A28C5DD2AD1}" name="Column15522"/>
    <tableColumn id="15525" xr3:uid="{CC67DAC9-8131-4557-A7DE-4CBBF4313493}" name="Column15523"/>
    <tableColumn id="15526" xr3:uid="{D66FAF35-16E5-4B68-9E37-A452C2BD69E4}" name="Column15524"/>
    <tableColumn id="15527" xr3:uid="{956FF4D5-4AA4-453F-BBD7-48D727B6CF6E}" name="Column15525"/>
    <tableColumn id="15528" xr3:uid="{0F846980-C862-4C73-BA4B-C17C02CB88A9}" name="Column15526"/>
    <tableColumn id="15529" xr3:uid="{5730A8CF-F48D-4785-ACCF-A306890856AF}" name="Column15527"/>
    <tableColumn id="15530" xr3:uid="{4D598C40-4588-4D1A-A225-57E7CAF29BAB}" name="Column15528"/>
    <tableColumn id="15531" xr3:uid="{59705B39-6FC3-4E00-B818-B18A83529633}" name="Column15529"/>
    <tableColumn id="15532" xr3:uid="{6627695A-AAC6-44DE-B945-936BEB4615BE}" name="Column15530"/>
    <tableColumn id="15533" xr3:uid="{9C7A14B3-014C-44F5-9C47-3839E7EB3A95}" name="Column15531"/>
    <tableColumn id="15534" xr3:uid="{87882E67-24B8-4448-B9B2-AD9DC8144AC1}" name="Column15532"/>
    <tableColumn id="15535" xr3:uid="{DD27B6D7-DD49-4784-A41D-4C81E80AF1E3}" name="Column15533"/>
    <tableColumn id="15536" xr3:uid="{391FDB31-87A8-4682-9B36-437AF94650AE}" name="Column15534"/>
    <tableColumn id="15537" xr3:uid="{A9EA9B22-A8F6-4A9A-8F59-808CCF815787}" name="Column15535"/>
    <tableColumn id="15538" xr3:uid="{95B34957-A115-428D-A0D6-67C2EB964EC4}" name="Column15536"/>
    <tableColumn id="15539" xr3:uid="{040884A6-2AAC-4C94-97C8-CDA6029EC5FF}" name="Column15537"/>
    <tableColumn id="15540" xr3:uid="{E34BD7AB-0EBC-4CC2-95B5-D71EFB797215}" name="Column15538"/>
    <tableColumn id="15541" xr3:uid="{EA550179-682C-4DB9-898F-BA4E09A0075B}" name="Column15539"/>
    <tableColumn id="15542" xr3:uid="{23549D97-507F-48EE-91BC-A291A69D0DA1}" name="Column15540"/>
    <tableColumn id="15543" xr3:uid="{84A76AE1-43DA-4723-9154-669781FED692}" name="Column15541"/>
    <tableColumn id="15544" xr3:uid="{9327C993-F93E-4FC7-9238-ED14FFEF8166}" name="Column15542"/>
    <tableColumn id="15545" xr3:uid="{0DC2BDEE-6DA5-4E92-AC18-FE97A4B1D592}" name="Column15543"/>
    <tableColumn id="15546" xr3:uid="{57043A33-0D2E-4B04-964B-AE446DA1076E}" name="Column15544"/>
    <tableColumn id="15547" xr3:uid="{D21E72DD-7D14-4EBD-924C-9F29FD9D29D0}" name="Column15545"/>
    <tableColumn id="15548" xr3:uid="{EB038273-40B5-4B4A-9D79-C64BF73A8758}" name="Column15546"/>
    <tableColumn id="15549" xr3:uid="{253F5AFA-B128-4962-B3F8-1C7ED55691CF}" name="Column15547"/>
    <tableColumn id="15550" xr3:uid="{444A07F7-FF57-4167-8073-E1A9009BBF67}" name="Column15548"/>
    <tableColumn id="15551" xr3:uid="{A17A1290-0E5A-4F9C-B0D0-3F8E4A0A1A1D}" name="Column15549"/>
    <tableColumn id="15552" xr3:uid="{F0109F53-1A2E-4E65-857A-8BBDC19C6B64}" name="Column15550"/>
    <tableColumn id="15553" xr3:uid="{30CF6C19-466B-4C94-839C-115A482B9F87}" name="Column15551"/>
    <tableColumn id="15554" xr3:uid="{156AB228-E2CB-435B-AC3B-AA73ACE3EABB}" name="Column15552"/>
    <tableColumn id="15555" xr3:uid="{665892FA-8EEE-4792-B4B2-8B74187F1756}" name="Column15553"/>
    <tableColumn id="15556" xr3:uid="{87C266E4-4FF8-4460-88A3-98DDF0199E18}" name="Column15554"/>
    <tableColumn id="15557" xr3:uid="{170C227B-4BC9-4169-959B-2C894713E8A3}" name="Column15555"/>
    <tableColumn id="15558" xr3:uid="{495A0D14-2466-4B6D-8409-3586B68F4A18}" name="Column15556"/>
    <tableColumn id="15559" xr3:uid="{1252BA58-751F-46AC-8D58-0FA3BDC03291}" name="Column15557"/>
    <tableColumn id="15560" xr3:uid="{8E46D783-A891-4ED7-AD7C-4338D85DE776}" name="Column15558"/>
    <tableColumn id="15561" xr3:uid="{8F92A0B4-8E00-44E6-9DC1-6799DF78C6D9}" name="Column15559"/>
    <tableColumn id="15562" xr3:uid="{A1B88DC2-9C64-4120-AA93-865498BD701D}" name="Column15560"/>
    <tableColumn id="15563" xr3:uid="{6307D993-3D4A-43B2-BF92-D8FEEB69BA46}" name="Column15561"/>
    <tableColumn id="15564" xr3:uid="{F4914623-535E-4F30-AC33-61B66A6CB240}" name="Column15562"/>
    <tableColumn id="15565" xr3:uid="{6724DCD5-B986-4540-A6A0-B246D43DDC2E}" name="Column15563"/>
    <tableColumn id="15566" xr3:uid="{2576096C-BB81-4263-95BD-6D7A06E19857}" name="Column15564"/>
    <tableColumn id="15567" xr3:uid="{E273B264-7D99-49CF-8B69-F998C7B04908}" name="Column15565"/>
    <tableColumn id="15568" xr3:uid="{CC55A9A6-E0E4-4E31-B939-FF09AD6AC5F6}" name="Column15566"/>
    <tableColumn id="15569" xr3:uid="{BE132B47-261A-44CA-AD9F-39FFC49D75A9}" name="Column15567"/>
    <tableColumn id="15570" xr3:uid="{1A4E3192-4229-457F-9734-375110BD0659}" name="Column15568"/>
    <tableColumn id="15571" xr3:uid="{7E1C2D0A-12D1-41CF-A5D6-1F7D4951FBC1}" name="Column15569"/>
    <tableColumn id="15572" xr3:uid="{CFB7A20F-5B38-4357-BC19-202B116CC650}" name="Column15570"/>
    <tableColumn id="15573" xr3:uid="{6DC3F808-8398-476B-A0C1-741152013506}" name="Column15571"/>
    <tableColumn id="15574" xr3:uid="{E989BD97-BB92-43C0-B32C-503469B31F67}" name="Column15572"/>
    <tableColumn id="15575" xr3:uid="{9C4F4C0C-C51B-4514-941C-CBD4F2C8DC57}" name="Column15573"/>
    <tableColumn id="15576" xr3:uid="{63C8EFE4-1A89-4D80-8390-1F155E70BFEF}" name="Column15574"/>
    <tableColumn id="15577" xr3:uid="{CA760BA0-CFDC-48C9-B806-425B6C2781FF}" name="Column15575"/>
    <tableColumn id="15578" xr3:uid="{866CF1A0-96DA-435B-88BE-94F1C482E387}" name="Column15576"/>
    <tableColumn id="15579" xr3:uid="{B83CA85E-2F73-4DC3-AD97-8655DA841932}" name="Column15577"/>
    <tableColumn id="15580" xr3:uid="{826F36ED-0C53-4186-8EAF-152086582E01}" name="Column15578"/>
    <tableColumn id="15581" xr3:uid="{9E566903-6BB8-4497-AB96-E95ACD92D77F}" name="Column15579"/>
    <tableColumn id="15582" xr3:uid="{EF75CD8D-E6B6-4A36-AF55-44077BFEF48F}" name="Column15580"/>
    <tableColumn id="15583" xr3:uid="{564AF8D4-FC7C-4824-A324-05D9C6CBFDAA}" name="Column15581"/>
    <tableColumn id="15584" xr3:uid="{6690C00E-34AE-404C-9859-A81110465753}" name="Column15582"/>
    <tableColumn id="15585" xr3:uid="{4C8160EE-4F3D-4368-B46D-7D2E3083F55B}" name="Column15583"/>
    <tableColumn id="15586" xr3:uid="{4A46B228-B5C0-47B1-A3DB-CEFA964EA169}" name="Column15584"/>
    <tableColumn id="15587" xr3:uid="{4197C4BB-0C15-4AD2-848B-096F3F5D1831}" name="Column15585"/>
    <tableColumn id="15588" xr3:uid="{588BAC4C-DB72-4EE3-8F4F-42E0C8A0F156}" name="Column15586"/>
    <tableColumn id="15589" xr3:uid="{D7D27170-B942-460D-A7FB-1CB720D0BA9A}" name="Column15587"/>
    <tableColumn id="15590" xr3:uid="{45364EC1-A638-4810-92D3-AB8750C4373A}" name="Column15588"/>
    <tableColumn id="15591" xr3:uid="{D58D0CAC-6545-41EB-872A-F684E9CF4772}" name="Column15589"/>
    <tableColumn id="15592" xr3:uid="{83CFE656-6EAD-44E2-89F6-1600D1F77D20}" name="Column15590"/>
    <tableColumn id="15593" xr3:uid="{89A2214C-0AC6-4D0C-97AF-B253798FBD80}" name="Column15591"/>
    <tableColumn id="15594" xr3:uid="{5094F00F-515A-45DF-B4B9-DA6EBE2CED0C}" name="Column15592"/>
    <tableColumn id="15595" xr3:uid="{FF0BF472-2748-41E0-AFE6-FC50ABC105F9}" name="Column15593"/>
    <tableColumn id="15596" xr3:uid="{E470EF62-25FB-45A9-BC0A-3CAE5CB7696D}" name="Column15594"/>
    <tableColumn id="15597" xr3:uid="{D8042477-B866-42BB-906C-9C099860FD81}" name="Column15595"/>
    <tableColumn id="15598" xr3:uid="{A0A89094-821E-461A-AFCC-FB69C3B74EDA}" name="Column15596"/>
    <tableColumn id="15599" xr3:uid="{E786A38C-28D0-4D3E-9607-70DEC60D03F2}" name="Column15597"/>
    <tableColumn id="15600" xr3:uid="{72D63784-44A9-4289-B37F-C9081ED6F6BD}" name="Column15598"/>
    <tableColumn id="15601" xr3:uid="{AF8FFC87-1129-450E-A39C-1817A80F614E}" name="Column15599"/>
    <tableColumn id="15602" xr3:uid="{89976418-B0DD-4349-86BB-3CFBCFA23DFB}" name="Column15600"/>
    <tableColumn id="15603" xr3:uid="{CD8A0229-5BE8-4256-84AD-4E797DC42559}" name="Column15601"/>
    <tableColumn id="15604" xr3:uid="{4E84B0D3-A85B-456D-AC4D-24E0450CF481}" name="Column15602"/>
    <tableColumn id="15605" xr3:uid="{0EA29DD5-555B-49A4-AA0B-EA47B14C4EC8}" name="Column15603"/>
    <tableColumn id="15606" xr3:uid="{9FCB7EBB-DC27-479B-BF10-12E7DD0BE5BA}" name="Column15604"/>
    <tableColumn id="15607" xr3:uid="{698C9474-304F-4961-846D-073E94E26733}" name="Column15605"/>
    <tableColumn id="15608" xr3:uid="{529F1BC8-F821-4B7E-9673-5287DB9D8591}" name="Column15606"/>
    <tableColumn id="15609" xr3:uid="{CE3ADE2B-DB13-4B2F-9D3F-C6519503797A}" name="Column15607"/>
    <tableColumn id="15610" xr3:uid="{DBDA88F3-F6D4-4F13-8BCE-7369676CA50E}" name="Column15608"/>
    <tableColumn id="15611" xr3:uid="{962E084D-EB46-49AA-B60B-6A3B11552D50}" name="Column15609"/>
    <tableColumn id="15612" xr3:uid="{D8A3F1D1-8D28-41F8-8592-6EEF0B06BC20}" name="Column15610"/>
    <tableColumn id="15613" xr3:uid="{3BC92964-CCA3-4CB7-AA60-8AD0E05D7376}" name="Column15611"/>
    <tableColumn id="15614" xr3:uid="{D00F4C17-EDB8-4EAA-89EE-0669C3A4D965}" name="Column15612"/>
    <tableColumn id="15615" xr3:uid="{1BE1DB33-64C0-4707-B2EC-F35C4D982D78}" name="Column15613"/>
    <tableColumn id="15616" xr3:uid="{D3809CA8-0D93-4A63-A1DF-504C3A8C293D}" name="Column15614"/>
    <tableColumn id="15617" xr3:uid="{1163C138-39E1-4002-A9E8-AAEEC44770A1}" name="Column15615"/>
    <tableColumn id="15618" xr3:uid="{73DFD231-E4CC-4362-8665-486E94F14D3D}" name="Column15616"/>
    <tableColumn id="15619" xr3:uid="{09001859-D7C2-4B5A-AE49-DE32B3D017EE}" name="Column15617"/>
    <tableColumn id="15620" xr3:uid="{E9F20C34-ACCF-44BA-8731-A9C6BA41D5BF}" name="Column15618"/>
    <tableColumn id="15621" xr3:uid="{E0D72E5D-4EC6-48D0-9861-152E8A4B2950}" name="Column15619"/>
    <tableColumn id="15622" xr3:uid="{CD8AA44C-BE5F-4027-981D-DBE4D980F649}" name="Column15620"/>
    <tableColumn id="15623" xr3:uid="{59478EBC-B533-447A-B13C-5BAA9A02C7EC}" name="Column15621"/>
    <tableColumn id="15624" xr3:uid="{1C0637F4-B42D-40DE-A9FB-FB8E405F72AE}" name="Column15622"/>
    <tableColumn id="15625" xr3:uid="{F78251A0-B958-435E-8CCE-682D6420FA4E}" name="Column15623"/>
    <tableColumn id="15626" xr3:uid="{B75B175D-4D55-4B77-800D-62BBAA4FE56F}" name="Column15624"/>
    <tableColumn id="15627" xr3:uid="{50EFCD83-5010-4DCA-A48D-FCB1D5DA3024}" name="Column15625"/>
    <tableColumn id="15628" xr3:uid="{C8E27E72-1FB5-4741-8F77-C1D5F8162978}" name="Column15626"/>
    <tableColumn id="15629" xr3:uid="{AA6941DE-387E-48B5-9B1A-4500BAEA361C}" name="Column15627"/>
    <tableColumn id="15630" xr3:uid="{5C12C82F-9E75-4EEE-AB99-337B5F1B4619}" name="Column15628"/>
    <tableColumn id="15631" xr3:uid="{282A91DA-AE9F-483C-A0AC-ED53860D0376}" name="Column15629"/>
    <tableColumn id="15632" xr3:uid="{A268EDA4-8151-4C7D-97A9-3D1C76A66557}" name="Column15630"/>
    <tableColumn id="15633" xr3:uid="{131AF75A-D0D5-4EF6-A217-7889CE7BEA19}" name="Column15631"/>
    <tableColumn id="15634" xr3:uid="{89D73B73-F538-4F65-99A9-0DF8F1585C66}" name="Column15632"/>
    <tableColumn id="15635" xr3:uid="{B00824A0-CAD0-4EC3-96FD-2E3CDB3B51F8}" name="Column15633"/>
    <tableColumn id="15636" xr3:uid="{847C293B-F9C2-4171-96CC-6F5ACAB2884E}" name="Column15634"/>
    <tableColumn id="15637" xr3:uid="{05500308-C4D9-4A4C-9726-F5C3E0CCDB37}" name="Column15635"/>
    <tableColumn id="15638" xr3:uid="{3C59E1E1-E432-4EBC-8E38-F119BDC58D64}" name="Column15636"/>
    <tableColumn id="15639" xr3:uid="{45439EF4-4EC7-40F1-9C44-4E1747052F17}" name="Column15637"/>
    <tableColumn id="15640" xr3:uid="{BD35EABC-BB66-4940-AC17-5DEB9A79DF1E}" name="Column15638"/>
    <tableColumn id="15641" xr3:uid="{863E4AA8-D45A-41EC-A0FF-9718FC9CE3CB}" name="Column15639"/>
    <tableColumn id="15642" xr3:uid="{031E06EA-7004-449D-84DF-20C665EBD41F}" name="Column15640"/>
    <tableColumn id="15643" xr3:uid="{2A2B7218-4946-4167-A4C6-199740568419}" name="Column15641"/>
    <tableColumn id="15644" xr3:uid="{D7BD04B3-FF8E-4DFB-93A9-83BEBA499936}" name="Column15642"/>
    <tableColumn id="15645" xr3:uid="{A065C596-D68F-495E-B0E3-49D42FDCA457}" name="Column15643"/>
    <tableColumn id="15646" xr3:uid="{CCF9DEBE-73CE-4FEC-90F5-DE4B444EA128}" name="Column15644"/>
    <tableColumn id="15647" xr3:uid="{ED1B0036-5890-449E-BAE6-85FBC06A47AE}" name="Column15645"/>
    <tableColumn id="15648" xr3:uid="{6D782CB4-8E12-45E4-AA5C-8C50C4EED92D}" name="Column15646"/>
    <tableColumn id="15649" xr3:uid="{9C69C52C-CA7C-4195-8082-A2407875AB9B}" name="Column15647"/>
    <tableColumn id="15650" xr3:uid="{DDB9857B-58DD-4F13-AB80-46071A10683D}" name="Column15648"/>
    <tableColumn id="15651" xr3:uid="{BA354C75-6039-421D-A472-2CA9C7011D26}" name="Column15649"/>
    <tableColumn id="15652" xr3:uid="{20771ECC-D291-4611-A1D0-2D0083EA64B2}" name="Column15650"/>
    <tableColumn id="15653" xr3:uid="{0A23634C-750F-4C7D-9A46-CC02D428FCB7}" name="Column15651"/>
    <tableColumn id="15654" xr3:uid="{58D369E7-5AC1-49D5-817B-C2BE176D8F6E}" name="Column15652"/>
    <tableColumn id="15655" xr3:uid="{047DF309-5215-413D-879A-B6522FA26E26}" name="Column15653"/>
    <tableColumn id="15656" xr3:uid="{E23161BC-31E2-4971-AC02-C419459DA4E5}" name="Column15654"/>
    <tableColumn id="15657" xr3:uid="{8F05C613-177E-4DAF-91EE-A1E9BD8F04B8}" name="Column15655"/>
    <tableColumn id="15658" xr3:uid="{0BAA93EF-9E6D-4334-BA07-685BC9C8360A}" name="Column15656"/>
    <tableColumn id="15659" xr3:uid="{445AA34A-A807-4BE0-9389-7273AA2281AD}" name="Column15657"/>
    <tableColumn id="15660" xr3:uid="{A2A23BAB-68FF-450B-9E40-5103615F422B}" name="Column15658"/>
    <tableColumn id="15661" xr3:uid="{6F1C7CFF-3AF1-4636-A75F-886BF2855518}" name="Column15659"/>
    <tableColumn id="15662" xr3:uid="{0BE88899-7870-4089-91E2-D9DDD8B87F89}" name="Column15660"/>
    <tableColumn id="15663" xr3:uid="{9CEA0E7D-F7EA-45D1-989A-471A77CDD0CC}" name="Column15661"/>
    <tableColumn id="15664" xr3:uid="{40E5734E-A858-4A73-B63C-79209534221A}" name="Column15662"/>
    <tableColumn id="15665" xr3:uid="{CEE7A400-5A0B-4E53-9701-8C7D69936E24}" name="Column15663"/>
    <tableColumn id="15666" xr3:uid="{31E97D99-6328-45B0-A613-25DF39B70217}" name="Column15664"/>
    <tableColumn id="15667" xr3:uid="{C96D9BAA-55F8-46CA-8D78-34CCEF9BBCC0}" name="Column15665"/>
    <tableColumn id="15668" xr3:uid="{9E0E863D-B60F-4034-8DAA-88E40AA1D1EB}" name="Column15666"/>
    <tableColumn id="15669" xr3:uid="{943432E0-9FD9-4D5D-A663-AB4CB54059B2}" name="Column15667"/>
    <tableColumn id="15670" xr3:uid="{377E679D-5A57-46DB-9D55-1B8FFCD2F76D}" name="Column15668"/>
    <tableColumn id="15671" xr3:uid="{B664268F-D972-4BF3-ABE1-A9C99FA79861}" name="Column15669"/>
    <tableColumn id="15672" xr3:uid="{74F674FE-792C-40B3-B1E1-56CA2C4A3A4B}" name="Column15670"/>
    <tableColumn id="15673" xr3:uid="{460E87C0-5C39-4F02-A148-5ECEE7BAFA82}" name="Column15671"/>
    <tableColumn id="15674" xr3:uid="{129533B4-C428-4F31-BAAE-70F721251D88}" name="Column15672"/>
    <tableColumn id="15675" xr3:uid="{D3E4FCA2-A578-497F-AF4C-65FEC1523060}" name="Column15673"/>
    <tableColumn id="15676" xr3:uid="{F4361B27-EED3-4665-915E-014427E5A1C7}" name="Column15674"/>
    <tableColumn id="15677" xr3:uid="{AF46403C-B003-4B43-A829-027C769BE561}" name="Column15675"/>
    <tableColumn id="15678" xr3:uid="{A909A8F7-3A27-46ED-A268-EA07279862D7}" name="Column15676"/>
    <tableColumn id="15679" xr3:uid="{6599D08A-DD97-4A87-854E-2109F176B4AC}" name="Column15677"/>
    <tableColumn id="15680" xr3:uid="{9D5B1445-870C-4EB3-8D96-AD4FD2AF4F9B}" name="Column15678"/>
    <tableColumn id="15681" xr3:uid="{1DBFC0C6-F02F-495C-BE75-938E65BE711F}" name="Column15679"/>
    <tableColumn id="15682" xr3:uid="{AC2E5D38-40F8-4D2A-B063-A0892FA0B87E}" name="Column15680"/>
    <tableColumn id="15683" xr3:uid="{2CEEC3C3-565F-4532-9A08-3D09417C2F40}" name="Column15681"/>
    <tableColumn id="15684" xr3:uid="{16D309F8-A61B-4BF6-9260-82174A8246F0}" name="Column15682"/>
    <tableColumn id="15685" xr3:uid="{42DE3328-12AC-4703-B95E-2E8C3F49E568}" name="Column15683"/>
    <tableColumn id="15686" xr3:uid="{7982EB41-7945-468B-83D8-3EE3CC6A7C6C}" name="Column15684"/>
    <tableColumn id="15687" xr3:uid="{5423C152-7B47-4063-9D3F-5331A6D5FE50}" name="Column15685"/>
    <tableColumn id="15688" xr3:uid="{6C896D23-C740-46C7-847F-89F41A5C6162}" name="Column15686"/>
    <tableColumn id="15689" xr3:uid="{BF6558E7-19F0-4FD4-817F-2B5CBD77A6F1}" name="Column15687"/>
    <tableColumn id="15690" xr3:uid="{F8692502-E099-433A-9C46-7356E5EAB276}" name="Column15688"/>
    <tableColumn id="15691" xr3:uid="{736061B2-6371-46FF-9C1F-3FD7D173A93D}" name="Column15689"/>
    <tableColumn id="15692" xr3:uid="{0DE63139-67E0-49AB-9C25-A18152EE3122}" name="Column15690"/>
    <tableColumn id="15693" xr3:uid="{39CA1A7B-18A1-4567-B427-2DFAD04CFE60}" name="Column15691"/>
    <tableColumn id="15694" xr3:uid="{14317461-8485-4F9C-B966-4F3E8A798A96}" name="Column15692"/>
    <tableColumn id="15695" xr3:uid="{A834438C-C45E-4F8B-9AC9-2C56C7B09586}" name="Column15693"/>
    <tableColumn id="15696" xr3:uid="{A0CC6686-801C-4788-B303-3B00DF1E7B70}" name="Column15694"/>
    <tableColumn id="15697" xr3:uid="{5D2B14BD-D089-469A-A2D0-0C2F679745E3}" name="Column15695"/>
    <tableColumn id="15698" xr3:uid="{24E5B55B-04FC-4DA9-8DA1-9C203125CE4B}" name="Column15696"/>
    <tableColumn id="15699" xr3:uid="{DE29F760-5D3B-4976-81DA-653DABD63CD3}" name="Column15697"/>
    <tableColumn id="15700" xr3:uid="{7E584860-C431-4000-8C47-868CEAFA196C}" name="Column15698"/>
    <tableColumn id="15701" xr3:uid="{BC19C2F3-D902-47EE-9109-E58CE3C52788}" name="Column15699"/>
    <tableColumn id="15702" xr3:uid="{0EA6F9B8-F614-4F5C-83D9-574C3F1C911D}" name="Column15700"/>
    <tableColumn id="15703" xr3:uid="{297F4A48-C87D-45B0-9132-93DDBD2BB1D0}" name="Column15701"/>
    <tableColumn id="15704" xr3:uid="{53A22690-247E-4C6C-995B-94263458F85A}" name="Column15702"/>
    <tableColumn id="15705" xr3:uid="{200F28FC-DD11-4800-B3E1-210B0DEBA85F}" name="Column15703"/>
    <tableColumn id="15706" xr3:uid="{5170D742-57BC-48B2-A8C8-898A661D4C79}" name="Column15704"/>
    <tableColumn id="15707" xr3:uid="{6C6FF3FB-9264-460A-B3C9-81C9B90A925E}" name="Column15705"/>
    <tableColumn id="15708" xr3:uid="{C2CDDAD1-4A4D-408A-A74A-1D12E6BFE131}" name="Column15706"/>
    <tableColumn id="15709" xr3:uid="{61973168-C9FF-4561-9C99-64DBE4E7DC8B}" name="Column15707"/>
    <tableColumn id="15710" xr3:uid="{5CC4C5D7-D408-43DD-9CCA-2035ECBDAD43}" name="Column15708"/>
    <tableColumn id="15711" xr3:uid="{49D47E0E-D293-41B1-BF8D-0CFBD3445125}" name="Column15709"/>
    <tableColumn id="15712" xr3:uid="{D0D879FD-EEEA-49C1-A776-CB905D509977}" name="Column15710"/>
    <tableColumn id="15713" xr3:uid="{1FD749B9-BC32-466C-8352-72CC37399B76}" name="Column15711"/>
    <tableColumn id="15714" xr3:uid="{C19F9B17-FA3E-479E-85AE-936575A7F9F4}" name="Column15712"/>
    <tableColumn id="15715" xr3:uid="{71CDD289-895A-40DB-BF45-F2960B0FFFB5}" name="Column15713"/>
    <tableColumn id="15716" xr3:uid="{E62A7311-F2E3-4F10-AE33-432517189963}" name="Column15714"/>
    <tableColumn id="15717" xr3:uid="{584086A5-602F-469B-8226-1FCD5BE33943}" name="Column15715"/>
    <tableColumn id="15718" xr3:uid="{6C07C84C-683E-4253-8FC3-1E7A0D292B07}" name="Column15716"/>
    <tableColumn id="15719" xr3:uid="{6E72AAD3-D5D2-476E-A6AF-90F3B2CEE8B2}" name="Column15717"/>
    <tableColumn id="15720" xr3:uid="{D932DFA2-B040-427F-A13A-E3603CBC0373}" name="Column15718"/>
    <tableColumn id="15721" xr3:uid="{8102B245-B8EE-4603-8835-799EC3D76CBA}" name="Column15719"/>
    <tableColumn id="15722" xr3:uid="{42D4B3F4-382F-4D90-92EF-DFCF2076A93A}" name="Column15720"/>
    <tableColumn id="15723" xr3:uid="{C739330B-2CD0-4E86-8A40-758EB1162F89}" name="Column15721"/>
    <tableColumn id="15724" xr3:uid="{5E04DEC3-614A-41F0-94BD-24D960D89A9E}" name="Column15722"/>
    <tableColumn id="15725" xr3:uid="{87A7F8D1-D750-427E-8F3F-F55D017A60C4}" name="Column15723"/>
    <tableColumn id="15726" xr3:uid="{5E40A364-F044-4CBD-B9BC-C9F638A5BE3D}" name="Column15724"/>
    <tableColumn id="15727" xr3:uid="{5FF021AE-21EF-4276-8A59-B0CE6DB45019}" name="Column15725"/>
    <tableColumn id="15728" xr3:uid="{888EDEE2-2DB7-49C5-BEAE-24ED0E0DBE29}" name="Column15726"/>
    <tableColumn id="15729" xr3:uid="{47169594-4966-4773-BDF0-28B664F84CAA}" name="Column15727"/>
    <tableColumn id="15730" xr3:uid="{12040079-E0EA-4D99-93F9-3A19BC65ED2F}" name="Column15728"/>
    <tableColumn id="15731" xr3:uid="{DD67CF0E-4FC1-417F-915F-2ED8A9D9A918}" name="Column15729"/>
    <tableColumn id="15732" xr3:uid="{895A530B-C994-4070-B11E-08112555ED6F}" name="Column15730"/>
    <tableColumn id="15733" xr3:uid="{B5E4A8F0-E5D4-49C2-9E00-E1ACC123C543}" name="Column15731"/>
    <tableColumn id="15734" xr3:uid="{D42D94B4-E4E5-475B-9ED0-19F57B4526DA}" name="Column15732"/>
    <tableColumn id="15735" xr3:uid="{672011A4-3ADB-489A-830C-911790FA8305}" name="Column15733"/>
    <tableColumn id="15736" xr3:uid="{BF1D9B25-D142-432A-B190-C8C60A8C67D3}" name="Column15734"/>
    <tableColumn id="15737" xr3:uid="{995DC53A-1CAA-45BF-927F-5F7888F99C0D}" name="Column15735"/>
    <tableColumn id="15738" xr3:uid="{F546856C-BCDB-4BDE-B2EE-3849AFBC84A4}" name="Column15736"/>
    <tableColumn id="15739" xr3:uid="{6F7CF0B6-DC4B-47D0-8170-98783553BC15}" name="Column15737"/>
    <tableColumn id="15740" xr3:uid="{713CD4CC-02AE-4669-8922-C679BDA0B4DF}" name="Column15738"/>
    <tableColumn id="15741" xr3:uid="{21DB3A1E-C91D-4361-AF3C-A048A4F7176C}" name="Column15739"/>
    <tableColumn id="15742" xr3:uid="{4E375EF8-4020-44A4-AECF-62F2DBD1A6C1}" name="Column15740"/>
    <tableColumn id="15743" xr3:uid="{B2B0AB54-5174-4529-9529-462A24C121CA}" name="Column15741"/>
    <tableColumn id="15744" xr3:uid="{C120687E-FC8F-49AB-A23E-ECD3C329F8B0}" name="Column15742"/>
    <tableColumn id="15745" xr3:uid="{D57683CD-5078-44D8-ADDA-4094855930EF}" name="Column15743"/>
    <tableColumn id="15746" xr3:uid="{953B0C70-0C42-4CA3-9444-6E1AEDBC55AC}" name="Column15744"/>
    <tableColumn id="15747" xr3:uid="{AEB708A2-BE32-45D7-8B8E-4540B6AE1C0B}" name="Column15745"/>
    <tableColumn id="15748" xr3:uid="{C8190EE6-F4AD-491E-AE13-694651423D46}" name="Column15746"/>
    <tableColumn id="15749" xr3:uid="{58F13413-7C3E-4493-A233-F6D610E78164}" name="Column15747"/>
    <tableColumn id="15750" xr3:uid="{7F0132BE-EA2F-4F81-98B5-7C4F30BBEAC0}" name="Column15748"/>
    <tableColumn id="15751" xr3:uid="{2077C065-B023-4010-8DE0-0AC754E52C47}" name="Column15749"/>
    <tableColumn id="15752" xr3:uid="{2F6C5BFA-12E1-48F4-BFF4-64F9D9C3C639}" name="Column15750"/>
    <tableColumn id="15753" xr3:uid="{F93A2753-38D3-4337-B6FF-334DEDB9E4EE}" name="Column15751"/>
    <tableColumn id="15754" xr3:uid="{BB00B09D-D0CA-4183-BE3B-92CC3B229586}" name="Column15752"/>
    <tableColumn id="15755" xr3:uid="{23AE5348-BBC9-420F-B1FD-D4EB5E00DDDD}" name="Column15753"/>
    <tableColumn id="15756" xr3:uid="{74758013-97D9-49F1-84F7-2253EE3442DA}" name="Column15754"/>
    <tableColumn id="15757" xr3:uid="{048ABB93-0DB5-463F-9D8D-56864DFF1996}" name="Column15755"/>
    <tableColumn id="15758" xr3:uid="{38F78517-A4D5-49A5-9D72-A6043F6A6D3E}" name="Column15756"/>
    <tableColumn id="15759" xr3:uid="{4840B7D4-0CA4-4A32-85A4-6AB57AFF589B}" name="Column15757"/>
    <tableColumn id="15760" xr3:uid="{F2D9CDE3-3C54-42D5-9FBB-F5F9F8FBD786}" name="Column15758"/>
    <tableColumn id="15761" xr3:uid="{1D2102D8-83AF-4BBB-88BB-D71BA1ECC4DB}" name="Column15759"/>
    <tableColumn id="15762" xr3:uid="{FF783ADC-FFC6-48BB-BA61-F1062BEA9E04}" name="Column15760"/>
    <tableColumn id="15763" xr3:uid="{CA4D11E5-200F-412A-B4C6-4F9ADCCECCDE}" name="Column15761"/>
    <tableColumn id="15764" xr3:uid="{9AA29A6A-A543-41DA-912B-E83B89CF9968}" name="Column15762"/>
    <tableColumn id="15765" xr3:uid="{E1520786-1176-47B1-94CA-2440D9C37194}" name="Column15763"/>
    <tableColumn id="15766" xr3:uid="{05804754-AA9A-47F0-9A9B-AE90D9C2C2A3}" name="Column15764"/>
    <tableColumn id="15767" xr3:uid="{BA27C708-892D-430C-B306-94D1FBC5D662}" name="Column15765"/>
    <tableColumn id="15768" xr3:uid="{9F8730D9-73D1-4AE8-A569-88DCAB9FEC33}" name="Column15766"/>
    <tableColumn id="15769" xr3:uid="{3AD8E0AB-200C-4F57-B861-379A7681C651}" name="Column15767"/>
    <tableColumn id="15770" xr3:uid="{17DF37AA-4708-4A59-964A-50E9435160FC}" name="Column15768"/>
    <tableColumn id="15771" xr3:uid="{A84C1E2D-0339-42DD-8DFB-8CB5F3DEA3C6}" name="Column15769"/>
    <tableColumn id="15772" xr3:uid="{0F2880CC-1020-4927-868A-72E0D737C37A}" name="Column15770"/>
    <tableColumn id="15773" xr3:uid="{387271F2-59E2-496A-8C4A-FFA1A505967C}" name="Column15771"/>
    <tableColumn id="15774" xr3:uid="{317484E3-CF43-4B9A-A82F-B4B0351CBFC9}" name="Column15772"/>
    <tableColumn id="15775" xr3:uid="{5C933D89-7A1E-4D4E-980A-115C9A9112EF}" name="Column15773"/>
    <tableColumn id="15776" xr3:uid="{E281FD2A-9275-4ED9-8D8A-DCC59DA8D68B}" name="Column15774"/>
    <tableColumn id="15777" xr3:uid="{373F2F57-B518-4AE1-9BD9-16325CC613A6}" name="Column15775"/>
    <tableColumn id="15778" xr3:uid="{4AC03E7B-D566-4C4C-9491-3E7428424B4B}" name="Column15776"/>
    <tableColumn id="15779" xr3:uid="{8DE8DADE-704E-4124-966C-4F5FB12A73F4}" name="Column15777"/>
    <tableColumn id="15780" xr3:uid="{DEE10F73-8272-453B-B2FE-73736F064F18}" name="Column15778"/>
    <tableColumn id="15781" xr3:uid="{02E1844D-A103-4B2B-B833-3E238A843F89}" name="Column15779"/>
    <tableColumn id="15782" xr3:uid="{ED38CFF3-F694-42B3-A849-0F7B1D2557E0}" name="Column15780"/>
    <tableColumn id="15783" xr3:uid="{9C365848-E1A4-49FA-99B6-AD31D83CF50F}" name="Column15781"/>
    <tableColumn id="15784" xr3:uid="{98C016D4-1A72-4E3B-8BA2-01BF1C710903}" name="Column15782"/>
    <tableColumn id="15785" xr3:uid="{DE3BD3D5-ADDE-4174-B9B6-826270F18D81}" name="Column15783"/>
    <tableColumn id="15786" xr3:uid="{89E2B55E-206D-4CDE-9E05-CF5F8324ADD1}" name="Column15784"/>
    <tableColumn id="15787" xr3:uid="{750EAA07-1EBC-44EB-84CF-62CDE68BBD58}" name="Column15785"/>
    <tableColumn id="15788" xr3:uid="{C1A5A4A4-CABF-42F5-82EA-707AB894BFDD}" name="Column15786"/>
    <tableColumn id="15789" xr3:uid="{4A46862D-FCA6-42B4-8947-A1E5EBD33A15}" name="Column15787"/>
    <tableColumn id="15790" xr3:uid="{C369112E-C6AE-42EE-A3AD-BCACA9BF169F}" name="Column15788"/>
    <tableColumn id="15791" xr3:uid="{686109EB-6F73-4AC1-8E60-2DACD6F1CB38}" name="Column15789"/>
    <tableColumn id="15792" xr3:uid="{36604962-B501-4F1A-8A1C-75C6104F12BD}" name="Column15790"/>
    <tableColumn id="15793" xr3:uid="{7B2B76CF-EC5E-4F62-8E5E-0F472A977226}" name="Column15791"/>
    <tableColumn id="15794" xr3:uid="{2C0A1CFC-0589-4ADB-BCC4-D9E0534817AC}" name="Column15792"/>
    <tableColumn id="15795" xr3:uid="{D78DD09B-B216-4966-AEA6-B774A50DD0C2}" name="Column15793"/>
    <tableColumn id="15796" xr3:uid="{C4B6C409-65C3-46A9-9491-977C83A5D9EC}" name="Column15794"/>
    <tableColumn id="15797" xr3:uid="{3C5F332D-645F-4C7E-B89B-037E1731EB7B}" name="Column15795"/>
    <tableColumn id="15798" xr3:uid="{EB21D4D8-8FB3-41D8-AD4F-A9E303DD6C12}" name="Column15796"/>
    <tableColumn id="15799" xr3:uid="{74CA7C35-2494-40A0-AF7B-743CE25D0B21}" name="Column15797"/>
    <tableColumn id="15800" xr3:uid="{0DE4EAC7-F202-457F-940F-13592E8374BB}" name="Column15798"/>
    <tableColumn id="15801" xr3:uid="{B79CD738-9C97-4F6B-9F47-1DE05B46EDAD}" name="Column15799"/>
    <tableColumn id="15802" xr3:uid="{00CB6B01-0309-4BF3-8F3F-DC5EBF955647}" name="Column15800"/>
    <tableColumn id="15803" xr3:uid="{F6B142C7-EFDF-4DED-902F-D1D9D2B403C3}" name="Column15801"/>
    <tableColumn id="15804" xr3:uid="{B8A21D52-94F5-4371-842E-55A23063B61F}" name="Column15802"/>
    <tableColumn id="15805" xr3:uid="{EBAB2BBE-5C28-4041-AA8B-C0D22C1E54A6}" name="Column15803"/>
    <tableColumn id="15806" xr3:uid="{A23F208E-69BF-48C1-B0EF-740CE4054E67}" name="Column15804"/>
    <tableColumn id="15807" xr3:uid="{6F2F8BE2-EBA5-47C0-920F-E1C8496DDD76}" name="Column15805"/>
    <tableColumn id="15808" xr3:uid="{FF0CEFE6-DF11-4F2E-97FC-96AB132151EA}" name="Column15806"/>
    <tableColumn id="15809" xr3:uid="{441C4174-1559-41B5-AD62-155BDE1319EA}" name="Column15807"/>
    <tableColumn id="15810" xr3:uid="{019DEE4F-39CA-4B18-9C89-8336CBF66C14}" name="Column15808"/>
    <tableColumn id="15811" xr3:uid="{15CB65CD-AFDE-4ED0-96AF-09BF051CCAB8}" name="Column15809"/>
    <tableColumn id="15812" xr3:uid="{4A10D739-30D1-4D47-B2E6-A92889D97F1B}" name="Column15810"/>
    <tableColumn id="15813" xr3:uid="{BB123D3F-A231-4829-AC5A-DFCB7629AB09}" name="Column15811"/>
    <tableColumn id="15814" xr3:uid="{4F090E1A-A228-43E4-9852-5B9726AAD886}" name="Column15812"/>
    <tableColumn id="15815" xr3:uid="{C138EF77-8C60-4D12-BDD9-C2FACEAEC96C}" name="Column15813"/>
    <tableColumn id="15816" xr3:uid="{88C79998-15A1-4E71-9449-462FEB3D0A2F}" name="Column15814"/>
    <tableColumn id="15817" xr3:uid="{7D609EEC-9657-4EEE-BBF7-6CD010BE3B86}" name="Column15815"/>
    <tableColumn id="15818" xr3:uid="{1D92AC16-F402-4E92-AF17-0F69705A51DB}" name="Column15816"/>
    <tableColumn id="15819" xr3:uid="{8B691C88-6A5B-4A93-8E09-1C78A89E2C9C}" name="Column15817"/>
    <tableColumn id="15820" xr3:uid="{CD0F2359-678F-40F3-9874-4CAAA8614692}" name="Column15818"/>
    <tableColumn id="15821" xr3:uid="{DE72F1FB-2DD6-4FC5-9123-5DACF8E1EA1E}" name="Column15819"/>
    <tableColumn id="15822" xr3:uid="{4A6C158A-0F87-4E73-AB28-A25018FA48C6}" name="Column15820"/>
    <tableColumn id="15823" xr3:uid="{120AAFEF-A630-46CB-8D66-3727B4DC5FF1}" name="Column15821"/>
    <tableColumn id="15824" xr3:uid="{E21DF700-962E-4D69-B094-11AE8884E8C0}" name="Column15822"/>
    <tableColumn id="15825" xr3:uid="{DA4CA190-0EDB-4C1A-AC57-22DCA2CA29B6}" name="Column15823"/>
    <tableColumn id="15826" xr3:uid="{534B9D7B-DCE4-4D31-88D6-7A0263447273}" name="Column15824"/>
    <tableColumn id="15827" xr3:uid="{98F6D1AC-3F8C-419A-8FFB-90C547A5E404}" name="Column15825"/>
    <tableColumn id="15828" xr3:uid="{95A83597-6DA5-4770-BD5A-6A9A181A73C6}" name="Column15826"/>
    <tableColumn id="15829" xr3:uid="{4B0D4FA7-6B9B-4FF4-9CBF-14519752141C}" name="Column15827"/>
    <tableColumn id="15830" xr3:uid="{FCEE9FC8-3AFB-4E7E-BC0B-25C45EE07131}" name="Column15828"/>
    <tableColumn id="15831" xr3:uid="{24961D8F-820E-4863-A9C2-C0A2FA110A7D}" name="Column15829"/>
    <tableColumn id="15832" xr3:uid="{0571F3C9-FAA5-4132-BDC6-1D52FBD6A9B0}" name="Column15830"/>
    <tableColumn id="15833" xr3:uid="{7C0E5433-20F3-4C8C-B0CC-C57E64D7B03E}" name="Column15831"/>
    <tableColumn id="15834" xr3:uid="{97E436F1-DE24-47FC-9040-D7AE9F524069}" name="Column15832"/>
    <tableColumn id="15835" xr3:uid="{1960FE91-B8E2-4F10-B71F-B480EB1EC5D2}" name="Column15833"/>
    <tableColumn id="15836" xr3:uid="{62AE99C2-CAAA-48C7-9529-B0174869E10D}" name="Column15834"/>
    <tableColumn id="15837" xr3:uid="{1BDB66A9-A27C-40DA-A21D-D5E0D572EB06}" name="Column15835"/>
    <tableColumn id="15838" xr3:uid="{B4C24CAC-6DD8-4C29-9CFB-BBD3C46646F7}" name="Column15836"/>
    <tableColumn id="15839" xr3:uid="{73567952-61EE-4C39-B255-279C358E396B}" name="Column15837"/>
    <tableColumn id="15840" xr3:uid="{36BF8C5A-D0B5-461E-9CE3-71CA1F295170}" name="Column15838"/>
    <tableColumn id="15841" xr3:uid="{12BA6A62-ECA8-4FA5-9B88-DBC42496D485}" name="Column15839"/>
    <tableColumn id="15842" xr3:uid="{A09AF5DB-C64C-47DE-A30C-AB364C5033E1}" name="Column15840"/>
    <tableColumn id="15843" xr3:uid="{DB0B630D-55D0-4EFE-9999-559939CDCF92}" name="Column15841"/>
    <tableColumn id="15844" xr3:uid="{7DD73CA9-6B92-41C5-A9C8-72E3EFFB0E69}" name="Column15842"/>
    <tableColumn id="15845" xr3:uid="{D5BCD759-B439-46E6-9A76-1C6BE6244A33}" name="Column15843"/>
    <tableColumn id="15846" xr3:uid="{B59BF3C5-6A53-4B0D-888A-EC1D0048C374}" name="Column15844"/>
    <tableColumn id="15847" xr3:uid="{AA124AFE-315A-4565-A99F-16D275B610E3}" name="Column15845"/>
    <tableColumn id="15848" xr3:uid="{F043E9EB-C244-4C00-B20D-A0ED1622D8AD}" name="Column15846"/>
    <tableColumn id="15849" xr3:uid="{2EE8EC40-A3C7-4EAA-9045-0ADBE07679D5}" name="Column15847"/>
    <tableColumn id="15850" xr3:uid="{91B98A55-3B44-4AE0-9DE0-3AF65A3288D9}" name="Column15848"/>
    <tableColumn id="15851" xr3:uid="{25CC7DCF-1081-4855-8C9D-ED38304B0672}" name="Column15849"/>
    <tableColumn id="15852" xr3:uid="{D5BBD257-DED2-4603-A39B-720BDB7D426D}" name="Column15850"/>
    <tableColumn id="15853" xr3:uid="{0348F401-5839-43E2-ADEE-AEC452DEF8B0}" name="Column15851"/>
    <tableColumn id="15854" xr3:uid="{5CFE0539-BC09-401D-BD3D-33D4EFF8B35D}" name="Column15852"/>
    <tableColumn id="15855" xr3:uid="{DF78ECC5-98A2-4740-A907-DEA2BF162275}" name="Column15853"/>
    <tableColumn id="15856" xr3:uid="{D082262F-8293-486F-95B6-5DBE22A9FDC5}" name="Column15854"/>
    <tableColumn id="15857" xr3:uid="{6B1BB66F-F86D-44CD-A56A-E06C63918950}" name="Column15855"/>
    <tableColumn id="15858" xr3:uid="{5E20F883-D342-4E3C-A5A6-1781145A20D6}" name="Column15856"/>
    <tableColumn id="15859" xr3:uid="{0CE55041-0229-4363-AE73-BF56FA05D3BB}" name="Column15857"/>
    <tableColumn id="15860" xr3:uid="{835F2D60-5579-47C3-BAA9-FA696D4F1140}" name="Column15858"/>
    <tableColumn id="15861" xr3:uid="{DBC415CE-25F4-4681-BEE6-3E414A7DBA41}" name="Column15859"/>
    <tableColumn id="15862" xr3:uid="{235D4CF9-DA9B-4B19-A851-739F7B63A018}" name="Column15860"/>
    <tableColumn id="15863" xr3:uid="{F7A2AC22-FB03-4FE8-A9C7-C65FE7AA2916}" name="Column15861"/>
    <tableColumn id="15864" xr3:uid="{3D675058-0557-46AC-8808-6B36E5528EBC}" name="Column15862"/>
    <tableColumn id="15865" xr3:uid="{52D5447C-69BB-401F-ACB4-DC0D017D744F}" name="Column15863"/>
    <tableColumn id="15866" xr3:uid="{A77B973A-426D-4DA2-B7DF-8BD0D697AA2D}" name="Column15864"/>
    <tableColumn id="15867" xr3:uid="{BC2508E8-59A7-4931-BB10-BFE2F727D205}" name="Column15865"/>
    <tableColumn id="15868" xr3:uid="{91D32395-50B0-4C81-8AFF-34F531B665FA}" name="Column15866"/>
    <tableColumn id="15869" xr3:uid="{22199D67-140D-4257-A3E5-76352E428167}" name="Column15867"/>
    <tableColumn id="15870" xr3:uid="{669291F9-3936-422E-A330-8045BABC7BC7}" name="Column15868"/>
    <tableColumn id="15871" xr3:uid="{29DE3E1A-DDA7-4119-93D5-7D1E9011FE20}" name="Column15869"/>
    <tableColumn id="15872" xr3:uid="{7D153CF9-E4AB-4873-B30D-E1B8FEA17CBE}" name="Column15870"/>
    <tableColumn id="15873" xr3:uid="{11A049D3-5838-44BC-A650-E57932DD0615}" name="Column15871"/>
    <tableColumn id="15874" xr3:uid="{04328641-D36B-4DC4-BD69-467E4E987AA1}" name="Column15872"/>
    <tableColumn id="15875" xr3:uid="{B26A06E3-5DCC-407E-BAF7-C3397D04B49A}" name="Column15873"/>
    <tableColumn id="15876" xr3:uid="{A039BE26-E6C1-438B-8260-099B5A392C24}" name="Column15874"/>
    <tableColumn id="15877" xr3:uid="{EA9F3124-D98C-4D74-9557-23665B508B5E}" name="Column15875"/>
    <tableColumn id="15878" xr3:uid="{D5378F81-C810-4350-AD2C-BE9D49C08B11}" name="Column15876"/>
    <tableColumn id="15879" xr3:uid="{59B4DC42-4D84-4CD0-A1FB-E62A81A4FCCE}" name="Column15877"/>
    <tableColumn id="15880" xr3:uid="{637765DE-AC9C-45B8-8B7C-CDF268388542}" name="Column15878"/>
    <tableColumn id="15881" xr3:uid="{4F67F7EA-0755-480F-A47B-AE414B03984C}" name="Column15879"/>
    <tableColumn id="15882" xr3:uid="{8C615860-BD92-4AA8-AA21-931775C3A8A1}" name="Column15880"/>
    <tableColumn id="15883" xr3:uid="{004520E9-7747-4A2B-841F-BF126AEEC76B}" name="Column15881"/>
    <tableColumn id="15884" xr3:uid="{2DDE7587-B889-48BC-9210-B6BDB9386910}" name="Column15882"/>
    <tableColumn id="15885" xr3:uid="{4595AA84-D2DF-4E17-879D-2E5DCF463F0C}" name="Column15883"/>
    <tableColumn id="15886" xr3:uid="{3CFE280F-80CE-4AFF-8606-24D30F7EDF70}" name="Column15884"/>
    <tableColumn id="15887" xr3:uid="{D1224F4F-2C7F-4807-9AFA-4950ABE00CA1}" name="Column15885"/>
    <tableColumn id="15888" xr3:uid="{6997FAAB-68A0-4AA7-825A-3F7A19C30847}" name="Column15886"/>
    <tableColumn id="15889" xr3:uid="{119F483A-66E1-41E7-8EA1-ECE96F011952}" name="Column15887"/>
    <tableColumn id="15890" xr3:uid="{0636BE76-AD5D-4E92-9055-FC1D66B9A802}" name="Column15888"/>
    <tableColumn id="15891" xr3:uid="{8C7B3487-EA6E-461F-9A6D-7FE09C7D29BA}" name="Column15889"/>
    <tableColumn id="15892" xr3:uid="{A7D6DA59-3875-49B9-822B-34677BB78174}" name="Column15890"/>
    <tableColumn id="15893" xr3:uid="{CF297035-E083-45C0-9B9B-D09D4271A7E6}" name="Column15891"/>
    <tableColumn id="15894" xr3:uid="{398B81B7-FF7B-4881-887E-E5C529F222EE}" name="Column15892"/>
    <tableColumn id="15895" xr3:uid="{2E8CADBF-6C0F-422C-B00A-73700A977896}" name="Column15893"/>
    <tableColumn id="15896" xr3:uid="{CAFA67C4-AE29-46C5-9982-4702B7A486FA}" name="Column15894"/>
    <tableColumn id="15897" xr3:uid="{D0785E15-01D4-447E-BC9D-33D92BF11DE7}" name="Column15895"/>
    <tableColumn id="15898" xr3:uid="{81CCD8A1-E404-478E-A7DC-0A4ED8193A9F}" name="Column15896"/>
    <tableColumn id="15899" xr3:uid="{56EBC9D0-BCC2-4300-94BC-3B0C5DA47B57}" name="Column15897"/>
    <tableColumn id="15900" xr3:uid="{EB31A7D0-04BB-479B-A8C4-F84C30371199}" name="Column15898"/>
    <tableColumn id="15901" xr3:uid="{D78C4984-1DAC-4F52-809B-5F307303AF1C}" name="Column15899"/>
    <tableColumn id="15902" xr3:uid="{8DB4D743-6483-44D0-9EE8-D26A95CF9EBA}" name="Column15900"/>
    <tableColumn id="15903" xr3:uid="{46A60DD3-C949-4F90-9288-2E318630645E}" name="Column15901"/>
    <tableColumn id="15904" xr3:uid="{095492F3-12A1-4124-B4FE-3E0F9BCE5448}" name="Column15902"/>
    <tableColumn id="15905" xr3:uid="{226A6437-0746-4EB0-93A5-AC9C79AA2601}" name="Column15903"/>
    <tableColumn id="15906" xr3:uid="{99C17136-9EB1-4AE0-8C12-5B1BECA215B2}" name="Column15904"/>
    <tableColumn id="15907" xr3:uid="{EE34AC3B-0751-4230-B7CF-9C6815A5A6F0}" name="Column15905"/>
    <tableColumn id="15908" xr3:uid="{CF4B65A4-CA22-4239-A4AC-00A3740DFF34}" name="Column15906"/>
    <tableColumn id="15909" xr3:uid="{0D2D7CF6-AE4D-428B-B1B8-55781BD6E17D}" name="Column15907"/>
    <tableColumn id="15910" xr3:uid="{AFE404B0-4849-4A47-8F4B-43010CAAFD17}" name="Column15908"/>
    <tableColumn id="15911" xr3:uid="{45A9B18E-A3FA-4A1E-A791-52DCB5D74FC6}" name="Column15909"/>
    <tableColumn id="15912" xr3:uid="{EEDD54D3-0703-432F-A019-AB17ACF092F9}" name="Column15910"/>
    <tableColumn id="15913" xr3:uid="{59A3867D-8C23-491D-B41F-36F98995793E}" name="Column15911"/>
    <tableColumn id="15914" xr3:uid="{6120F12A-167E-462F-AA9E-8F054427C9F1}" name="Column15912"/>
    <tableColumn id="15915" xr3:uid="{E93581E1-1D39-437E-A88A-89F305B1FEC7}" name="Column15913"/>
    <tableColumn id="15916" xr3:uid="{1C0C4124-561A-43FB-AC92-4B1D6E745B88}" name="Column15914"/>
    <tableColumn id="15917" xr3:uid="{32D3D084-FB95-4388-BFF4-2F8FA3A418F4}" name="Column15915"/>
    <tableColumn id="15918" xr3:uid="{3A2593BC-F2C3-409A-BE32-988848DE3970}" name="Column15916"/>
    <tableColumn id="15919" xr3:uid="{7F6E6B49-3158-4DC0-AA14-06ACCE159556}" name="Column15917"/>
    <tableColumn id="15920" xr3:uid="{B1E8F8A6-EF7A-4124-8CB0-5F3B1B604602}" name="Column15918"/>
    <tableColumn id="15921" xr3:uid="{704AC2DC-76F7-4F23-B82E-145C2778C50A}" name="Column15919"/>
    <tableColumn id="15922" xr3:uid="{AB15665D-038B-4F76-8F4B-1305D9C46DE6}" name="Column15920"/>
    <tableColumn id="15923" xr3:uid="{796E968C-6B25-489A-A119-7E3B99EE9F08}" name="Column15921"/>
    <tableColumn id="15924" xr3:uid="{7D81353F-6850-434C-AEF4-0EDA0EF36882}" name="Column15922"/>
    <tableColumn id="15925" xr3:uid="{A3C4399B-0DCD-48D7-9856-0F9D27BD7689}" name="Column15923"/>
    <tableColumn id="15926" xr3:uid="{7D24ADAD-6204-4AF4-8619-22D6CB059C0A}" name="Column15924"/>
    <tableColumn id="15927" xr3:uid="{CD261482-A892-465F-ABC7-8998BC0D98F4}" name="Column15925"/>
    <tableColumn id="15928" xr3:uid="{8B9DE89D-20F6-425C-A905-97131E6D90F3}" name="Column15926"/>
    <tableColumn id="15929" xr3:uid="{5D835B5C-1A3D-48E4-B19B-4C48B6A59DC0}" name="Column15927"/>
    <tableColumn id="15930" xr3:uid="{96A3579A-8037-4DF3-83D0-85DEE0F220A3}" name="Column15928"/>
    <tableColumn id="15931" xr3:uid="{99919BAB-3C3D-42A4-99AC-CEC919137A6E}" name="Column15929"/>
    <tableColumn id="15932" xr3:uid="{4D824C53-3942-4AAA-B03E-DCF8FEC01500}" name="Column15930"/>
    <tableColumn id="15933" xr3:uid="{7BD76D93-2F7F-4DED-96D6-3F5AF6081996}" name="Column15931"/>
    <tableColumn id="15934" xr3:uid="{120184D3-9DB0-453B-AE4E-24D9E6003F24}" name="Column15932"/>
    <tableColumn id="15935" xr3:uid="{285D67F8-7A2A-4946-8410-BA9DEBC5F749}" name="Column15933"/>
    <tableColumn id="15936" xr3:uid="{A3B848C2-2C36-4A83-ADC5-1C74EEBC69B5}" name="Column15934"/>
    <tableColumn id="15937" xr3:uid="{05A5FA96-AE3C-4C8A-BF6D-2F21168EA32B}" name="Column15935"/>
    <tableColumn id="15938" xr3:uid="{5EFB0744-892B-4BAC-833A-E827D1E3B760}" name="Column15936"/>
    <tableColumn id="15939" xr3:uid="{9D355195-70A0-4FDF-BC17-E095D6271720}" name="Column15937"/>
    <tableColumn id="15940" xr3:uid="{58943D98-60BC-42DF-8FF3-D66ED7CB4285}" name="Column15938"/>
    <tableColumn id="15941" xr3:uid="{5C4BAB78-B328-4129-A521-D8FEDCB24974}" name="Column15939"/>
    <tableColumn id="15942" xr3:uid="{A5E8E3AA-2430-4DA8-BD35-EFD565F5E013}" name="Column15940"/>
    <tableColumn id="15943" xr3:uid="{5685246B-EFDF-46AB-AFC2-14D27D7D9B25}" name="Column15941"/>
    <tableColumn id="15944" xr3:uid="{8A3FAB33-636A-4C6C-B217-19B42E5E54A5}" name="Column15942"/>
    <tableColumn id="15945" xr3:uid="{E73B9F5C-5AFB-487E-9062-EAE7B0E3A610}" name="Column15943"/>
    <tableColumn id="15946" xr3:uid="{AEF5E8BA-AC5D-4B79-9528-96FDA2975A05}" name="Column15944"/>
    <tableColumn id="15947" xr3:uid="{6B316D25-3349-49E3-9178-D3BB467CD6F4}" name="Column15945"/>
    <tableColumn id="15948" xr3:uid="{A0ADAE8E-1D1C-41E7-9F78-1BC5839D3746}" name="Column15946"/>
    <tableColumn id="15949" xr3:uid="{E9000401-C615-49E4-92F9-198BF20418FB}" name="Column15947"/>
    <tableColumn id="15950" xr3:uid="{38B6085E-8D09-467C-856E-9941C4346D2D}" name="Column15948"/>
    <tableColumn id="15951" xr3:uid="{F81CEB24-0A8F-4FCF-BCF0-078E73E2DF6E}" name="Column15949"/>
    <tableColumn id="15952" xr3:uid="{E896998C-2BA6-43BF-BC6F-205C9D009BAD}" name="Column15950"/>
    <tableColumn id="15953" xr3:uid="{EE41D1A2-3CB1-43B7-A8F4-EC478D4EAAA6}" name="Column15951"/>
    <tableColumn id="15954" xr3:uid="{432B1F17-93E4-47B2-B919-CD9513A6A3D1}" name="Column15952"/>
    <tableColumn id="15955" xr3:uid="{B6A4AA73-FE3D-4B73-88C6-3F352E44D667}" name="Column15953"/>
    <tableColumn id="15956" xr3:uid="{E2C5B2DA-36D6-4D52-8280-6A9766C2171F}" name="Column15954"/>
    <tableColumn id="15957" xr3:uid="{9E5CEED6-2A41-4AD8-9FDC-37D40F8E9EBD}" name="Column15955"/>
    <tableColumn id="15958" xr3:uid="{30AE91D2-4FBF-4C00-9C28-7BD4910620E6}" name="Column15956"/>
    <tableColumn id="15959" xr3:uid="{0E423541-00EC-4537-A04E-886E22B82F2A}" name="Column15957"/>
    <tableColumn id="15960" xr3:uid="{2198EB51-4471-4B7C-88DD-6190779BFB6A}" name="Column15958"/>
    <tableColumn id="15961" xr3:uid="{9287BC80-BDAF-4CDF-B378-FC0718171073}" name="Column15959"/>
    <tableColumn id="15962" xr3:uid="{D3C2C56A-216A-477E-AEF2-4111742BF99D}" name="Column15960"/>
    <tableColumn id="15963" xr3:uid="{17EEF352-6C10-463B-932F-A403EA549F0D}" name="Column15961"/>
    <tableColumn id="15964" xr3:uid="{777BF0AC-7771-4702-9FAD-A7BB8D7FF437}" name="Column15962"/>
    <tableColumn id="15965" xr3:uid="{94E5C3F0-6BA2-406D-9BB3-EBD237BDE120}" name="Column15963"/>
    <tableColumn id="15966" xr3:uid="{F77D2A3E-ECC6-4A33-9F5A-20A01E6BC43B}" name="Column15964"/>
    <tableColumn id="15967" xr3:uid="{2025CBFF-EF10-4B84-8694-CC8A4BB0F929}" name="Column15965"/>
    <tableColumn id="15968" xr3:uid="{033A5F9C-5E8B-43A0-AF74-DBB164876930}" name="Column15966"/>
    <tableColumn id="15969" xr3:uid="{56878AC2-4FD2-422E-AE31-FC3F2AD037E1}" name="Column15967"/>
    <tableColumn id="15970" xr3:uid="{C963B2DB-2B3F-44E0-B618-946284BE76F2}" name="Column15968"/>
    <tableColumn id="15971" xr3:uid="{2F78BCA4-FC78-4308-BA04-223438E688F5}" name="Column15969"/>
    <tableColumn id="15972" xr3:uid="{10AFEB76-5B7F-4B85-8325-8991F0A6F0F3}" name="Column15970"/>
    <tableColumn id="15973" xr3:uid="{8E67D7B1-8053-438B-A247-3F174A61BFF1}" name="Column15971"/>
    <tableColumn id="15974" xr3:uid="{D6A9A0E6-5370-47FD-BDF5-766DB6AAE993}" name="Column15972"/>
    <tableColumn id="15975" xr3:uid="{9B5552DD-9B98-45C8-B5CF-9F45803F64F6}" name="Column15973"/>
    <tableColumn id="15976" xr3:uid="{86640BEB-6139-4F83-8715-4E574DC75E20}" name="Column15974"/>
    <tableColumn id="15977" xr3:uid="{61F4D913-7942-489E-87D1-0A1DD94D6E35}" name="Column15975"/>
    <tableColumn id="15978" xr3:uid="{2D38763A-210D-43C5-85F1-8A5AF2BA5C02}" name="Column15976"/>
    <tableColumn id="15979" xr3:uid="{939F49A2-3205-4452-934C-D1938411C4D6}" name="Column15977"/>
    <tableColumn id="15980" xr3:uid="{21631CAB-3B55-4A04-A6BA-DBEBACFCE790}" name="Column15978"/>
    <tableColumn id="15981" xr3:uid="{3F5F3ABC-C6F5-4A60-97A3-1C2A8F066113}" name="Column15979"/>
    <tableColumn id="15982" xr3:uid="{A9CD4CA1-2467-40BD-BE72-F2628D524F2B}" name="Column15980"/>
    <tableColumn id="15983" xr3:uid="{F70658A8-314D-4C12-9356-ADA0C95A9066}" name="Column15981"/>
    <tableColumn id="15984" xr3:uid="{DD59A5D0-8F30-492E-BA06-8FA6397FB6D6}" name="Column15982"/>
    <tableColumn id="15985" xr3:uid="{64D1C4E2-E7AF-4665-ABA7-E03818793C3D}" name="Column15983"/>
    <tableColumn id="15986" xr3:uid="{75DCD3A6-F795-493F-9AE1-5FF736453333}" name="Column15984"/>
    <tableColumn id="15987" xr3:uid="{BF20E6FB-F14F-4E89-830D-A58E1A18A3B3}" name="Column15985"/>
    <tableColumn id="15988" xr3:uid="{C40BA94A-31CF-44B2-82A2-B902A5A39ADC}" name="Column15986"/>
    <tableColumn id="15989" xr3:uid="{FC47A8A2-1858-4CC1-93EF-9368644F95F5}" name="Column15987"/>
    <tableColumn id="15990" xr3:uid="{E9CAD6BB-5BF8-4DF3-B386-1176D5B85A99}" name="Column15988"/>
    <tableColumn id="15991" xr3:uid="{56D1EED0-FAD6-4D86-883E-C3D7A71CC861}" name="Column15989"/>
    <tableColumn id="15992" xr3:uid="{BBE378E5-DC89-4D1A-9016-325431276D81}" name="Column15990"/>
    <tableColumn id="15993" xr3:uid="{B34B14D5-9690-40F1-BC56-55083A48193E}" name="Column15991"/>
    <tableColumn id="15994" xr3:uid="{5A485423-9077-460B-8DE5-879F6B3CC5F8}" name="Column15992"/>
    <tableColumn id="15995" xr3:uid="{69ECE775-40A9-402F-8655-358533C77499}" name="Column15993"/>
    <tableColumn id="15996" xr3:uid="{FCDCA9A0-FD4F-40AD-A438-21CB7B254C10}" name="Column15994"/>
    <tableColumn id="15997" xr3:uid="{8D88BE5A-5B4E-4DD9-89F9-49086D8BFF85}" name="Column15995"/>
    <tableColumn id="15998" xr3:uid="{802DD161-959F-4B94-A7DD-CF5C4ADB4B2D}" name="Column15996"/>
    <tableColumn id="15999" xr3:uid="{16747D8E-8BF2-4038-9466-D5123A8971FD}" name="Column15997"/>
    <tableColumn id="16000" xr3:uid="{069ED007-2A51-4135-B1D6-5EDA0E593C00}" name="Column15998"/>
    <tableColumn id="16001" xr3:uid="{6A445548-88D0-479C-9A0C-55857C9DCDB5}" name="Column15999"/>
    <tableColumn id="16002" xr3:uid="{D8948411-4409-4FF1-986A-6E1B559DCD99}" name="Column16000"/>
    <tableColumn id="16003" xr3:uid="{A0FB13D2-5571-4D1E-95CF-A4AE40F6CE9A}" name="Column16001"/>
    <tableColumn id="16004" xr3:uid="{63A90E34-6287-401E-A56E-A084C7FCCF38}" name="Column16002"/>
    <tableColumn id="16005" xr3:uid="{3965939A-F1BB-4D17-B298-05CED46D6FB5}" name="Column16003"/>
    <tableColumn id="16006" xr3:uid="{9DAEA832-3075-4B2A-AE7F-EF4F6B2FB697}" name="Column16004"/>
    <tableColumn id="16007" xr3:uid="{133F92B0-A283-4A3A-A454-A51252C840AE}" name="Column16005"/>
    <tableColumn id="16008" xr3:uid="{1F91F131-2E1F-43BD-9417-D21D84761CDC}" name="Column16006"/>
    <tableColumn id="16009" xr3:uid="{94A9E003-042C-45E6-8434-53A64F4FD3D9}" name="Column16007"/>
    <tableColumn id="16010" xr3:uid="{55D20051-667B-4CC5-8F2B-01FBFD239724}" name="Column16008"/>
    <tableColumn id="16011" xr3:uid="{918ED0D8-D48D-484E-9B74-9F26501EE2E6}" name="Column16009"/>
    <tableColumn id="16012" xr3:uid="{75C3EFFF-BDA4-4FCB-8E35-4EEA97EA2E77}" name="Column16010"/>
    <tableColumn id="16013" xr3:uid="{E9BCF7CC-9046-4066-AA97-3DB5F7A9463C}" name="Column16011"/>
    <tableColumn id="16014" xr3:uid="{D976BFC3-9D80-498C-AC35-2606E737A5C3}" name="Column16012"/>
    <tableColumn id="16015" xr3:uid="{58721D2D-1862-40A6-A1E9-86AD60574780}" name="Column16013"/>
    <tableColumn id="16016" xr3:uid="{8ED83856-429E-43CD-9675-D8C775323832}" name="Column16014"/>
    <tableColumn id="16017" xr3:uid="{B9E8C424-F20A-4BA0-A4A0-47CA47D0698B}" name="Column16015"/>
    <tableColumn id="16018" xr3:uid="{245F8CCA-78DA-410A-ACE0-8392613F5ECA}" name="Column16016"/>
    <tableColumn id="16019" xr3:uid="{AA193311-F552-4EA4-8930-803C3367A229}" name="Column16017"/>
    <tableColumn id="16020" xr3:uid="{2E75C19A-652C-43C8-A82C-BA5A987FB179}" name="Column16018"/>
    <tableColumn id="16021" xr3:uid="{4330E142-04FA-41E3-944E-259AD3EC116F}" name="Column16019"/>
    <tableColumn id="16022" xr3:uid="{EBB3E483-0D43-4509-B1F6-74351FCAE213}" name="Column16020"/>
    <tableColumn id="16023" xr3:uid="{BDF359E5-EF00-4A61-9B90-79707CF6156F}" name="Column16021"/>
    <tableColumn id="16024" xr3:uid="{4061F468-0BD0-4804-8EAF-DDAA3BD08CA1}" name="Column16022"/>
    <tableColumn id="16025" xr3:uid="{6631DDA1-89ED-4B7D-A6E9-D27E5AD590F1}" name="Column16023"/>
    <tableColumn id="16026" xr3:uid="{6FA7888A-1377-4747-9284-22A407B3A9D8}" name="Column16024"/>
    <tableColumn id="16027" xr3:uid="{B117C7B6-5641-4E00-90EB-E4B11A973A49}" name="Column16025"/>
    <tableColumn id="16028" xr3:uid="{74F80874-A899-41E9-93EA-C35744220CA9}" name="Column16026"/>
    <tableColumn id="16029" xr3:uid="{22DE00E8-3D48-471A-8098-188C6FED0BC8}" name="Column16027"/>
    <tableColumn id="16030" xr3:uid="{28178F20-049D-4ACE-B0E7-A0A351734D8E}" name="Column16028"/>
    <tableColumn id="16031" xr3:uid="{56BB5F60-E02D-41AC-97AA-0E97551693E4}" name="Column16029"/>
    <tableColumn id="16032" xr3:uid="{063FDE1E-EAD3-4708-AC97-825E120169CD}" name="Column16030"/>
    <tableColumn id="16033" xr3:uid="{17BCEBA1-9782-4DF4-AA19-CA1C191831F9}" name="Column16031"/>
    <tableColumn id="16034" xr3:uid="{2E7DB559-F6FA-40EF-9066-0DF5B0CABA3A}" name="Column16032"/>
    <tableColumn id="16035" xr3:uid="{C3378F46-F17D-46E2-B70C-11D4AB8A0DE2}" name="Column16033"/>
    <tableColumn id="16036" xr3:uid="{49A7B85C-4B64-4F42-BB49-8045C6C6A350}" name="Column16034"/>
    <tableColumn id="16037" xr3:uid="{58E50EB0-485A-4272-99E3-11530886397A}" name="Column16035"/>
    <tableColumn id="16038" xr3:uid="{760D4BD8-7DEB-44EC-8E5E-75B2059178C7}" name="Column16036"/>
    <tableColumn id="16039" xr3:uid="{94EA7FEA-3205-4A68-9047-780F1BF344A5}" name="Column16037"/>
    <tableColumn id="16040" xr3:uid="{54606F1C-4D50-4A5C-B62A-BDE0DAB5E681}" name="Column16038"/>
    <tableColumn id="16041" xr3:uid="{E65B394B-3A09-49C6-A468-779CB319A2DB}" name="Column16039"/>
    <tableColumn id="16042" xr3:uid="{B7C4350F-B169-4CFF-9569-F8E4E87C9B80}" name="Column16040"/>
    <tableColumn id="16043" xr3:uid="{559B185C-3756-477E-804D-25D70BD937CC}" name="Column16041"/>
    <tableColumn id="16044" xr3:uid="{1494268E-3812-46D1-A42B-1F23445BFD54}" name="Column16042"/>
    <tableColumn id="16045" xr3:uid="{83B0AEA6-47DF-4EC0-9A16-68E104284774}" name="Column16043"/>
    <tableColumn id="16046" xr3:uid="{30C30CE5-38F1-482E-9C94-6B0B6A1B2191}" name="Column16044"/>
    <tableColumn id="16047" xr3:uid="{48792008-CE94-4A14-BA03-A83205BE4E1B}" name="Column16045"/>
    <tableColumn id="16048" xr3:uid="{A18DAC6A-0E09-43C7-8413-2191D399EAF2}" name="Column16046"/>
    <tableColumn id="16049" xr3:uid="{C1E22FFF-2075-4EA3-BE0F-142D988B0BA4}" name="Column16047"/>
    <tableColumn id="16050" xr3:uid="{E6C6B77C-5208-45D0-9D83-74528831FEC3}" name="Column16048"/>
    <tableColumn id="16051" xr3:uid="{D4B3C90C-FCAC-4C66-97E9-C2A86698895C}" name="Column16049"/>
    <tableColumn id="16052" xr3:uid="{1EB9B267-2B13-486D-86D7-C75EAADC8BA5}" name="Column16050"/>
    <tableColumn id="16053" xr3:uid="{CE30C76E-3A68-4D29-8CAA-4A76EABCFA59}" name="Column16051"/>
    <tableColumn id="16054" xr3:uid="{3A3D4787-0236-4159-BF7B-2E2540B13C12}" name="Column16052"/>
    <tableColumn id="16055" xr3:uid="{453A79BB-B4F1-4B92-B576-5070A77C9105}" name="Column16053"/>
    <tableColumn id="16056" xr3:uid="{B23E5A8B-A68A-4BF4-8A68-1340A312B7AB}" name="Column16054"/>
    <tableColumn id="16057" xr3:uid="{D396EC86-E10B-452E-8A42-12C5FC1EF524}" name="Column16055"/>
    <tableColumn id="16058" xr3:uid="{1C958AD3-ECDC-4012-A00C-EED46EF1C5F2}" name="Column16056"/>
    <tableColumn id="16059" xr3:uid="{B04BCC78-352A-4FA9-A48D-1E24283AEAE2}" name="Column16057"/>
    <tableColumn id="16060" xr3:uid="{9844F804-EEF8-471D-91D5-9FC6612A7A6C}" name="Column16058"/>
    <tableColumn id="16061" xr3:uid="{DAEEE1E8-5F17-4F78-89CE-E43FF060A07F}" name="Column16059"/>
    <tableColumn id="16062" xr3:uid="{B5B8305D-D38A-4DCF-B6BF-992C8077A3FE}" name="Column16060"/>
    <tableColumn id="16063" xr3:uid="{E7B450D5-5F95-40C2-8A22-4F3C059952DB}" name="Column16061"/>
    <tableColumn id="16064" xr3:uid="{715F5A8A-9802-42B4-A13A-A3387697D93D}" name="Column16062"/>
    <tableColumn id="16065" xr3:uid="{E684DA44-4640-40FA-895B-C8BBE15B9AF1}" name="Column16063"/>
    <tableColumn id="16066" xr3:uid="{D56ED50A-6B64-4EAF-AF16-1E3A3FEE6545}" name="Column16064"/>
    <tableColumn id="16067" xr3:uid="{65A245EF-7F8F-4261-925B-3997E90AB323}" name="Column16065"/>
    <tableColumn id="16068" xr3:uid="{49D81C2E-8EF8-455F-A035-8ACC3023BA4B}" name="Column16066"/>
    <tableColumn id="16069" xr3:uid="{47D802F6-CAFD-432C-8F3B-C5CED8311215}" name="Column16067"/>
    <tableColumn id="16070" xr3:uid="{F47F1F0A-699C-4D85-B0D6-B6319E010B27}" name="Column16068"/>
    <tableColumn id="16071" xr3:uid="{8E9A0DB7-651D-4D7B-BFAE-5FFD281222A7}" name="Column16069"/>
    <tableColumn id="16072" xr3:uid="{32E838EC-7339-4545-845E-323B575E60EB}" name="Column16070"/>
    <tableColumn id="16073" xr3:uid="{16DE6EC9-2347-49B0-A646-50A5B1A30FC1}" name="Column16071"/>
    <tableColumn id="16074" xr3:uid="{E3BE8E48-626A-46A7-A0E9-05E32E8F2BB7}" name="Column16072"/>
    <tableColumn id="16075" xr3:uid="{4F2C6386-B707-405E-82C3-C828429A3436}" name="Column16073"/>
    <tableColumn id="16076" xr3:uid="{919E8525-84FB-4C37-BAAE-F39B31A610BA}" name="Column16074"/>
    <tableColumn id="16077" xr3:uid="{3BC66F3B-B156-4D80-9E3B-289AD96E874E}" name="Column16075"/>
    <tableColumn id="16078" xr3:uid="{4518BE5A-0A95-4B62-B133-20D0FF532064}" name="Column16076"/>
    <tableColumn id="16079" xr3:uid="{7B405074-C33E-4CCB-AE5F-8284B82DEA57}" name="Column16077"/>
    <tableColumn id="16080" xr3:uid="{FC090B38-F27D-4CC6-AD0D-D6312D0180DE}" name="Column16078"/>
    <tableColumn id="16081" xr3:uid="{BCE4C1AB-DB85-4AAF-BFB4-918993FFA287}" name="Column16079"/>
    <tableColumn id="16082" xr3:uid="{EB62EAFA-77CC-4E26-BBEF-0761EA49936E}" name="Column16080"/>
    <tableColumn id="16083" xr3:uid="{03FFFBC0-789E-40BC-A7F4-07623CA7A2A3}" name="Column16081"/>
    <tableColumn id="16084" xr3:uid="{857B726D-4A00-4483-A016-32ADCEF8B0FE}" name="Column16082"/>
    <tableColumn id="16085" xr3:uid="{BA488A6C-71AD-46E9-AE79-99F37432BC9B}" name="Column16083"/>
    <tableColumn id="16086" xr3:uid="{F4EBF00B-66BB-4287-B729-DB2FF473DE6C}" name="Column16084"/>
    <tableColumn id="16087" xr3:uid="{CD939F35-B20A-423C-9BB5-EED9DE6F2B92}" name="Column16085"/>
    <tableColumn id="16088" xr3:uid="{5D67C298-4A00-4E8D-8C8D-A801427CF6FF}" name="Column16086"/>
    <tableColumn id="16089" xr3:uid="{01F404F1-E4F6-4C5D-B3D1-47F6F2934E74}" name="Column16087"/>
    <tableColumn id="16090" xr3:uid="{9195CD3E-CD95-4B51-8095-A47827C019EF}" name="Column16088"/>
    <tableColumn id="16091" xr3:uid="{6C607EA5-3FA2-47D4-B280-F291010BC331}" name="Column16089"/>
    <tableColumn id="16092" xr3:uid="{95A87925-8DB8-47E4-B764-BD9B8E9F84E2}" name="Column16090"/>
    <tableColumn id="16093" xr3:uid="{A84BDD07-216B-4919-B64D-A0ECDC70A1E9}" name="Column16091"/>
    <tableColumn id="16094" xr3:uid="{499E849E-7320-443E-8D46-67379CA153CF}" name="Column16092"/>
    <tableColumn id="16095" xr3:uid="{4932D246-B8AC-4C33-A13D-C1B4E9CA7158}" name="Column16093"/>
    <tableColumn id="16096" xr3:uid="{131D9F74-F51F-430D-944B-B7040F720B04}" name="Column16094"/>
    <tableColumn id="16097" xr3:uid="{0461129E-63C3-48DD-A1F9-9D4E457582DA}" name="Column16095"/>
    <tableColumn id="16098" xr3:uid="{21AA2D56-037B-4E1C-9EEF-71BE67F47F48}" name="Column16096"/>
    <tableColumn id="16099" xr3:uid="{D43459DE-8D52-47C8-8421-684C0B079DC0}" name="Column16097"/>
    <tableColumn id="16100" xr3:uid="{98BA3605-AC54-4910-A1B3-A4902CB7352E}" name="Column16098"/>
    <tableColumn id="16101" xr3:uid="{A24D21DE-7942-47B2-827C-E0160C7BCD74}" name="Column16099"/>
    <tableColumn id="16102" xr3:uid="{BCFB6E46-4563-4D67-9BF7-1CF5E57E677C}" name="Column16100"/>
    <tableColumn id="16103" xr3:uid="{A0382B41-C300-4382-B1DF-B68D5E255399}" name="Column16101"/>
    <tableColumn id="16104" xr3:uid="{DC5D5E42-6B86-4B32-BB62-D11463916C46}" name="Column16102"/>
    <tableColumn id="16105" xr3:uid="{72142C74-E65D-492F-B973-A1094BBA02BD}" name="Column16103"/>
    <tableColumn id="16106" xr3:uid="{3C5FE4A4-302A-469B-A25E-B0119CC50EF7}" name="Column16104"/>
    <tableColumn id="16107" xr3:uid="{92429F03-8CEB-418C-8319-C55B8487E92D}" name="Column16105"/>
    <tableColumn id="16108" xr3:uid="{641AE49F-3C5B-4D93-9716-39C0C0A7137A}" name="Column16106"/>
    <tableColumn id="16109" xr3:uid="{3B8C5D8D-D413-4B49-BEB9-1A37A2BC0B9B}" name="Column16107"/>
    <tableColumn id="16110" xr3:uid="{DF060F58-2A97-4F5B-92AB-52CF9E97264F}" name="Column16108"/>
    <tableColumn id="16111" xr3:uid="{4DB21E40-3DB7-496E-9683-369DD890E9BE}" name="Column16109"/>
    <tableColumn id="16112" xr3:uid="{974FB6E7-98F8-429A-8B61-B035B1F8EF45}" name="Column16110"/>
    <tableColumn id="16113" xr3:uid="{2E7BABF5-7914-45B5-AA4F-8B3B9C7BEAC1}" name="Column16111"/>
    <tableColumn id="16114" xr3:uid="{6F302297-1B68-4B53-9F5F-79A8735C5BCA}" name="Column16112"/>
    <tableColumn id="16115" xr3:uid="{F4D3BF9B-A75B-4EF2-8784-D6EE20C0CD19}" name="Column16113"/>
    <tableColumn id="16116" xr3:uid="{EAD3284B-FA2F-4C5D-A824-6A3327820575}" name="Column16114"/>
    <tableColumn id="16117" xr3:uid="{230B9207-2FFB-4690-BB0A-BE3734820A79}" name="Column16115"/>
    <tableColumn id="16118" xr3:uid="{EE2A347E-B327-4D55-8589-D6F9A75652C7}" name="Column16116"/>
    <tableColumn id="16119" xr3:uid="{4BC8AFD2-D8D0-4921-988E-C54F50E9CD1C}" name="Column16117"/>
    <tableColumn id="16120" xr3:uid="{5E89E23F-10E6-4C5E-A69F-3EEE4224BFCC}" name="Column16118"/>
    <tableColumn id="16121" xr3:uid="{BA7A9348-1F1E-48A5-9BDC-619AA1605BEA}" name="Column16119"/>
    <tableColumn id="16122" xr3:uid="{63BA6CB1-2A8B-43E3-913E-DA30F518F512}" name="Column16120"/>
    <tableColumn id="16123" xr3:uid="{6CF344AD-C897-4D4B-A91C-B039327B5E07}" name="Column16121"/>
    <tableColumn id="16124" xr3:uid="{E6ED6EDD-DDF5-4946-8F6A-1CF9FD67038B}" name="Column16122"/>
    <tableColumn id="16125" xr3:uid="{8C2A67CF-B1CE-42DB-B6D8-A471E8F7818C}" name="Column16123"/>
    <tableColumn id="16126" xr3:uid="{1FD5025B-1C86-475F-8F24-1382FFF4D981}" name="Column16124"/>
    <tableColumn id="16127" xr3:uid="{CBF1DE01-CA2A-4AE8-928E-CCD8AC20413B}" name="Column16125"/>
    <tableColumn id="16128" xr3:uid="{EDF5A6B3-DB3B-43FD-AA5B-372C16735094}" name="Column16126"/>
    <tableColumn id="16129" xr3:uid="{81C8FE10-9682-4E48-A529-6276568A48A7}" name="Column16127"/>
    <tableColumn id="16130" xr3:uid="{0AA5F339-D026-4F02-B119-1E0BA6DAF5D9}" name="Column16128"/>
    <tableColumn id="16131" xr3:uid="{CFD8AE38-D506-459C-B9E0-C76F8DE87B32}" name="Column16129"/>
    <tableColumn id="16132" xr3:uid="{F834A399-534A-43AD-8E86-EF177EDCF96A}" name="Column16130"/>
    <tableColumn id="16133" xr3:uid="{E94CD634-F511-4E15-960C-3A97A1F6A684}" name="Column16131"/>
    <tableColumn id="16134" xr3:uid="{8F8EDA16-0040-4F16-BC9B-4C07B597A285}" name="Column16132"/>
    <tableColumn id="16135" xr3:uid="{8A18DCCD-17AD-48ED-883D-9FEABF5B9E89}" name="Column16133"/>
    <tableColumn id="16136" xr3:uid="{B3860210-1C11-4767-A48D-87E0255A3225}" name="Column16134"/>
    <tableColumn id="16137" xr3:uid="{5F777B8D-0407-4A96-8CF4-FE1B3BF58D4F}" name="Column16135"/>
    <tableColumn id="16138" xr3:uid="{5FD5FB0E-FDC6-4615-BE3D-82278C3907AA}" name="Column16136"/>
    <tableColumn id="16139" xr3:uid="{4F9277A1-51AB-4F00-82E2-917C8542461F}" name="Column16137"/>
    <tableColumn id="16140" xr3:uid="{A9F5B1AA-A030-4B56-AB09-A966F3F7A403}" name="Column16138"/>
    <tableColumn id="16141" xr3:uid="{17FC4448-F2AE-4942-9EED-A7D8CB0A357A}" name="Column16139"/>
    <tableColumn id="16142" xr3:uid="{A15C621E-2795-42B0-A5D3-06DB707DCC94}" name="Column16140"/>
    <tableColumn id="16143" xr3:uid="{5A21536E-12B0-4934-870B-7B6DE4AED495}" name="Column16141"/>
    <tableColumn id="16144" xr3:uid="{F1578DBA-F9FA-450A-A0F4-C377EB537D04}" name="Column16142"/>
    <tableColumn id="16145" xr3:uid="{D0ABD5D7-BB2A-4ACE-B916-086371C70372}" name="Column16143"/>
    <tableColumn id="16146" xr3:uid="{817BF8A0-1AF6-4AC9-9C47-240B073D8352}" name="Column16144"/>
    <tableColumn id="16147" xr3:uid="{95337078-5ED7-4DE7-AC7D-7B08A3C97F30}" name="Column16145"/>
    <tableColumn id="16148" xr3:uid="{5C92D489-AF43-432D-9140-65E127D8FFF7}" name="Column16146"/>
    <tableColumn id="16149" xr3:uid="{840D2151-D6AA-462D-BC3D-F471D821FD3E}" name="Column16147"/>
    <tableColumn id="16150" xr3:uid="{E1E9A369-1AA7-4211-B026-59351BC841FB}" name="Column16148"/>
    <tableColumn id="16151" xr3:uid="{B73BD7D4-F96A-4089-910F-8DE862C86C3C}" name="Column16149"/>
    <tableColumn id="16152" xr3:uid="{2E945A2F-51C5-4496-A8DE-896EADE322CB}" name="Column16150"/>
    <tableColumn id="16153" xr3:uid="{BC3FE511-2066-42D6-8E44-3CA4220474B5}" name="Column16151"/>
    <tableColumn id="16154" xr3:uid="{34396750-8CE5-4D3A-988F-506E60C5A22B}" name="Column16152"/>
    <tableColumn id="16155" xr3:uid="{C9B79113-E204-4167-9AF7-13A8F430DAF5}" name="Column16153"/>
    <tableColumn id="16156" xr3:uid="{D507DEAD-B314-4271-911A-0B84B3C681F0}" name="Column16154"/>
    <tableColumn id="16157" xr3:uid="{BB662DDE-F79C-4208-9144-EA46E40B61A7}" name="Column16155"/>
    <tableColumn id="16158" xr3:uid="{5BCD18AD-F752-4EC7-8EF4-B8E2568F9704}" name="Column16156"/>
    <tableColumn id="16159" xr3:uid="{D7ED73A5-1B84-4A11-9116-65E9A99F61A5}" name="Column16157"/>
    <tableColumn id="16160" xr3:uid="{96A88404-B994-4829-B065-F904ECFE08F4}" name="Column16158"/>
    <tableColumn id="16161" xr3:uid="{067F58E8-F2CC-48BA-A263-62B25CBACD85}" name="Column16159"/>
    <tableColumn id="16162" xr3:uid="{BB19CC07-F94B-4BE1-A285-F150F6B2B1BB}" name="Column16160"/>
    <tableColumn id="16163" xr3:uid="{A7C5E36B-B834-4533-9B01-0FB30E667975}" name="Column16161"/>
    <tableColumn id="16164" xr3:uid="{1845AAF2-1C63-4A28-864D-A8A8BA5180DD}" name="Column16162"/>
    <tableColumn id="16165" xr3:uid="{E106CFA0-278D-42F4-B188-33328C1886A4}" name="Column16163"/>
    <tableColumn id="16166" xr3:uid="{13D92AB7-96C7-421F-80D4-087742B7CD5A}" name="Column16164"/>
    <tableColumn id="16167" xr3:uid="{2834C568-9AA3-4B55-9EB1-5B48255BFD4C}" name="Column16165"/>
    <tableColumn id="16168" xr3:uid="{744580CA-5755-49CC-AEA4-AA75F3D2DF0F}" name="Column16166"/>
    <tableColumn id="16169" xr3:uid="{68D4F23D-2914-47A8-98AE-F7F06353A5E0}" name="Column16167"/>
    <tableColumn id="16170" xr3:uid="{4B4856B8-C3A2-4585-9F9D-2FE06A417400}" name="Column16168"/>
    <tableColumn id="16171" xr3:uid="{77BB34B2-4E63-4D15-83C5-9FEBC117CDDA}" name="Column16169"/>
    <tableColumn id="16172" xr3:uid="{F9721E82-AE14-4104-A923-D4E59D809FFF}" name="Column16170"/>
    <tableColumn id="16173" xr3:uid="{D543AF2B-A3E7-4ABE-8D9D-912E2AB48BF6}" name="Column16171"/>
    <tableColumn id="16174" xr3:uid="{C3151194-963F-4268-A7AC-4A6FBF054D3B}" name="Column16172"/>
    <tableColumn id="16175" xr3:uid="{8F6E7A90-9CA0-4B9D-8165-D8608E021013}" name="Column16173"/>
    <tableColumn id="16176" xr3:uid="{9B20A8E9-40A5-427E-9263-5DAED11BE8C4}" name="Column16174"/>
    <tableColumn id="16177" xr3:uid="{017F9839-DF15-4973-9390-C5243A30FEF0}" name="Column16175"/>
    <tableColumn id="16178" xr3:uid="{9E2CBC9C-21FC-44E9-A59C-4803E498EE53}" name="Column16176"/>
    <tableColumn id="16179" xr3:uid="{E9B42C81-142C-4D52-8EA9-103B14B7A5F7}" name="Column16177"/>
    <tableColumn id="16180" xr3:uid="{4C10CCF2-A818-44DA-B591-6AA844C2F10D}" name="Column16178"/>
    <tableColumn id="16181" xr3:uid="{7FE189A7-459F-49D4-B791-888FD0D4F24B}" name="Column16179"/>
    <tableColumn id="16182" xr3:uid="{66D6F1D3-A14E-4A7C-9900-E6AFA2CD82BA}" name="Column16180"/>
    <tableColumn id="16183" xr3:uid="{94CB09DF-128D-4B94-836E-8A35D0233FAF}" name="Column16181"/>
    <tableColumn id="16184" xr3:uid="{704DEA47-A1E8-4373-B045-6E2D70F4504A}" name="Column16182"/>
    <tableColumn id="16185" xr3:uid="{73ABADC3-F593-4C8D-8FB9-113537EDC8D5}" name="Column16183"/>
    <tableColumn id="16186" xr3:uid="{5E3A1CDD-FEF2-4369-A568-3A8F01DE3A2C}" name="Column16184"/>
    <tableColumn id="16187" xr3:uid="{A31A868D-9F6B-4A99-BDE3-8F339F3EAD5E}" name="Column16185"/>
    <tableColumn id="16188" xr3:uid="{5DE62465-81DC-4848-8530-A703478EB6B3}" name="Column16186"/>
    <tableColumn id="16189" xr3:uid="{58FF210D-5033-46AB-8CB8-475262ED32DE}" name="Column16187"/>
    <tableColumn id="16190" xr3:uid="{88FEE639-4CC7-4589-83E0-D76A9AEAF334}" name="Column16188"/>
    <tableColumn id="16191" xr3:uid="{BA4DDC87-E424-4780-BD2D-499DFE53E208}" name="Column16189"/>
    <tableColumn id="16192" xr3:uid="{D04CE62A-EDE1-4E41-BD11-CDFA2CFEF53E}" name="Column16190"/>
    <tableColumn id="16193" xr3:uid="{F6651B59-D27A-4AC2-AD86-C18D41011B51}" name="Column16191"/>
    <tableColumn id="16194" xr3:uid="{3F8CDF7B-F957-465E-9BA6-26B71C80A373}" name="Column16192"/>
    <tableColumn id="16195" xr3:uid="{EAB50C15-C26C-418E-B01D-90A3A03F18FD}" name="Column16193"/>
    <tableColumn id="16196" xr3:uid="{1696FFB7-445F-45AD-8CEE-D55C22233158}" name="Column16194"/>
    <tableColumn id="16197" xr3:uid="{A0B75518-C7CF-4621-8D65-58C40CEBBAC4}" name="Column16195"/>
    <tableColumn id="16198" xr3:uid="{FDAA5C39-3D59-4634-8C4D-94E4A42FD3AC}" name="Column16196"/>
    <tableColumn id="16199" xr3:uid="{9108B129-EBE9-4A06-9CC1-74884CA17FFA}" name="Column16197"/>
    <tableColumn id="16200" xr3:uid="{4D0102CA-8F02-4BA9-8551-0056B9051731}" name="Column16198"/>
    <tableColumn id="16201" xr3:uid="{1BF764A6-A625-41AE-87BF-1A1DCD5F8835}" name="Column16199"/>
    <tableColumn id="16202" xr3:uid="{347645E1-A3C3-493C-B7D1-53BA77D1C2FD}" name="Column16200"/>
    <tableColumn id="16203" xr3:uid="{1C7423DF-3636-435A-A3A2-7BDF9B9DF34D}" name="Column16201"/>
    <tableColumn id="16204" xr3:uid="{87B37D5B-F7D6-49C0-9D3C-D58C31830A91}" name="Column16202"/>
    <tableColumn id="16205" xr3:uid="{3CB71590-91BB-49D4-BF20-A2E1675EB90F}" name="Column16203"/>
    <tableColumn id="16206" xr3:uid="{8E606BD0-45E6-4407-9FF3-BEFD635C4373}" name="Column16204"/>
    <tableColumn id="16207" xr3:uid="{24E39984-7481-4F5C-BABE-293AB2CA69F1}" name="Column16205"/>
    <tableColumn id="16208" xr3:uid="{90A54DF7-4A43-4350-92A1-B92CD28CC5AA}" name="Column16206"/>
    <tableColumn id="16209" xr3:uid="{6AD62261-9E5E-4B05-AC7A-CD61324DD873}" name="Column16207"/>
    <tableColumn id="16210" xr3:uid="{B4E7ECD7-EFF0-4500-88E8-4CE8D17F56C3}" name="Column16208"/>
    <tableColumn id="16211" xr3:uid="{E7F247FC-796B-4AF7-86AC-6EB5D881B480}" name="Column16209"/>
    <tableColumn id="16212" xr3:uid="{C30E42DF-FA99-43DC-B685-4C141491E822}" name="Column16210"/>
    <tableColumn id="16213" xr3:uid="{78301F43-3A08-4E25-92D5-652DE2851175}" name="Column16211"/>
    <tableColumn id="16214" xr3:uid="{E01AE551-72EC-4177-A640-2AAB0881F3FF}" name="Column16212"/>
    <tableColumn id="16215" xr3:uid="{47ECEF12-8797-4D91-B6EA-6834107CC791}" name="Column16213"/>
    <tableColumn id="16216" xr3:uid="{A220632A-9F18-4D44-9E03-D4BE2A4AB3CE}" name="Column16214"/>
    <tableColumn id="16217" xr3:uid="{74169F67-2AAB-4934-BC43-931EC121AD96}" name="Column16215"/>
    <tableColumn id="16218" xr3:uid="{7050B458-069F-4491-A9E2-054663FA1152}" name="Column16216"/>
    <tableColumn id="16219" xr3:uid="{A55008D9-9599-439C-A923-3BCACB902CBE}" name="Column16217"/>
    <tableColumn id="16220" xr3:uid="{A98CD3B7-9D6B-44CA-8CE1-BEB1DD8B1652}" name="Column16218"/>
    <tableColumn id="16221" xr3:uid="{8CC4E714-70F9-45A0-97A2-3B22D13CD8FA}" name="Column16219"/>
    <tableColumn id="16222" xr3:uid="{CC081FC4-82DD-47B0-92A6-66F561E2E959}" name="Column16220"/>
    <tableColumn id="16223" xr3:uid="{1AE4B216-2B00-4039-B0B9-DFE7ED70548B}" name="Column16221"/>
    <tableColumn id="16224" xr3:uid="{4A624B30-5A7C-4D4E-8718-70E7637A7DD8}" name="Column16222"/>
    <tableColumn id="16225" xr3:uid="{0A3787AB-A410-43C8-8C86-EAF0B12BC141}" name="Column16223"/>
    <tableColumn id="16226" xr3:uid="{199E7E01-CD00-46D0-9155-11CBB923CFAB}" name="Column16224"/>
    <tableColumn id="16227" xr3:uid="{79830073-C23D-475E-9B52-400AC6765E2E}" name="Column16225"/>
    <tableColumn id="16228" xr3:uid="{691379D3-044E-4A66-B30F-891906A18EEA}" name="Column16226"/>
    <tableColumn id="16229" xr3:uid="{DFD63DA9-4E36-4C1D-B685-645BE3EBBB9F}" name="Column16227"/>
    <tableColumn id="16230" xr3:uid="{C49705C6-2491-4723-9604-EFB0BFED670C}" name="Column16228"/>
    <tableColumn id="16231" xr3:uid="{86CF9DC4-761D-4D25-8B0D-053FE7C1741F}" name="Column16229"/>
    <tableColumn id="16232" xr3:uid="{9855220D-CB71-43D2-B064-49C322AA139B}" name="Column16230"/>
    <tableColumn id="16233" xr3:uid="{33771338-6A78-402A-8C98-5B047C0B88B3}" name="Column16231"/>
    <tableColumn id="16234" xr3:uid="{A291DD63-0E7A-485C-A621-210D8D51AFF5}" name="Column16232"/>
    <tableColumn id="16235" xr3:uid="{7C4526A7-D02D-4F6A-9F7A-6B1F6CFE1FE4}" name="Column16233"/>
    <tableColumn id="16236" xr3:uid="{C92AD24E-B079-48B2-9411-52DF8E0DF738}" name="Column16234"/>
    <tableColumn id="16237" xr3:uid="{918087B6-BA00-498F-B73F-430BEB5821A3}" name="Column16235"/>
    <tableColumn id="16238" xr3:uid="{A47DAD4C-CD57-4918-A291-928A313F6538}" name="Column16236"/>
    <tableColumn id="16239" xr3:uid="{A5A50365-CC54-4796-A048-86479A3EEC48}" name="Column16237"/>
    <tableColumn id="16240" xr3:uid="{25D63F4A-9310-4E52-A1BE-5D28E783B4A8}" name="Column16238"/>
    <tableColumn id="16241" xr3:uid="{22FCFB8C-B450-4A79-9DD6-FE2D84CE4D74}" name="Column16239"/>
    <tableColumn id="16242" xr3:uid="{95535B3A-9A80-44B3-88A5-86C812A094DA}" name="Column16240"/>
    <tableColumn id="16243" xr3:uid="{3AA42A19-0FE3-4F72-BDFF-C33A74D9F9AA}" name="Column16241"/>
    <tableColumn id="16244" xr3:uid="{3F8B643C-2C4A-4713-9EAA-E09FC0B7E0A3}" name="Column16242"/>
    <tableColumn id="16245" xr3:uid="{7D650B39-6ABE-40D2-8111-AE14DBC2C588}" name="Column16243"/>
    <tableColumn id="16246" xr3:uid="{FAB381D6-A612-4FD3-99B5-CCD67CECA8EF}" name="Column16244"/>
    <tableColumn id="16247" xr3:uid="{82ABB03C-1DC6-45DC-B2F5-B371FA62B085}" name="Column16245"/>
    <tableColumn id="16248" xr3:uid="{AB17066F-641D-46CB-9D84-C7515B38EB1D}" name="Column16246"/>
    <tableColumn id="16249" xr3:uid="{6FC9D332-DE46-47F2-86F1-369D4837C419}" name="Column16247"/>
    <tableColumn id="16250" xr3:uid="{D34B6579-5480-437F-B2B6-BD3D79D1966C}" name="Column16248"/>
    <tableColumn id="16251" xr3:uid="{998910E6-680E-4E59-A12E-38D45809F24A}" name="Column16249"/>
    <tableColumn id="16252" xr3:uid="{925A939B-C299-4CA6-A4AB-BFC094CB5A70}" name="Column16250"/>
    <tableColumn id="16253" xr3:uid="{BE698E7D-82E4-47BB-B33F-3CE43D6994BE}" name="Column16251"/>
    <tableColumn id="16254" xr3:uid="{E004E35E-19D5-49FC-BF23-B8E06E2D296E}" name="Column16252"/>
    <tableColumn id="16255" xr3:uid="{E01AC4E7-6A18-439D-B78A-340F77B179FB}" name="Column16253"/>
    <tableColumn id="16256" xr3:uid="{2BBC99FC-2E94-4D2E-8AA4-EAE11785962E}" name="Column16254"/>
    <tableColumn id="16257" xr3:uid="{6E3E43F8-0C50-48C8-A63B-92140FEEB55E}" name="Column16255"/>
    <tableColumn id="16258" xr3:uid="{7B03CAC3-84F1-4C58-B738-30EFB935E444}" name="Column16256"/>
    <tableColumn id="16259" xr3:uid="{E8104048-32C3-4410-8164-3A2D742CAEA0}" name="Column16257"/>
    <tableColumn id="16260" xr3:uid="{4142EADA-9798-4526-84D9-5782725BF979}" name="Column16258"/>
    <tableColumn id="16261" xr3:uid="{DE3A120E-2163-48E6-AB36-A8017FC2F56E}" name="Column16259"/>
    <tableColumn id="16262" xr3:uid="{9110ED7C-6C9D-4097-BD5A-094C764DB224}" name="Column16260"/>
    <tableColumn id="16263" xr3:uid="{AB9493AC-B2D2-4402-8209-3C6DFA759B7C}" name="Column16261"/>
    <tableColumn id="16264" xr3:uid="{4F2A6B0A-0044-44E9-BE84-92CABD85A714}" name="Column16262"/>
    <tableColumn id="16265" xr3:uid="{16D3F04E-1C64-4151-9349-217D50548E82}" name="Column16263"/>
    <tableColumn id="16266" xr3:uid="{4CAD029E-9B0B-4A1E-B756-864F8E7749FF}" name="Column16264"/>
    <tableColumn id="16267" xr3:uid="{D89D053A-50C5-48E6-98FA-D5FABE7A7C4D}" name="Column16265"/>
    <tableColumn id="16268" xr3:uid="{B471DE30-0C29-4628-B0BB-EC8F5709C0FD}" name="Column16266"/>
    <tableColumn id="16269" xr3:uid="{1194BF49-5C8C-4701-8E16-D89BA7DB770F}" name="Column16267"/>
    <tableColumn id="16270" xr3:uid="{130CF788-8E79-4455-9B8D-57005C398234}" name="Column16268"/>
    <tableColumn id="16271" xr3:uid="{FD3BA1FC-1534-40E7-9904-18C30431C752}" name="Column16269"/>
    <tableColumn id="16272" xr3:uid="{7EBDA06D-B0C2-4949-A373-E739F380D8A7}" name="Column16270"/>
    <tableColumn id="16273" xr3:uid="{2FD6D9A5-6D0C-45B2-8439-5AA78EEDECF3}" name="Column16271"/>
    <tableColumn id="16274" xr3:uid="{52969B4B-1D3D-444A-864B-B9EF981F54A2}" name="Column16272"/>
    <tableColumn id="16275" xr3:uid="{8B422CC0-C470-4BE6-83DD-2153433F9EC3}" name="Column16273"/>
    <tableColumn id="16276" xr3:uid="{8C6EAB22-0B10-478A-BEC6-BF2623EFBB2E}" name="Column16274"/>
    <tableColumn id="16277" xr3:uid="{D46C96BF-342F-43E0-A6CF-10BE214D87DA}" name="Column16275"/>
    <tableColumn id="16278" xr3:uid="{6B20E1F7-6EFE-4588-88DD-80FDE9E3B5CE}" name="Column16276"/>
    <tableColumn id="16279" xr3:uid="{E81831DE-2536-4007-961F-09B289A3E77C}" name="Column16277"/>
    <tableColumn id="16280" xr3:uid="{BA6E6332-212B-4F85-AB90-FFD7F21AC86B}" name="Column16278"/>
    <tableColumn id="16281" xr3:uid="{5E80E280-F088-4BF2-94A5-1672E5FDAAA9}" name="Column16279"/>
    <tableColumn id="16282" xr3:uid="{68B1EB70-7001-42AE-ABD8-D545F2C8D536}" name="Column16280"/>
    <tableColumn id="16283" xr3:uid="{793B9062-266E-4CA4-980A-32E56F3D71FD}" name="Column16281"/>
    <tableColumn id="16284" xr3:uid="{0E72AFB9-DB35-4C9A-9DC8-F9133538AD95}" name="Column16282"/>
    <tableColumn id="16285" xr3:uid="{A73252F6-EC9C-4B5D-AAA7-ECF6C1798496}" name="Column16283"/>
    <tableColumn id="16286" xr3:uid="{A74DADC3-176B-46CE-88CD-0BAE0EB04A76}" name="Column16284"/>
    <tableColumn id="16287" xr3:uid="{BEE8AEE2-323E-4553-8F81-DF37CD51C970}" name="Column16285"/>
    <tableColumn id="16288" xr3:uid="{2709BCC7-EC37-48C9-AB69-4DC14CF219FC}" name="Column16286"/>
    <tableColumn id="16289" xr3:uid="{6AC3EDFF-A1A6-471E-AC99-01B7FA97B435}" name="Column16287"/>
    <tableColumn id="16290" xr3:uid="{73A3287F-ABAF-40E6-B11E-3C039A09FA11}" name="Column16288"/>
    <tableColumn id="16291" xr3:uid="{D66378A0-8A08-44B9-9DC9-B86FADF47134}" name="Column16289"/>
    <tableColumn id="16292" xr3:uid="{9517C3E4-90D1-4E27-8722-C95985E4F89D}" name="Column16290"/>
    <tableColumn id="16293" xr3:uid="{887B6243-8564-42B5-AACD-A37683A2B559}" name="Column16291"/>
    <tableColumn id="16294" xr3:uid="{440A574A-B4A0-45D7-858D-9F9300E1FEE0}" name="Column16292"/>
    <tableColumn id="16295" xr3:uid="{0A5C8B3E-BAA7-4B08-A4A7-07873EA2ED3B}" name="Column16293"/>
    <tableColumn id="16296" xr3:uid="{5BAE19D3-1471-406A-973B-9AC95313B45F}" name="Column16294"/>
    <tableColumn id="16297" xr3:uid="{8B0A2653-48E3-45E3-8061-7E32A290460C}" name="Column16295"/>
    <tableColumn id="16298" xr3:uid="{75A2DF7D-7E6B-4C06-93C1-7168D69E1290}" name="Column16296"/>
    <tableColumn id="16299" xr3:uid="{1CA543E3-EBE8-4C17-829F-7EC5F23F82BA}" name="Column16297"/>
    <tableColumn id="16300" xr3:uid="{C3404A3E-36BD-458B-81F8-8053A251995C}" name="Column16298"/>
    <tableColumn id="16301" xr3:uid="{EE2CFF20-6DF6-4A7F-806E-79D8A47B0A70}" name="Column16299"/>
    <tableColumn id="16302" xr3:uid="{A93744BD-23B9-4907-899F-5FE1F7DB3D2D}" name="Column16300"/>
    <tableColumn id="16303" xr3:uid="{FAEC268E-EB1A-4BCC-98EA-122360D64E9F}" name="Column16301"/>
    <tableColumn id="16304" xr3:uid="{75BB8504-3DD8-449C-8232-EBBF55FFBD48}" name="Column16302"/>
    <tableColumn id="16305" xr3:uid="{50C81DA2-1015-45A8-90E9-323B35CE928C}" name="Column16303"/>
    <tableColumn id="16306" xr3:uid="{FE0476A3-E209-4B9C-921D-6F9593E60CA6}" name="Column16304"/>
    <tableColumn id="16307" xr3:uid="{3BEA7DD0-DCCD-4AAC-83A1-4E86656E702E}" name="Column16305"/>
    <tableColumn id="16308" xr3:uid="{1FE5577F-096D-42CE-91CB-BBF3AB2954E3}" name="Column16306"/>
    <tableColumn id="16309" xr3:uid="{D79AE291-FA9A-47A4-B7AB-14E710196748}" name="Column16307"/>
    <tableColumn id="16310" xr3:uid="{1974DE8B-27C5-40E3-BF61-D889CD464DFD}" name="Column16308"/>
    <tableColumn id="16311" xr3:uid="{0B633FE3-A2BC-41D7-9407-7B2DCDC26C15}" name="Column16309"/>
    <tableColumn id="16312" xr3:uid="{BA366DBD-00C1-4E2A-818D-9E683DFDD537}" name="Column16310"/>
    <tableColumn id="16313" xr3:uid="{366D01AA-14A6-4305-B2EB-CB54FB9C1047}" name="Column16311"/>
    <tableColumn id="16314" xr3:uid="{7D6AD031-7DEA-4FF5-B967-824CBD72CE3B}" name="Column16312"/>
    <tableColumn id="16315" xr3:uid="{F644ADDF-6869-475C-B25F-A6098523D4BC}" name="Column16313"/>
    <tableColumn id="16316" xr3:uid="{C85D0AD5-FD25-4964-84DD-8F345C2407DD}" name="Column16314"/>
    <tableColumn id="16317" xr3:uid="{A59FA4B6-15EE-4020-A642-5608CD62D71B}" name="Column16315"/>
    <tableColumn id="16318" xr3:uid="{62BD5CCA-6C16-42C2-9ECE-BF4CF16BFC45}" name="Column16316"/>
    <tableColumn id="16319" xr3:uid="{D5158FFE-0861-498D-A839-33D1A30E564A}" name="Column16317"/>
    <tableColumn id="16320" xr3:uid="{675CBE5E-63E2-4127-8E0C-18E974B90D04}" name="Column16318"/>
    <tableColumn id="16321" xr3:uid="{BFA56158-7016-42B9-B103-81544D369E28}" name="Column16319"/>
    <tableColumn id="16322" xr3:uid="{B9D088BC-66B9-4CCC-9215-BF9C1CC3C629}" name="Column16320"/>
    <tableColumn id="16323" xr3:uid="{ECC89162-5FEF-41FD-B273-547A2CC52394}" name="Column16321"/>
    <tableColumn id="16324" xr3:uid="{B748EB51-8001-429A-A060-37A1545FD799}" name="Column16322"/>
    <tableColumn id="16325" xr3:uid="{D45517A9-2431-47A0-828C-E96F732F43B6}" name="Column16323"/>
    <tableColumn id="16326" xr3:uid="{1526DCA3-1FB3-4DFE-A3E4-7E2B9295999C}" name="Column16324"/>
    <tableColumn id="16327" xr3:uid="{B356592A-A4C5-4980-9122-7FD90617AB60}" name="Column16325"/>
    <tableColumn id="16328" xr3:uid="{DAD02B86-76AA-4183-9666-78FDB33E578D}" name="Column16326"/>
    <tableColumn id="16329" xr3:uid="{11430385-500B-49CD-B38D-EB985EFC350C}" name="Column16327"/>
    <tableColumn id="16330" xr3:uid="{9EE1F779-B349-4CAB-A35D-E8E80D9241F8}" name="Column16328"/>
    <tableColumn id="16331" xr3:uid="{90A2464D-4F2F-4729-B923-E47BD4E07BFB}" name="Column16329"/>
    <tableColumn id="16332" xr3:uid="{FC139915-8E3C-46FA-AE81-0D022EC2E97C}" name="Column16330"/>
    <tableColumn id="16333" xr3:uid="{822762EA-8F5A-43CA-BA21-30B207CEB0D3}" name="Column16331"/>
    <tableColumn id="16334" xr3:uid="{3E60B41D-2638-4010-A5E6-F6A398248BBE}" name="Column16332"/>
    <tableColumn id="16335" xr3:uid="{536CB63F-7B6A-4DFB-9C33-DD1672EF97AC}" name="Column16333"/>
    <tableColumn id="16336" xr3:uid="{BDECE526-C0ED-423E-AE85-7562EF4FEB15}" name="Column16334"/>
    <tableColumn id="16337" xr3:uid="{5A3FCE1A-46A4-4065-89C8-366443246C1D}" name="Column16335"/>
    <tableColumn id="16338" xr3:uid="{7AB3ED9D-4008-4C37-A3AD-90C549A363CC}" name="Column16336"/>
    <tableColumn id="16339" xr3:uid="{47D1FDCF-F10D-4C65-AB21-E2EAF3E02939}" name="Column16337"/>
    <tableColumn id="16340" xr3:uid="{73F34D5B-7C40-4595-AE96-221F74CDC89C}" name="Column16338"/>
    <tableColumn id="16341" xr3:uid="{6BE05FB7-54AC-4C8F-8C1D-B7E53637A657}" name="Column16339"/>
    <tableColumn id="16342" xr3:uid="{8C37324C-6C74-4C12-BB19-C432512D1953}" name="Column16340"/>
    <tableColumn id="16343" xr3:uid="{7C4B151F-B9FF-4D70-A115-B67176D45720}" name="Column16341"/>
    <tableColumn id="16344" xr3:uid="{C6B357EE-8683-48B6-95FE-5A9E1B8FA767}" name="Column16342"/>
    <tableColumn id="16345" xr3:uid="{7490137C-01F5-496C-91D4-C1C09E5CB2DB}" name="Column16343"/>
    <tableColumn id="16346" xr3:uid="{C0F9D2E7-AC5E-42D0-83DD-33F784C98CC9}" name="Column16344"/>
    <tableColumn id="16347" xr3:uid="{A75A403F-5E21-4830-9A3F-FC6FED2D86EF}" name="Column16345"/>
    <tableColumn id="16348" xr3:uid="{4B21FA3F-7083-488D-A529-98001D98B7B5}" name="Column16346"/>
    <tableColumn id="16349" xr3:uid="{2396A4CB-65E5-42C8-A6EC-658C7FC1E820}" name="Column16347"/>
    <tableColumn id="16350" xr3:uid="{5707C047-8CA6-42EE-A6F8-6B8549AB84F7}" name="Column16348"/>
    <tableColumn id="16351" xr3:uid="{A56C1CB5-0446-4BB0-9E2F-DC43D1F014B6}" name="Column16349"/>
    <tableColumn id="16352" xr3:uid="{4F347481-E685-48FB-90C6-E294088FE945}" name="Column16350"/>
    <tableColumn id="16353" xr3:uid="{3A93A9BE-B5B4-4ACC-B68F-7882BB946DB9}" name="Column16351"/>
    <tableColumn id="16354" xr3:uid="{263AB73E-22CA-4F76-975C-2FCF4C82D72D}" name="Column16352"/>
    <tableColumn id="16355" xr3:uid="{DE7D8836-2A3A-483C-BF11-390F0249DDA8}" name="Column16353"/>
    <tableColumn id="16356" xr3:uid="{7D5BD228-FD86-49B1-A1A0-5143C3B0A68E}" name="Column16354"/>
    <tableColumn id="16357" xr3:uid="{9FCCAA34-B12F-4DCF-89E3-1597055FFF2D}" name="Column16355"/>
    <tableColumn id="16358" xr3:uid="{7C220C0D-F00B-4AC4-B324-2BF3C980C6DE}" name="Column16356"/>
    <tableColumn id="16359" xr3:uid="{9DC717EE-B2BB-4AFA-B6AD-47008F0FCB76}" name="Column16357"/>
    <tableColumn id="16360" xr3:uid="{97871479-CE6F-4675-9A82-5CDF0157D7EC}" name="Column16358"/>
    <tableColumn id="16361" xr3:uid="{7C868464-0C18-45D1-BA98-960EC999A2AB}" name="Column16359"/>
    <tableColumn id="16362" xr3:uid="{CABDF090-A7CC-442D-9580-3598967DFDD7}" name="Column16360"/>
    <tableColumn id="16363" xr3:uid="{A064462A-3270-488D-A551-DACD4BE6BD13}" name="Column16361"/>
    <tableColumn id="16364" xr3:uid="{1275D38D-0AE1-4111-ACD7-DF0B6FB36F6F}" name="Column16362"/>
    <tableColumn id="16365" xr3:uid="{81617706-6A89-46FA-A56D-69D33F60B4E7}" name="Column16363"/>
    <tableColumn id="16366" xr3:uid="{4B1B22CA-D49D-46AE-9039-CCFF30B74943}" name="Column16364"/>
    <tableColumn id="16367" xr3:uid="{7D6167C3-9BC3-4C78-81DD-5C869845CEB6}" name="Column16365"/>
    <tableColumn id="16368" xr3:uid="{E32B8B09-D3DD-471A-B32B-69620F92DFB4}" name="Column16366"/>
    <tableColumn id="16369" xr3:uid="{D641A13F-D6E1-4679-8C93-380E69E3EEDF}" name="Column16367"/>
    <tableColumn id="16370" xr3:uid="{639E43BF-314C-48B2-8159-BDD90F05924B}" name="Column16368"/>
    <tableColumn id="16371" xr3:uid="{84A5B3E5-02E0-48AC-B964-62E51580BDC4}" name="Column16369"/>
    <tableColumn id="16372" xr3:uid="{40DE3AFB-F1D0-4A85-99CA-209A08DA91A3}" name="Column16370"/>
    <tableColumn id="16373" xr3:uid="{4BFE150D-D598-4A49-898E-8D4BDE11FCFF}" name="Column16371"/>
    <tableColumn id="16374" xr3:uid="{DF332DA7-D5BE-4CFD-83D9-02C7EDFC8929}" name="Column16372"/>
    <tableColumn id="16375" xr3:uid="{13C807B4-F7C6-4A6B-8481-E27286733698}" name="Column16373"/>
    <tableColumn id="16376" xr3:uid="{D44153A4-0E59-4CAE-9147-1E897CD913C3}" name="Column16374"/>
    <tableColumn id="16377" xr3:uid="{1FB9C990-4CCE-4EA5-A477-268011328F6A}" name="Column16375"/>
    <tableColumn id="16378" xr3:uid="{B6A7315F-D247-442B-BC93-9FE6885FCC50}" name="Column16376"/>
    <tableColumn id="16379" xr3:uid="{8792CE7F-70E3-4981-ADDD-1E2CB3F681ED}" name="Column16377"/>
    <tableColumn id="16380" xr3:uid="{71C3BE7B-D046-4437-9E7C-C3D8D599516B}" name="Column16378"/>
    <tableColumn id="16381" xr3:uid="{176190CE-0B6C-4518-82E9-91C6B9E249C5}" name="Column16379"/>
    <tableColumn id="16382" xr3:uid="{24FB0ECB-ED67-4312-A3C5-A33411031AD5}" name="Column16380"/>
    <tableColumn id="16383" xr3:uid="{8AD7C295-3847-4B19-AA0F-43677757B23F}" name="Column16381"/>
    <tableColumn id="16384" xr3:uid="{CB833285-60FC-473F-94E5-3062556EF4BB}" name="Column1638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5B71AB-5949-4BA8-B7D8-DE9560FF6088}" name="Table8" displayName="Table8" ref="A38:B50" totalsRowShown="0">
  <autoFilter ref="A38:B50" xr:uid="{925B71AB-5949-4BA8-B7D8-DE9560FF6088}"/>
  <tableColumns count="2">
    <tableColumn id="1" xr3:uid="{62AD0B66-5CCE-44DD-B790-FD9BF00A23CF}" name="Q4 — Customer Support"/>
    <tableColumn id="2" xr3:uid="{30D560B0-9429-4E3F-91C3-C96283DB1C3F}" name="Which posts likely require a response from CommBank, and what themes do they share?">
      <calculatedColumnFormula>COUNTIFS(Social_Media_Posts!$G:$G,$A39,Social_Media_Posts!$W:$W,"Yes")</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DA92F7C-CD23-43B9-86D8-9C28DB45FE89}" name="Table9" displayName="Table9" ref="A54:E73" totalsRowShown="0">
  <autoFilter ref="A54:E73" xr:uid="{0DA92F7C-CD23-43B9-86D8-9C28DB45FE89}"/>
  <tableColumns count="5">
    <tableColumn id="1" xr3:uid="{0647D8C5-85E6-4306-A5D9-21350CCA74C8}" name="Q5 — Trend Analysis"/>
    <tableColumn id="2" xr3:uid="{DC8E37E7-3F72-4065-A3F6-C3EDB8A90D0C}" name="Do certain topics or sentiment patterns appear more often on specific dates or days of the week?">
      <calculatedColumnFormula>COUNTIFS(Social_Media_Posts!$U:$U,$A55,Social_Media_Posts!$K:$K,B$66)</calculatedColumnFormula>
    </tableColumn>
    <tableColumn id="3" xr3:uid="{175BFF36-0D89-4A5E-8CE0-09AD6DAF2F0A}" name="Column1">
      <calculatedColumnFormula>COUNTIFS(Social_Media_Posts!$U:$U,$A55,Social_Media_Posts!$K:$K,"Negative")</calculatedColumnFormula>
    </tableColumn>
    <tableColumn id="4" xr3:uid="{B31A8626-E77F-48D1-B4A7-70642A9F74D9}" name="Column2">
      <calculatedColumnFormula>COUNTIFS(Social_Media_Posts!$U:$U,$A55,Social_Media_Posts!$K:$K,"Neutral")</calculatedColumnFormula>
    </tableColumn>
    <tableColumn id="5" xr3:uid="{C202839B-57EC-4853-9F50-3DD04A75B92F}" name="Column3">
      <calculatedColumnFormula>COUNTIFS(Social_Media_Posts!$U:$U,$A55,Social_Media_Posts!$K:$K,"Mixed")</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A6E968A-34C3-42B1-BCB5-E0DD1709A6A4}" name="Table10" displayName="Table10" ref="A75:D88" totalsRowShown="0">
  <autoFilter ref="A75:D88" xr:uid="{4A6E968A-34C3-42B1-BCB5-E0DD1709A6A4}"/>
  <tableColumns count="4">
    <tableColumn id="1" xr3:uid="{40918149-0C9D-46E9-9A75-F7C4044545A3}" name="Q6 — Marketing Insight"/>
    <tableColumn id="2" xr3:uid="{FADFBEA9-9FAA-476F-B7D6-3FAB9C06D9F6}" name="Which formats or campaign themes appear to resonate most with audiences?">
      <calculatedColumnFormula>COUNTIF(Social_Media_Posts!$H:$H,A76)</calculatedColumnFormula>
    </tableColumn>
    <tableColumn id="3" xr3:uid="{ACF01A59-1B00-4309-B746-7356406E3A8F}" name="Column1">
      <calculatedColumnFormula>SUMIF(Social_Media_Posts!$H:$H,$A76,Social_Media_Posts!$S:$S)</calculatedColumnFormula>
    </tableColumn>
    <tableColumn id="4" xr3:uid="{603235B7-22D4-43D0-8980-3553A97533A4}" name="Column2">
      <calculatedColumnFormula>C68/B68</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3076101-B27B-4ED8-8675-24B4CFA58272}" name="Table11" displayName="Table11" ref="A93:D105" totalsRowShown="0">
  <autoFilter ref="A93:D105" xr:uid="{03076101-B27B-4ED8-8675-24B4CFA58272}"/>
  <tableColumns count="4">
    <tableColumn id="1" xr3:uid="{A768E778-810C-4A72-BD24-82FCFD08C2F0}" name="Q7 — Product Insight"/>
    <tableColumn id="2" xr3:uid="{E2E2AF7F-6851-4E41-9E1F-6F101932EC46}" name="What app, NetBank, card, or service improvements are customers requesting?">
      <calculatedColumnFormula>COUNTIF($D$95:$D$105,A94)</calculatedColumnFormula>
    </tableColumn>
    <tableColumn id="3" xr3:uid="{96F0B0B6-A741-4024-86A6-909AD6FC0817}" name="Column1" dataDxfId="11"/>
    <tableColumn id="4" xr3:uid="{ECCAF4B4-8CD1-4620-994D-3D3F67E74C0B}" name="Column2" dataDxfI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6D3705E-B145-4198-95D9-C9D9EAEAB5DF}" name="Table12" displayName="Table12" ref="A110:D127" totalsRowShown="0" dataDxfId="6">
  <autoFilter ref="A110:D127" xr:uid="{16D3705E-B145-4198-95D9-C9D9EAEAB5DF}"/>
  <tableColumns count="4">
    <tableColumn id="1" xr3:uid="{254484B7-511A-4CF0-845B-7B461C22FA3F}" name="Q8 — Risk Insight"/>
    <tableColumn id="2" xr3:uid="{B7792FCD-5474-4CCC-A725-B52F382BE2ED}" name="What scam or security concerns are most visible in the data?" dataDxfId="9"/>
    <tableColumn id="3" xr3:uid="{96BA0C28-8152-40BA-8011-7BDC382AA659}" name="Column1" dataDxfId="8"/>
    <tableColumn id="4" xr3:uid="{8C435BBC-F3C5-4C32-BC64-C08329621B5C}" name="Column2" dataDxfId="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0C7D052-D08D-4E6E-8602-A26BA44BFDD7}" name="Table13" displayName="Table13" ref="A132:C141" totalsRowShown="0" headerRowDxfId="0" dataDxfId="1">
  <autoFilter ref="A132:C141" xr:uid="{B0C7D052-D08D-4E6E-8602-A26BA44BFDD7}"/>
  <tableColumns count="3">
    <tableColumn id="1" xr3:uid="{9E3F75AC-82C6-47E2-9727-04793F4D725F}" name="Task 3 — Consolidated Findings &amp; Insights" dataDxfId="4"/>
    <tableColumn id="2" xr3:uid="{A7A22516-CAEB-427F-B801-6369C6C1D822}" name="Column1" dataDxfId="3"/>
    <tableColumn id="3" xr3:uid="{4DB93CCF-D0E0-442D-B2F6-3E9A2B0FD491}" name="Column2" dataDxfId="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ourcesTable" displayName="ResourcesTable" ref="A1:C4">
  <tableColumns count="3">
    <tableColumn id="1" xr3:uid="{00000000-0010-0000-0300-000001000000}" name="Resource"/>
    <tableColumn id="2" xr3:uid="{00000000-0010-0000-0300-000002000000}" name="Use in task"/>
    <tableColumn id="3" xr3:uid="{00000000-0010-0000-0300-000003000000}" name="URL"/>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heetViews>
  <sheetFormatPr defaultRowHeight="13.8"/>
  <cols>
    <col min="1" max="1" width="110" customWidth="1"/>
  </cols>
  <sheetData>
    <row r="1" spans="1:1" ht="24" customHeight="1">
      <c r="A1" s="1" t="s">
        <v>0</v>
      </c>
    </row>
    <row r="2" spans="1:1">
      <c r="A2" s="2" t="s">
        <v>1</v>
      </c>
    </row>
    <row r="3" spans="1:1" ht="27.6">
      <c r="A3" s="3" t="s">
        <v>2</v>
      </c>
    </row>
    <row r="4" spans="1:1">
      <c r="A4" s="4" t="s">
        <v>3</v>
      </c>
    </row>
    <row r="5" spans="1:1" ht="27.6">
      <c r="A5" s="3" t="s">
        <v>4</v>
      </c>
    </row>
    <row r="6" spans="1:1">
      <c r="A6" s="4" t="s">
        <v>5</v>
      </c>
    </row>
    <row r="7" spans="1:1" ht="27.6">
      <c r="A7" s="3" t="s">
        <v>6</v>
      </c>
    </row>
    <row r="8" spans="1:1">
      <c r="A8" s="4" t="s">
        <v>7</v>
      </c>
    </row>
    <row r="9" spans="1:1" ht="41.4">
      <c r="A9" s="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61"/>
  <sheetViews>
    <sheetView zoomScale="69" workbookViewId="0">
      <selection activeCell="F8" sqref="A2:X61"/>
    </sheetView>
  </sheetViews>
  <sheetFormatPr defaultRowHeight="13.8"/>
  <cols>
    <col min="1" max="1" width="7" bestFit="1" customWidth="1"/>
    <col min="2" max="2" width="15.796875" bestFit="1" customWidth="1"/>
    <col min="3" max="3" width="11.296875" bestFit="1" customWidth="1"/>
    <col min="4" max="4" width="17.8984375" bestFit="1" customWidth="1"/>
    <col min="5" max="5" width="6.69921875" bestFit="1" customWidth="1"/>
    <col min="6" max="6" width="64.796875" bestFit="1" customWidth="1"/>
    <col min="7" max="7" width="18.19921875" bestFit="1" customWidth="1"/>
    <col min="8" max="8" width="11.5" bestFit="1" customWidth="1"/>
    <col min="9" max="9" width="27.8984375" bestFit="1" customWidth="1"/>
    <col min="10" max="10" width="13.09765625" customWidth="1"/>
    <col min="11" max="11" width="8.19921875" bestFit="1" customWidth="1"/>
    <col min="12" max="12" width="5.19921875" bestFit="1" customWidth="1"/>
    <col min="13" max="13" width="5.69921875" bestFit="1" customWidth="1"/>
    <col min="14" max="15" width="4.19921875" bestFit="1" customWidth="1"/>
    <col min="16" max="16" width="3.09765625" bestFit="1" customWidth="1"/>
    <col min="17" max="17" width="8.19921875" bestFit="1" customWidth="1"/>
    <col min="18" max="18" width="13.296875" customWidth="1"/>
    <col min="19" max="19" width="21.3984375" customWidth="1"/>
    <col min="20" max="20" width="6.296875" bestFit="1" customWidth="1"/>
    <col min="21" max="21" width="10.69921875" bestFit="1" customWidth="1"/>
    <col min="22" max="22" width="17" bestFit="1" customWidth="1"/>
    <col min="23" max="23" width="18.59765625" customWidth="1"/>
    <col min="24" max="24" width="37.69921875" bestFit="1" customWidth="1"/>
  </cols>
  <sheetData>
    <row r="1" spans="1:24" ht="82.8">
      <c r="A1" s="5" t="s">
        <v>9</v>
      </c>
      <c r="B1" s="5" t="s">
        <v>10</v>
      </c>
      <c r="C1" s="5" t="s">
        <v>11</v>
      </c>
      <c r="D1" s="5" t="s">
        <v>12</v>
      </c>
      <c r="E1" s="5" t="s">
        <v>13</v>
      </c>
      <c r="F1" s="5" t="s">
        <v>14</v>
      </c>
      <c r="G1" s="5" t="s">
        <v>15</v>
      </c>
      <c r="H1" s="5" t="s">
        <v>16</v>
      </c>
      <c r="I1" s="5" t="s">
        <v>17</v>
      </c>
      <c r="J1" s="5" t="s">
        <v>18</v>
      </c>
      <c r="K1" s="5" t="s">
        <v>19</v>
      </c>
      <c r="L1" s="5" t="s">
        <v>20</v>
      </c>
      <c r="M1" s="5" t="s">
        <v>21</v>
      </c>
      <c r="N1" s="5" t="s">
        <v>22</v>
      </c>
      <c r="O1" s="5" t="s">
        <v>23</v>
      </c>
      <c r="P1" s="5" t="s">
        <v>24</v>
      </c>
      <c r="Q1" s="5" t="s">
        <v>25</v>
      </c>
      <c r="R1" s="5" t="s">
        <v>26</v>
      </c>
      <c r="S1" s="5" t="s">
        <v>27</v>
      </c>
      <c r="T1" s="5" t="s">
        <v>28</v>
      </c>
      <c r="U1" s="5" t="s">
        <v>29</v>
      </c>
      <c r="V1" s="5" t="s">
        <v>30</v>
      </c>
      <c r="W1" s="5" t="s">
        <v>31</v>
      </c>
      <c r="X1" s="5" t="s">
        <v>32</v>
      </c>
    </row>
    <row r="2" spans="1:24" ht="27.6">
      <c r="A2" s="3" t="s">
        <v>211</v>
      </c>
      <c r="B2" s="6">
        <v>46166.681944444441</v>
      </c>
      <c r="C2" s="3" t="s">
        <v>34</v>
      </c>
      <c r="D2" s="3" t="s">
        <v>35</v>
      </c>
      <c r="E2" s="3" t="s">
        <v>36</v>
      </c>
      <c r="F2" s="3" t="s">
        <v>212</v>
      </c>
      <c r="G2" s="3" t="s">
        <v>38</v>
      </c>
      <c r="H2" s="3" t="s">
        <v>39</v>
      </c>
      <c r="I2" s="3" t="s">
        <v>213</v>
      </c>
      <c r="J2" s="3" t="s">
        <v>41</v>
      </c>
      <c r="K2" s="3" t="s">
        <v>42</v>
      </c>
      <c r="L2" s="7">
        <v>0.16</v>
      </c>
      <c r="M2" s="8">
        <v>1280</v>
      </c>
      <c r="N2" s="8">
        <v>118</v>
      </c>
      <c r="O2" s="8">
        <v>520</v>
      </c>
      <c r="P2" s="8">
        <v>47</v>
      </c>
      <c r="Q2" s="8">
        <v>210000</v>
      </c>
      <c r="R2" s="8">
        <v>10200</v>
      </c>
      <c r="S2" s="8">
        <f t="shared" ref="S2:S33" si="0">SUM(M2:P2)+R2</f>
        <v>12165</v>
      </c>
      <c r="T2" s="9">
        <f t="shared" ref="T2:T33" si="1">IFERROR(S2/Q2,0)</f>
        <v>5.7928571428571426E-2</v>
      </c>
      <c r="U2" s="3" t="str">
        <f t="shared" ref="U2:U33" si="2">TEXT(B2,"dddd")</f>
        <v>Sunday</v>
      </c>
      <c r="V2" s="3" t="s">
        <v>43</v>
      </c>
      <c r="W2" s="3" t="s">
        <v>41</v>
      </c>
      <c r="X2" s="3" t="s">
        <v>120</v>
      </c>
    </row>
    <row r="3" spans="1:24" ht="27.6">
      <c r="A3" s="3" t="s">
        <v>165</v>
      </c>
      <c r="B3" s="6">
        <v>46147.458333333336</v>
      </c>
      <c r="C3" s="3" t="s">
        <v>34</v>
      </c>
      <c r="D3" s="3" t="s">
        <v>35</v>
      </c>
      <c r="E3" s="3" t="s">
        <v>36</v>
      </c>
      <c r="F3" s="3" t="s">
        <v>166</v>
      </c>
      <c r="G3" s="3" t="s">
        <v>38</v>
      </c>
      <c r="H3" s="3" t="s">
        <v>82</v>
      </c>
      <c r="I3" s="3" t="s">
        <v>167</v>
      </c>
      <c r="J3" s="3" t="s">
        <v>41</v>
      </c>
      <c r="K3" s="3" t="s">
        <v>52</v>
      </c>
      <c r="L3" s="7">
        <v>0.42</v>
      </c>
      <c r="M3" s="8">
        <v>900</v>
      </c>
      <c r="N3" s="8">
        <v>82</v>
      </c>
      <c r="O3" s="8">
        <v>360</v>
      </c>
      <c r="P3" s="8">
        <v>33</v>
      </c>
      <c r="Q3" s="8">
        <v>170000</v>
      </c>
      <c r="R3" s="8">
        <v>8900</v>
      </c>
      <c r="S3" s="8">
        <f t="shared" si="0"/>
        <v>10275</v>
      </c>
      <c r="T3" s="9">
        <f t="shared" si="1"/>
        <v>6.0441176470588234E-2</v>
      </c>
      <c r="U3" s="3" t="str">
        <f t="shared" si="2"/>
        <v>Tuesday</v>
      </c>
      <c r="V3" s="3" t="s">
        <v>43</v>
      </c>
      <c r="W3" s="3" t="s">
        <v>41</v>
      </c>
      <c r="X3" s="3" t="s">
        <v>84</v>
      </c>
    </row>
    <row r="4" spans="1:24" ht="27.6">
      <c r="A4" s="3" t="s">
        <v>102</v>
      </c>
      <c r="B4" s="6">
        <v>46134.416666666664</v>
      </c>
      <c r="C4" s="3" t="s">
        <v>34</v>
      </c>
      <c r="D4" s="3" t="s">
        <v>35</v>
      </c>
      <c r="E4" s="3" t="s">
        <v>36</v>
      </c>
      <c r="F4" s="3" t="s">
        <v>103</v>
      </c>
      <c r="G4" s="3" t="s">
        <v>104</v>
      </c>
      <c r="H4" s="3" t="s">
        <v>105</v>
      </c>
      <c r="I4" s="3" t="s">
        <v>106</v>
      </c>
      <c r="J4" s="3" t="s">
        <v>41</v>
      </c>
      <c r="K4" s="3" t="s">
        <v>52</v>
      </c>
      <c r="L4" s="7">
        <v>0.46</v>
      </c>
      <c r="M4" s="8">
        <v>1100</v>
      </c>
      <c r="N4" s="8">
        <v>72</v>
      </c>
      <c r="O4" s="8">
        <v>405</v>
      </c>
      <c r="P4" s="8">
        <v>31</v>
      </c>
      <c r="Q4" s="8">
        <v>156000</v>
      </c>
      <c r="R4" s="8">
        <v>7400</v>
      </c>
      <c r="S4" s="8">
        <f t="shared" si="0"/>
        <v>9008</v>
      </c>
      <c r="T4" s="9">
        <f t="shared" si="1"/>
        <v>5.7743589743589743E-2</v>
      </c>
      <c r="U4" s="3" t="str">
        <f t="shared" si="2"/>
        <v>Wednesday</v>
      </c>
      <c r="V4" s="3" t="s">
        <v>43</v>
      </c>
      <c r="W4" s="3" t="s">
        <v>41</v>
      </c>
      <c r="X4" s="3" t="s">
        <v>107</v>
      </c>
    </row>
    <row r="5" spans="1:24" ht="27.6">
      <c r="A5" s="3" t="s">
        <v>233</v>
      </c>
      <c r="B5" s="6">
        <v>46182.392361111109</v>
      </c>
      <c r="C5" s="3" t="s">
        <v>34</v>
      </c>
      <c r="D5" s="3" t="s">
        <v>35</v>
      </c>
      <c r="E5" s="3" t="s">
        <v>36</v>
      </c>
      <c r="F5" s="3" t="s">
        <v>234</v>
      </c>
      <c r="G5" s="3" t="s">
        <v>104</v>
      </c>
      <c r="H5" s="3" t="s">
        <v>39</v>
      </c>
      <c r="I5" s="3" t="s">
        <v>235</v>
      </c>
      <c r="J5" s="3" t="s">
        <v>41</v>
      </c>
      <c r="K5" s="3" t="s">
        <v>42</v>
      </c>
      <c r="L5" s="7">
        <v>0.19</v>
      </c>
      <c r="M5" s="8">
        <v>740</v>
      </c>
      <c r="N5" s="8">
        <v>63</v>
      </c>
      <c r="O5" s="8">
        <v>295</v>
      </c>
      <c r="P5" s="8">
        <v>22</v>
      </c>
      <c r="Q5" s="8">
        <v>151000</v>
      </c>
      <c r="R5" s="8">
        <v>7200</v>
      </c>
      <c r="S5" s="8">
        <f t="shared" si="0"/>
        <v>8320</v>
      </c>
      <c r="T5" s="9">
        <f t="shared" si="1"/>
        <v>5.5099337748344371E-2</v>
      </c>
      <c r="U5" s="3" t="str">
        <f t="shared" si="2"/>
        <v>Tuesday</v>
      </c>
      <c r="V5" s="3" t="s">
        <v>43</v>
      </c>
      <c r="W5" s="3" t="s">
        <v>41</v>
      </c>
      <c r="X5" s="3" t="s">
        <v>120</v>
      </c>
    </row>
    <row r="6" spans="1:24" ht="27.6" hidden="1">
      <c r="A6" s="3" t="s">
        <v>216</v>
      </c>
      <c r="B6" s="6">
        <v>46169.402777777781</v>
      </c>
      <c r="C6" s="3" t="s">
        <v>34</v>
      </c>
      <c r="D6" s="3" t="s">
        <v>35</v>
      </c>
      <c r="E6" s="3" t="s">
        <v>36</v>
      </c>
      <c r="F6" s="3" t="s">
        <v>217</v>
      </c>
      <c r="G6" s="3" t="s">
        <v>73</v>
      </c>
      <c r="H6" s="3" t="s">
        <v>39</v>
      </c>
      <c r="I6" s="3" t="s">
        <v>144</v>
      </c>
      <c r="J6" s="3" t="s">
        <v>41</v>
      </c>
      <c r="K6" s="3" t="s">
        <v>52</v>
      </c>
      <c r="L6" s="7">
        <v>0.44</v>
      </c>
      <c r="M6" s="8">
        <v>720</v>
      </c>
      <c r="N6" s="8">
        <v>156</v>
      </c>
      <c r="O6" s="8">
        <v>132</v>
      </c>
      <c r="P6" s="8">
        <v>35</v>
      </c>
      <c r="Q6" s="8">
        <v>149000</v>
      </c>
      <c r="R6" s="8">
        <v>4800</v>
      </c>
      <c r="S6" s="8">
        <f t="shared" si="0"/>
        <v>5843</v>
      </c>
      <c r="T6" s="9">
        <f t="shared" si="1"/>
        <v>3.9214765100671144E-2</v>
      </c>
      <c r="U6" s="3" t="str">
        <f t="shared" si="2"/>
        <v>Wednesday</v>
      </c>
      <c r="V6" s="3" t="s">
        <v>145</v>
      </c>
      <c r="W6" s="3" t="s">
        <v>41</v>
      </c>
      <c r="X6" s="3" t="s">
        <v>146</v>
      </c>
    </row>
    <row r="7" spans="1:24" ht="27.6" hidden="1">
      <c r="A7" s="3" t="s">
        <v>142</v>
      </c>
      <c r="B7" s="6">
        <v>46140.510416666664</v>
      </c>
      <c r="C7" s="3" t="s">
        <v>34</v>
      </c>
      <c r="D7" s="3" t="s">
        <v>35</v>
      </c>
      <c r="E7" s="3" t="s">
        <v>36</v>
      </c>
      <c r="F7" s="3" t="s">
        <v>143</v>
      </c>
      <c r="G7" s="3" t="s">
        <v>73</v>
      </c>
      <c r="H7" s="3" t="s">
        <v>39</v>
      </c>
      <c r="I7" s="3" t="s">
        <v>144</v>
      </c>
      <c r="J7" s="3" t="s">
        <v>41</v>
      </c>
      <c r="K7" s="3" t="s">
        <v>52</v>
      </c>
      <c r="L7" s="7">
        <v>0.55000000000000004</v>
      </c>
      <c r="M7" s="8">
        <v>980</v>
      </c>
      <c r="N7" s="8">
        <v>104</v>
      </c>
      <c r="O7" s="8">
        <v>218</v>
      </c>
      <c r="P7" s="8">
        <v>26</v>
      </c>
      <c r="Q7" s="8">
        <v>142500</v>
      </c>
      <c r="R7" s="8">
        <v>6100</v>
      </c>
      <c r="S7" s="8">
        <f t="shared" si="0"/>
        <v>7428</v>
      </c>
      <c r="T7" s="9">
        <f t="shared" si="1"/>
        <v>5.2126315789473687E-2</v>
      </c>
      <c r="U7" s="3" t="str">
        <f t="shared" si="2"/>
        <v>Tuesday</v>
      </c>
      <c r="V7" s="3" t="s">
        <v>145</v>
      </c>
      <c r="W7" s="3" t="s">
        <v>41</v>
      </c>
      <c r="X7" s="3" t="s">
        <v>146</v>
      </c>
    </row>
    <row r="8" spans="1:24" ht="27.6">
      <c r="A8" s="3" t="s">
        <v>158</v>
      </c>
      <c r="B8" s="6">
        <v>46145.555555555555</v>
      </c>
      <c r="C8" s="3" t="s">
        <v>34</v>
      </c>
      <c r="D8" s="3" t="s">
        <v>35</v>
      </c>
      <c r="E8" s="3" t="s">
        <v>36</v>
      </c>
      <c r="F8" s="3" t="s">
        <v>159</v>
      </c>
      <c r="G8" s="3" t="s">
        <v>38</v>
      </c>
      <c r="H8" s="3" t="s">
        <v>105</v>
      </c>
      <c r="I8" s="3" t="s">
        <v>160</v>
      </c>
      <c r="J8" s="3" t="s">
        <v>41</v>
      </c>
      <c r="K8" s="3" t="s">
        <v>42</v>
      </c>
      <c r="L8" s="7">
        <v>0.2</v>
      </c>
      <c r="M8" s="8">
        <v>520</v>
      </c>
      <c r="N8" s="8">
        <v>44</v>
      </c>
      <c r="O8" s="8">
        <v>205</v>
      </c>
      <c r="P8" s="8">
        <v>15</v>
      </c>
      <c r="Q8" s="8">
        <v>132000</v>
      </c>
      <c r="R8" s="8">
        <v>6900</v>
      </c>
      <c r="S8" s="8">
        <f t="shared" si="0"/>
        <v>7684</v>
      </c>
      <c r="T8" s="9">
        <f t="shared" si="1"/>
        <v>5.8212121212121215E-2</v>
      </c>
      <c r="U8" s="3" t="str">
        <f t="shared" si="2"/>
        <v>Sunday</v>
      </c>
      <c r="V8" s="3" t="s">
        <v>43</v>
      </c>
      <c r="W8" s="3" t="s">
        <v>41</v>
      </c>
      <c r="X8" s="3" t="s">
        <v>107</v>
      </c>
    </row>
    <row r="9" spans="1:24" ht="27.6" hidden="1">
      <c r="A9" s="3" t="s">
        <v>227</v>
      </c>
      <c r="B9" s="6">
        <v>46178.5</v>
      </c>
      <c r="C9" s="3" t="s">
        <v>34</v>
      </c>
      <c r="D9" s="3" t="s">
        <v>35</v>
      </c>
      <c r="E9" s="3" t="s">
        <v>36</v>
      </c>
      <c r="F9" s="3" t="s">
        <v>228</v>
      </c>
      <c r="G9" s="3" t="s">
        <v>117</v>
      </c>
      <c r="H9" s="3" t="s">
        <v>105</v>
      </c>
      <c r="I9" s="3" t="s">
        <v>229</v>
      </c>
      <c r="J9" s="3" t="s">
        <v>41</v>
      </c>
      <c r="K9" s="3" t="s">
        <v>52</v>
      </c>
      <c r="L9" s="7">
        <v>0.69</v>
      </c>
      <c r="M9" s="8">
        <v>860</v>
      </c>
      <c r="N9" s="8">
        <v>44</v>
      </c>
      <c r="O9" s="8">
        <v>188</v>
      </c>
      <c r="P9" s="8">
        <v>14</v>
      </c>
      <c r="Q9" s="8">
        <v>125000</v>
      </c>
      <c r="R9" s="8">
        <v>3100</v>
      </c>
      <c r="S9" s="8">
        <f t="shared" si="0"/>
        <v>4206</v>
      </c>
      <c r="T9" s="9">
        <f t="shared" si="1"/>
        <v>3.3647999999999997E-2</v>
      </c>
      <c r="U9" s="3" t="str">
        <f t="shared" si="2"/>
        <v>Friday</v>
      </c>
      <c r="V9" s="3" t="s">
        <v>119</v>
      </c>
      <c r="W9" s="3" t="s">
        <v>41</v>
      </c>
      <c r="X9" s="3" t="s">
        <v>107</v>
      </c>
    </row>
    <row r="10" spans="1:24" ht="27.6">
      <c r="A10" s="3" t="s">
        <v>171</v>
      </c>
      <c r="B10" s="6">
        <v>46148.690972222219</v>
      </c>
      <c r="C10" s="3" t="s">
        <v>34</v>
      </c>
      <c r="D10" s="3" t="s">
        <v>35</v>
      </c>
      <c r="E10" s="3" t="s">
        <v>36</v>
      </c>
      <c r="F10" s="3" t="s">
        <v>172</v>
      </c>
      <c r="G10" s="3" t="s">
        <v>104</v>
      </c>
      <c r="H10" s="3" t="s">
        <v>39</v>
      </c>
      <c r="I10" s="3" t="s">
        <v>173</v>
      </c>
      <c r="J10" s="3" t="s">
        <v>41</v>
      </c>
      <c r="K10" s="3" t="s">
        <v>52</v>
      </c>
      <c r="L10" s="7">
        <v>0.4</v>
      </c>
      <c r="M10" s="8">
        <v>480</v>
      </c>
      <c r="N10" s="8">
        <v>93</v>
      </c>
      <c r="O10" s="8">
        <v>156</v>
      </c>
      <c r="P10" s="8">
        <v>24</v>
      </c>
      <c r="Q10" s="8">
        <v>124000</v>
      </c>
      <c r="R10" s="8">
        <v>4100</v>
      </c>
      <c r="S10" s="8">
        <f t="shared" si="0"/>
        <v>4853</v>
      </c>
      <c r="T10" s="9">
        <f t="shared" si="1"/>
        <v>3.9137096774193546E-2</v>
      </c>
      <c r="U10" s="3" t="str">
        <f t="shared" si="2"/>
        <v>Wednesday</v>
      </c>
      <c r="V10" s="3" t="s">
        <v>145</v>
      </c>
      <c r="W10" s="3" t="s">
        <v>41</v>
      </c>
      <c r="X10" s="3" t="s">
        <v>146</v>
      </c>
    </row>
    <row r="11" spans="1:24" ht="27.6" hidden="1">
      <c r="A11" s="3" t="s">
        <v>238</v>
      </c>
      <c r="B11" s="6">
        <v>46185.465277777781</v>
      </c>
      <c r="C11" s="3" t="s">
        <v>34</v>
      </c>
      <c r="D11" s="3" t="s">
        <v>35</v>
      </c>
      <c r="E11" s="3" t="s">
        <v>36</v>
      </c>
      <c r="F11" s="3" t="s">
        <v>239</v>
      </c>
      <c r="G11" s="3" t="s">
        <v>73</v>
      </c>
      <c r="H11" s="3" t="s">
        <v>39</v>
      </c>
      <c r="I11" s="3" t="s">
        <v>240</v>
      </c>
      <c r="J11" s="3" t="s">
        <v>41</v>
      </c>
      <c r="K11" s="3" t="s">
        <v>52</v>
      </c>
      <c r="L11" s="7">
        <v>0.61</v>
      </c>
      <c r="M11" s="8">
        <v>690</v>
      </c>
      <c r="N11" s="8">
        <v>73</v>
      </c>
      <c r="O11" s="8">
        <v>148</v>
      </c>
      <c r="P11" s="8">
        <v>20</v>
      </c>
      <c r="Q11" s="8">
        <v>121000</v>
      </c>
      <c r="R11" s="8">
        <v>3900</v>
      </c>
      <c r="S11" s="8">
        <f t="shared" si="0"/>
        <v>4831</v>
      </c>
      <c r="T11" s="9">
        <f t="shared" si="1"/>
        <v>3.992561983471074E-2</v>
      </c>
      <c r="U11" s="3" t="str">
        <f t="shared" si="2"/>
        <v>Friday</v>
      </c>
      <c r="V11" s="3" t="s">
        <v>145</v>
      </c>
      <c r="W11" s="3" t="s">
        <v>41</v>
      </c>
      <c r="X11" s="3" t="s">
        <v>120</v>
      </c>
    </row>
    <row r="12" spans="1:24" ht="27.6">
      <c r="A12" s="3" t="s">
        <v>33</v>
      </c>
      <c r="B12" s="6">
        <v>46127.378472222219</v>
      </c>
      <c r="C12" s="3" t="s">
        <v>34</v>
      </c>
      <c r="D12" s="3" t="s">
        <v>35</v>
      </c>
      <c r="E12" s="3" t="s">
        <v>36</v>
      </c>
      <c r="F12" s="3" t="s">
        <v>37</v>
      </c>
      <c r="G12" s="3" t="s">
        <v>38</v>
      </c>
      <c r="H12" s="3" t="s">
        <v>39</v>
      </c>
      <c r="I12" s="3" t="s">
        <v>40</v>
      </c>
      <c r="J12" s="3" t="s">
        <v>41</v>
      </c>
      <c r="K12" s="3" t="s">
        <v>42</v>
      </c>
      <c r="L12" s="7">
        <v>0.1</v>
      </c>
      <c r="M12" s="8">
        <v>842</v>
      </c>
      <c r="N12" s="8">
        <v>96</v>
      </c>
      <c r="O12" s="8">
        <v>310</v>
      </c>
      <c r="P12" s="8">
        <v>28</v>
      </c>
      <c r="Q12" s="8">
        <v>118000</v>
      </c>
      <c r="R12" s="8">
        <v>4200</v>
      </c>
      <c r="S12" s="8">
        <f t="shared" si="0"/>
        <v>5476</v>
      </c>
      <c r="T12" s="9">
        <f t="shared" si="1"/>
        <v>4.6406779661016952E-2</v>
      </c>
      <c r="U12" s="3" t="str">
        <f t="shared" si="2"/>
        <v>Wednesday</v>
      </c>
      <c r="V12" s="3" t="s">
        <v>43</v>
      </c>
      <c r="W12" s="3" t="s">
        <v>41</v>
      </c>
      <c r="X12" s="3" t="s">
        <v>44</v>
      </c>
    </row>
    <row r="13" spans="1:24" ht="27.6" hidden="1">
      <c r="A13" s="3" t="s">
        <v>187</v>
      </c>
      <c r="B13" s="6">
        <v>46154.385416666664</v>
      </c>
      <c r="C13" s="3" t="s">
        <v>34</v>
      </c>
      <c r="D13" s="3" t="s">
        <v>35</v>
      </c>
      <c r="E13" s="3" t="s">
        <v>36</v>
      </c>
      <c r="F13" s="3" t="s">
        <v>188</v>
      </c>
      <c r="G13" s="3" t="s">
        <v>130</v>
      </c>
      <c r="H13" s="3" t="s">
        <v>105</v>
      </c>
      <c r="I13" s="3" t="s">
        <v>144</v>
      </c>
      <c r="J13" s="3" t="s">
        <v>41</v>
      </c>
      <c r="K13" s="3" t="s">
        <v>52</v>
      </c>
      <c r="L13" s="7">
        <v>0.38</v>
      </c>
      <c r="M13" s="8">
        <v>670</v>
      </c>
      <c r="N13" s="8">
        <v>58</v>
      </c>
      <c r="O13" s="8">
        <v>142</v>
      </c>
      <c r="P13" s="8">
        <v>16</v>
      </c>
      <c r="Q13" s="8">
        <v>111000</v>
      </c>
      <c r="R13" s="8">
        <v>5300</v>
      </c>
      <c r="S13" s="8">
        <f t="shared" si="0"/>
        <v>6186</v>
      </c>
      <c r="T13" s="9">
        <f t="shared" si="1"/>
        <v>5.5729729729729727E-2</v>
      </c>
      <c r="U13" s="3" t="str">
        <f t="shared" si="2"/>
        <v>Tuesday</v>
      </c>
      <c r="V13" s="3" t="s">
        <v>43</v>
      </c>
      <c r="W13" s="3" t="s">
        <v>41</v>
      </c>
      <c r="X13" s="3" t="s">
        <v>189</v>
      </c>
    </row>
    <row r="14" spans="1:24" ht="27.6" hidden="1">
      <c r="A14" s="3" t="s">
        <v>115</v>
      </c>
      <c r="B14" s="6">
        <v>46135.604166666664</v>
      </c>
      <c r="C14" s="3" t="s">
        <v>34</v>
      </c>
      <c r="D14" s="3" t="s">
        <v>35</v>
      </c>
      <c r="E14" s="3" t="s">
        <v>36</v>
      </c>
      <c r="F14" s="3" t="s">
        <v>116</v>
      </c>
      <c r="G14" s="3" t="s">
        <v>117</v>
      </c>
      <c r="H14" s="3" t="s">
        <v>39</v>
      </c>
      <c r="I14" s="3" t="s">
        <v>118</v>
      </c>
      <c r="J14" s="3" t="s">
        <v>41</v>
      </c>
      <c r="K14" s="3" t="s">
        <v>52</v>
      </c>
      <c r="L14" s="7">
        <v>0.63</v>
      </c>
      <c r="M14" s="8">
        <v>730</v>
      </c>
      <c r="N14" s="8">
        <v>51</v>
      </c>
      <c r="O14" s="8">
        <v>144</v>
      </c>
      <c r="P14" s="8">
        <v>11</v>
      </c>
      <c r="Q14" s="8">
        <v>102000</v>
      </c>
      <c r="R14" s="8">
        <v>2900</v>
      </c>
      <c r="S14" s="8">
        <f t="shared" si="0"/>
        <v>3836</v>
      </c>
      <c r="T14" s="9">
        <f t="shared" si="1"/>
        <v>3.7607843137254904E-2</v>
      </c>
      <c r="U14" s="3" t="str">
        <f t="shared" si="2"/>
        <v>Thursday</v>
      </c>
      <c r="V14" s="3" t="s">
        <v>119</v>
      </c>
      <c r="W14" s="3" t="s">
        <v>41</v>
      </c>
      <c r="X14" s="3" t="s">
        <v>120</v>
      </c>
    </row>
    <row r="15" spans="1:24" ht="27.6" hidden="1">
      <c r="A15" s="3" t="s">
        <v>153</v>
      </c>
      <c r="B15" s="6">
        <v>46143.378472222219</v>
      </c>
      <c r="C15" s="3" t="s">
        <v>34</v>
      </c>
      <c r="D15" s="3" t="s">
        <v>35</v>
      </c>
      <c r="E15" s="3" t="s">
        <v>36</v>
      </c>
      <c r="F15" s="3" t="s">
        <v>154</v>
      </c>
      <c r="G15" s="3" t="s">
        <v>63</v>
      </c>
      <c r="H15" s="3" t="s">
        <v>39</v>
      </c>
      <c r="I15" s="3" t="s">
        <v>155</v>
      </c>
      <c r="J15" s="3" t="s">
        <v>41</v>
      </c>
      <c r="K15" s="3" t="s">
        <v>52</v>
      </c>
      <c r="L15" s="7">
        <v>0.51</v>
      </c>
      <c r="M15" s="8">
        <v>760</v>
      </c>
      <c r="N15" s="8">
        <v>38</v>
      </c>
      <c r="O15" s="8">
        <v>160</v>
      </c>
      <c r="P15" s="8">
        <v>13</v>
      </c>
      <c r="Q15" s="8">
        <v>100400</v>
      </c>
      <c r="R15" s="8">
        <v>4800</v>
      </c>
      <c r="S15" s="8">
        <f t="shared" si="0"/>
        <v>5771</v>
      </c>
      <c r="T15" s="9">
        <f t="shared" si="1"/>
        <v>5.7480079681274901E-2</v>
      </c>
      <c r="U15" s="3" t="str">
        <f t="shared" si="2"/>
        <v>Friday</v>
      </c>
      <c r="V15" s="3" t="s">
        <v>43</v>
      </c>
      <c r="W15" s="3" t="s">
        <v>41</v>
      </c>
      <c r="X15" s="3" t="s">
        <v>95</v>
      </c>
    </row>
    <row r="16" spans="1:24" ht="27.6" hidden="1">
      <c r="A16" s="3" t="s">
        <v>192</v>
      </c>
      <c r="B16" s="6">
        <v>46156.586805555555</v>
      </c>
      <c r="C16" s="3" t="s">
        <v>34</v>
      </c>
      <c r="D16" s="3" t="s">
        <v>35</v>
      </c>
      <c r="E16" s="3" t="s">
        <v>36</v>
      </c>
      <c r="F16" s="3" t="s">
        <v>193</v>
      </c>
      <c r="G16" s="3" t="s">
        <v>194</v>
      </c>
      <c r="H16" s="3" t="s">
        <v>39</v>
      </c>
      <c r="I16" s="3" t="s">
        <v>195</v>
      </c>
      <c r="J16" s="3" t="s">
        <v>41</v>
      </c>
      <c r="K16" s="3" t="s">
        <v>52</v>
      </c>
      <c r="L16" s="7">
        <v>0.32</v>
      </c>
      <c r="M16" s="8">
        <v>310</v>
      </c>
      <c r="N16" s="8">
        <v>112</v>
      </c>
      <c r="O16" s="8">
        <v>74</v>
      </c>
      <c r="P16" s="8">
        <v>18</v>
      </c>
      <c r="Q16" s="8">
        <v>98000</v>
      </c>
      <c r="R16" s="8">
        <v>1200</v>
      </c>
      <c r="S16" s="8">
        <f t="shared" si="0"/>
        <v>1714</v>
      </c>
      <c r="T16" s="9">
        <f t="shared" si="1"/>
        <v>1.7489795918367346E-2</v>
      </c>
      <c r="U16" s="3" t="str">
        <f t="shared" si="2"/>
        <v>Thursday</v>
      </c>
      <c r="V16" s="3" t="s">
        <v>94</v>
      </c>
      <c r="W16" s="3" t="s">
        <v>41</v>
      </c>
      <c r="X16" s="3" t="s">
        <v>120</v>
      </c>
    </row>
    <row r="17" spans="1:27" ht="27.6" hidden="1">
      <c r="A17" s="3" t="s">
        <v>90</v>
      </c>
      <c r="B17" s="6">
        <v>46132.319444444445</v>
      </c>
      <c r="C17" s="3" t="s">
        <v>34</v>
      </c>
      <c r="D17" s="3" t="s">
        <v>35</v>
      </c>
      <c r="E17" s="3" t="s">
        <v>36</v>
      </c>
      <c r="F17" s="3" t="s">
        <v>91</v>
      </c>
      <c r="G17" s="3" t="s">
        <v>92</v>
      </c>
      <c r="H17" s="3" t="s">
        <v>50</v>
      </c>
      <c r="I17" s="3" t="s">
        <v>93</v>
      </c>
      <c r="J17" s="3" t="s">
        <v>41</v>
      </c>
      <c r="K17" s="3" t="s">
        <v>42</v>
      </c>
      <c r="L17" s="7">
        <v>0</v>
      </c>
      <c r="M17" s="8">
        <v>315</v>
      </c>
      <c r="N17" s="8">
        <v>88</v>
      </c>
      <c r="O17" s="8">
        <v>91</v>
      </c>
      <c r="P17" s="8">
        <v>19</v>
      </c>
      <c r="Q17" s="8">
        <v>96500</v>
      </c>
      <c r="R17" s="8">
        <v>800</v>
      </c>
      <c r="S17" s="8">
        <f t="shared" si="0"/>
        <v>1313</v>
      </c>
      <c r="T17" s="9">
        <f t="shared" si="1"/>
        <v>1.3606217616580311E-2</v>
      </c>
      <c r="U17" s="3" t="str">
        <f t="shared" si="2"/>
        <v>Monday</v>
      </c>
      <c r="V17" s="3" t="s">
        <v>94</v>
      </c>
      <c r="W17" s="3" t="s">
        <v>41</v>
      </c>
      <c r="X17" s="3" t="s">
        <v>95</v>
      </c>
    </row>
    <row r="18" spans="1:27" ht="27.6" hidden="1">
      <c r="A18" s="3" t="s">
        <v>223</v>
      </c>
      <c r="B18" s="6">
        <v>46174.354166666664</v>
      </c>
      <c r="C18" s="3" t="s">
        <v>34</v>
      </c>
      <c r="D18" s="3" t="s">
        <v>35</v>
      </c>
      <c r="E18" s="3" t="s">
        <v>36</v>
      </c>
      <c r="F18" s="3" t="s">
        <v>224</v>
      </c>
      <c r="G18" s="3" t="s">
        <v>63</v>
      </c>
      <c r="H18" s="3" t="s">
        <v>39</v>
      </c>
      <c r="I18" s="3" t="s">
        <v>64</v>
      </c>
      <c r="J18" s="3" t="s">
        <v>41</v>
      </c>
      <c r="K18" s="3" t="s">
        <v>42</v>
      </c>
      <c r="L18" s="7">
        <v>0.21</v>
      </c>
      <c r="M18" s="8">
        <v>340</v>
      </c>
      <c r="N18" s="8">
        <v>31</v>
      </c>
      <c r="O18" s="8">
        <v>76</v>
      </c>
      <c r="P18" s="8">
        <v>8</v>
      </c>
      <c r="Q18" s="8">
        <v>93000</v>
      </c>
      <c r="R18" s="8">
        <v>3600</v>
      </c>
      <c r="S18" s="8">
        <f t="shared" si="0"/>
        <v>4055</v>
      </c>
      <c r="T18" s="9">
        <f t="shared" si="1"/>
        <v>4.3602150537634408E-2</v>
      </c>
      <c r="U18" s="3" t="str">
        <f t="shared" si="2"/>
        <v>Monday</v>
      </c>
      <c r="V18" s="3" t="s">
        <v>43</v>
      </c>
      <c r="W18" s="3" t="s">
        <v>41</v>
      </c>
      <c r="X18" s="3" t="s">
        <v>95</v>
      </c>
    </row>
    <row r="19" spans="1:27" ht="27.6" hidden="1">
      <c r="A19" s="3" t="s">
        <v>182</v>
      </c>
      <c r="B19" s="6">
        <v>46151.434027777781</v>
      </c>
      <c r="C19" s="3" t="s">
        <v>34</v>
      </c>
      <c r="D19" s="3" t="s">
        <v>35</v>
      </c>
      <c r="E19" s="3" t="s">
        <v>36</v>
      </c>
      <c r="F19" s="3" t="s">
        <v>183</v>
      </c>
      <c r="G19" s="3" t="s">
        <v>63</v>
      </c>
      <c r="H19" s="3" t="s">
        <v>39</v>
      </c>
      <c r="I19" s="3" t="s">
        <v>184</v>
      </c>
      <c r="J19" s="3" t="s">
        <v>41</v>
      </c>
      <c r="K19" s="3" t="s">
        <v>42</v>
      </c>
      <c r="L19" s="7">
        <v>0.25</v>
      </c>
      <c r="M19" s="8">
        <v>390</v>
      </c>
      <c r="N19" s="8">
        <v>29</v>
      </c>
      <c r="O19" s="8">
        <v>85</v>
      </c>
      <c r="P19" s="8">
        <v>4</v>
      </c>
      <c r="Q19" s="8">
        <v>90300</v>
      </c>
      <c r="R19" s="8">
        <v>2500</v>
      </c>
      <c r="S19" s="8">
        <f t="shared" si="0"/>
        <v>3008</v>
      </c>
      <c r="T19" s="9">
        <f t="shared" si="1"/>
        <v>3.3311184939091916E-2</v>
      </c>
      <c r="U19" s="3" t="str">
        <f t="shared" si="2"/>
        <v>Saturday</v>
      </c>
      <c r="V19" s="3" t="s">
        <v>43</v>
      </c>
      <c r="W19" s="3" t="s">
        <v>41</v>
      </c>
      <c r="X19" s="3" t="s">
        <v>120</v>
      </c>
    </row>
    <row r="20" spans="1:27" ht="27.6" hidden="1">
      <c r="A20" s="3" t="s">
        <v>200</v>
      </c>
      <c r="B20" s="6">
        <v>46160.371527777781</v>
      </c>
      <c r="C20" s="3" t="s">
        <v>34</v>
      </c>
      <c r="D20" s="3" t="s">
        <v>35</v>
      </c>
      <c r="E20" s="3" t="s">
        <v>36</v>
      </c>
      <c r="F20" s="3" t="s">
        <v>201</v>
      </c>
      <c r="G20" s="3" t="s">
        <v>73</v>
      </c>
      <c r="H20" s="3" t="s">
        <v>82</v>
      </c>
      <c r="I20" s="3" t="s">
        <v>202</v>
      </c>
      <c r="J20" s="3" t="s">
        <v>41</v>
      </c>
      <c r="K20" s="3" t="s">
        <v>42</v>
      </c>
      <c r="L20" s="7">
        <v>0.18</v>
      </c>
      <c r="M20" s="8">
        <v>240</v>
      </c>
      <c r="N20" s="8">
        <v>26</v>
      </c>
      <c r="O20" s="8">
        <v>58</v>
      </c>
      <c r="P20" s="8">
        <v>6</v>
      </c>
      <c r="Q20" s="8">
        <v>88000</v>
      </c>
      <c r="R20" s="8">
        <v>2100</v>
      </c>
      <c r="S20" s="8">
        <f t="shared" si="0"/>
        <v>2430</v>
      </c>
      <c r="T20" s="9">
        <f t="shared" si="1"/>
        <v>2.7613636363636365E-2</v>
      </c>
      <c r="U20" s="3" t="str">
        <f t="shared" si="2"/>
        <v>Monday</v>
      </c>
      <c r="V20" s="3" t="s">
        <v>43</v>
      </c>
      <c r="W20" s="3" t="s">
        <v>41</v>
      </c>
      <c r="X20" s="3" t="s">
        <v>84</v>
      </c>
      <c r="AA20">
        <f>COUNTA(Social_Media_Posts!K:K)-1</f>
        <v>60</v>
      </c>
    </row>
    <row r="21" spans="1:27" ht="27.6" hidden="1">
      <c r="A21" s="3" t="s">
        <v>61</v>
      </c>
      <c r="B21" s="6">
        <v>46128.520833333336</v>
      </c>
      <c r="C21" s="3" t="s">
        <v>34</v>
      </c>
      <c r="D21" s="3" t="s">
        <v>35</v>
      </c>
      <c r="E21" s="3" t="s">
        <v>36</v>
      </c>
      <c r="F21" s="3" t="s">
        <v>62</v>
      </c>
      <c r="G21" s="3" t="s">
        <v>63</v>
      </c>
      <c r="H21" s="3" t="s">
        <v>39</v>
      </c>
      <c r="I21" s="3" t="s">
        <v>64</v>
      </c>
      <c r="J21" s="3" t="s">
        <v>41</v>
      </c>
      <c r="K21" s="3" t="s">
        <v>52</v>
      </c>
      <c r="L21" s="7">
        <v>0.57999999999999996</v>
      </c>
      <c r="M21" s="8">
        <v>620</v>
      </c>
      <c r="N21" s="8">
        <v>42</v>
      </c>
      <c r="O21" s="8">
        <v>128</v>
      </c>
      <c r="P21" s="8">
        <v>12</v>
      </c>
      <c r="Q21" s="8">
        <v>84200</v>
      </c>
      <c r="R21" s="8">
        <v>5100</v>
      </c>
      <c r="S21" s="8">
        <f t="shared" si="0"/>
        <v>5902</v>
      </c>
      <c r="T21" s="9">
        <f t="shared" si="1"/>
        <v>7.0095011876484564E-2</v>
      </c>
      <c r="U21" s="3" t="str">
        <f t="shared" si="2"/>
        <v>Thursday</v>
      </c>
      <c r="V21" s="3" t="s">
        <v>43</v>
      </c>
      <c r="W21" s="3" t="s">
        <v>41</v>
      </c>
      <c r="X21" s="3" t="s">
        <v>65</v>
      </c>
    </row>
    <row r="22" spans="1:27" ht="27.6" hidden="1">
      <c r="A22" s="3" t="s">
        <v>206</v>
      </c>
      <c r="B22" s="6">
        <v>46163.541666666664</v>
      </c>
      <c r="C22" s="3" t="s">
        <v>34</v>
      </c>
      <c r="D22" s="3" t="s">
        <v>35</v>
      </c>
      <c r="E22" s="3" t="s">
        <v>36</v>
      </c>
      <c r="F22" s="3" t="s">
        <v>207</v>
      </c>
      <c r="G22" s="3" t="s">
        <v>63</v>
      </c>
      <c r="H22" s="3" t="s">
        <v>82</v>
      </c>
      <c r="I22" s="3" t="s">
        <v>208</v>
      </c>
      <c r="J22" s="3" t="s">
        <v>41</v>
      </c>
      <c r="K22" s="3" t="s">
        <v>42</v>
      </c>
      <c r="L22" s="7">
        <v>0.2</v>
      </c>
      <c r="M22" s="8">
        <v>280</v>
      </c>
      <c r="N22" s="8">
        <v>37</v>
      </c>
      <c r="O22" s="8">
        <v>69</v>
      </c>
      <c r="P22" s="8">
        <v>9</v>
      </c>
      <c r="Q22" s="8">
        <v>79000</v>
      </c>
      <c r="R22" s="8">
        <v>3400</v>
      </c>
      <c r="S22" s="8">
        <f t="shared" si="0"/>
        <v>3795</v>
      </c>
      <c r="T22" s="9">
        <f t="shared" si="1"/>
        <v>4.8037974683544302E-2</v>
      </c>
      <c r="U22" s="3" t="str">
        <f t="shared" si="2"/>
        <v>Thursday</v>
      </c>
      <c r="V22" s="3" t="s">
        <v>43</v>
      </c>
      <c r="W22" s="3" t="s">
        <v>41</v>
      </c>
      <c r="X22" s="3" t="s">
        <v>84</v>
      </c>
    </row>
    <row r="23" spans="1:27" ht="27.6" hidden="1">
      <c r="A23" s="3" t="s">
        <v>128</v>
      </c>
      <c r="B23" s="6">
        <v>46137.673611111109</v>
      </c>
      <c r="C23" s="3" t="s">
        <v>34</v>
      </c>
      <c r="D23" s="3" t="s">
        <v>35</v>
      </c>
      <c r="E23" s="3" t="s">
        <v>36</v>
      </c>
      <c r="F23" s="3" t="s">
        <v>129</v>
      </c>
      <c r="G23" s="3" t="s">
        <v>130</v>
      </c>
      <c r="H23" s="3" t="s">
        <v>82</v>
      </c>
      <c r="I23" s="3" t="s">
        <v>131</v>
      </c>
      <c r="J23" s="3" t="s">
        <v>41</v>
      </c>
      <c r="K23" s="3" t="s">
        <v>42</v>
      </c>
      <c r="L23" s="7">
        <v>0.24</v>
      </c>
      <c r="M23" s="8">
        <v>260</v>
      </c>
      <c r="N23" s="8">
        <v>34</v>
      </c>
      <c r="O23" s="8">
        <v>49</v>
      </c>
      <c r="P23" s="8">
        <v>7</v>
      </c>
      <c r="Q23" s="8">
        <v>74400</v>
      </c>
      <c r="R23" s="8">
        <v>1650</v>
      </c>
      <c r="S23" s="8">
        <f t="shared" si="0"/>
        <v>2000</v>
      </c>
      <c r="T23" s="9">
        <f t="shared" si="1"/>
        <v>2.6881720430107527E-2</v>
      </c>
      <c r="U23" s="3" t="str">
        <f t="shared" si="2"/>
        <v>Saturday</v>
      </c>
      <c r="V23" s="3" t="s">
        <v>43</v>
      </c>
      <c r="W23" s="3" t="s">
        <v>41</v>
      </c>
      <c r="X23" s="3" t="s">
        <v>84</v>
      </c>
    </row>
    <row r="24" spans="1:27" ht="27.6" hidden="1">
      <c r="A24" s="3" t="s">
        <v>80</v>
      </c>
      <c r="B24" s="6">
        <v>46130.739583333336</v>
      </c>
      <c r="C24" s="3" t="s">
        <v>34</v>
      </c>
      <c r="D24" s="3" t="s">
        <v>35</v>
      </c>
      <c r="E24" s="3" t="s">
        <v>36</v>
      </c>
      <c r="F24" s="3" t="s">
        <v>81</v>
      </c>
      <c r="G24" s="3" t="s">
        <v>63</v>
      </c>
      <c r="H24" s="3" t="s">
        <v>82</v>
      </c>
      <c r="I24" s="3" t="s">
        <v>83</v>
      </c>
      <c r="J24" s="3" t="s">
        <v>41</v>
      </c>
      <c r="K24" s="3" t="s">
        <v>42</v>
      </c>
      <c r="L24" s="7">
        <v>0.22</v>
      </c>
      <c r="M24" s="8">
        <v>208</v>
      </c>
      <c r="N24" s="8">
        <v>19</v>
      </c>
      <c r="O24" s="8">
        <v>42</v>
      </c>
      <c r="P24" s="8">
        <v>5</v>
      </c>
      <c r="Q24" s="8">
        <v>61200</v>
      </c>
      <c r="R24" s="8">
        <v>390</v>
      </c>
      <c r="S24" s="8">
        <f t="shared" si="0"/>
        <v>664</v>
      </c>
      <c r="T24" s="9">
        <f t="shared" si="1"/>
        <v>1.0849673202614379E-2</v>
      </c>
      <c r="U24" s="3" t="str">
        <f t="shared" si="2"/>
        <v>Saturday</v>
      </c>
      <c r="V24" s="3" t="s">
        <v>43</v>
      </c>
      <c r="W24" s="3" t="s">
        <v>41</v>
      </c>
      <c r="X24" s="3" t="s">
        <v>84</v>
      </c>
    </row>
    <row r="25" spans="1:27" ht="27.6" hidden="1">
      <c r="A25" s="3" t="s">
        <v>134</v>
      </c>
      <c r="B25" s="6">
        <v>46138.375</v>
      </c>
      <c r="C25" s="3" t="s">
        <v>34</v>
      </c>
      <c r="D25" s="3" t="s">
        <v>35</v>
      </c>
      <c r="E25" s="3" t="s">
        <v>36</v>
      </c>
      <c r="F25" s="3" t="s">
        <v>135</v>
      </c>
      <c r="G25" s="3" t="s">
        <v>88</v>
      </c>
      <c r="H25" s="3" t="s">
        <v>82</v>
      </c>
      <c r="I25" s="3" t="s">
        <v>136</v>
      </c>
      <c r="J25" s="3" t="s">
        <v>41</v>
      </c>
      <c r="K25" s="3" t="s">
        <v>52</v>
      </c>
      <c r="L25" s="7">
        <v>0.48</v>
      </c>
      <c r="M25" s="8">
        <v>188</v>
      </c>
      <c r="N25" s="8">
        <v>17</v>
      </c>
      <c r="O25" s="8">
        <v>66</v>
      </c>
      <c r="P25" s="8">
        <v>3</v>
      </c>
      <c r="Q25" s="8">
        <v>54300</v>
      </c>
      <c r="R25" s="8">
        <v>2300</v>
      </c>
      <c r="S25" s="8">
        <f t="shared" si="0"/>
        <v>2574</v>
      </c>
      <c r="T25" s="9">
        <f t="shared" si="1"/>
        <v>4.7403314917127071E-2</v>
      </c>
      <c r="U25" s="3" t="str">
        <f t="shared" si="2"/>
        <v>Sunday</v>
      </c>
      <c r="V25" s="3" t="s">
        <v>119</v>
      </c>
      <c r="W25" s="3" t="s">
        <v>41</v>
      </c>
      <c r="X25" s="3" t="s">
        <v>84</v>
      </c>
    </row>
    <row r="26" spans="1:27" ht="27.6">
      <c r="A26" s="3" t="s">
        <v>168</v>
      </c>
      <c r="B26" s="6">
        <v>46147.501388888886</v>
      </c>
      <c r="C26" s="3" t="s">
        <v>109</v>
      </c>
      <c r="D26" s="3" t="s">
        <v>169</v>
      </c>
      <c r="E26" s="3" t="s">
        <v>36</v>
      </c>
      <c r="F26" s="3" t="s">
        <v>170</v>
      </c>
      <c r="G26" s="3" t="s">
        <v>38</v>
      </c>
      <c r="H26" s="3" t="s">
        <v>50</v>
      </c>
      <c r="I26" s="3" t="s">
        <v>113</v>
      </c>
      <c r="J26" s="3" t="s">
        <v>51</v>
      </c>
      <c r="K26" s="3" t="s">
        <v>52</v>
      </c>
      <c r="L26" s="7">
        <v>0.45</v>
      </c>
      <c r="M26" s="8">
        <v>230</v>
      </c>
      <c r="N26" s="8">
        <v>18</v>
      </c>
      <c r="O26" s="8">
        <v>71</v>
      </c>
      <c r="P26" s="8">
        <v>9</v>
      </c>
      <c r="Q26" s="8">
        <v>31000</v>
      </c>
      <c r="R26" s="8">
        <v>0</v>
      </c>
      <c r="S26" s="8">
        <f t="shared" si="0"/>
        <v>328</v>
      </c>
      <c r="T26" s="9">
        <f t="shared" si="1"/>
        <v>1.0580645161290323E-2</v>
      </c>
      <c r="U26" s="3" t="str">
        <f t="shared" si="2"/>
        <v>Tuesday</v>
      </c>
      <c r="V26" s="3" t="s">
        <v>94</v>
      </c>
      <c r="W26" s="3" t="s">
        <v>41</v>
      </c>
      <c r="X26" s="3" t="s">
        <v>70</v>
      </c>
    </row>
    <row r="27" spans="1:27" ht="27.6" hidden="1">
      <c r="A27" s="3" t="s">
        <v>179</v>
      </c>
      <c r="B27" s="6">
        <v>46149.334722222222</v>
      </c>
      <c r="C27" s="3" t="s">
        <v>46</v>
      </c>
      <c r="D27" s="3" t="s">
        <v>35</v>
      </c>
      <c r="E27" s="3" t="s">
        <v>36</v>
      </c>
      <c r="F27" s="3" t="s">
        <v>180</v>
      </c>
      <c r="G27" s="3" t="s">
        <v>92</v>
      </c>
      <c r="H27" s="3" t="s">
        <v>50</v>
      </c>
      <c r="I27" s="3" t="s">
        <v>93</v>
      </c>
      <c r="J27" s="3" t="s">
        <v>51</v>
      </c>
      <c r="K27" s="3" t="s">
        <v>42</v>
      </c>
      <c r="L27" s="7">
        <v>0</v>
      </c>
      <c r="M27" s="8">
        <v>141</v>
      </c>
      <c r="N27" s="8">
        <v>47</v>
      </c>
      <c r="O27" s="8">
        <v>39</v>
      </c>
      <c r="P27" s="8">
        <v>12</v>
      </c>
      <c r="Q27" s="8">
        <v>21900</v>
      </c>
      <c r="R27" s="8">
        <v>0</v>
      </c>
      <c r="S27" s="8">
        <f t="shared" si="0"/>
        <v>239</v>
      </c>
      <c r="T27" s="9">
        <f t="shared" si="1"/>
        <v>1.0913242009132421E-2</v>
      </c>
      <c r="U27" s="3" t="str">
        <f t="shared" si="2"/>
        <v>Thursday</v>
      </c>
      <c r="V27" s="3" t="s">
        <v>78</v>
      </c>
      <c r="W27" s="3" t="s">
        <v>41</v>
      </c>
      <c r="X27" s="3" t="s">
        <v>181</v>
      </c>
    </row>
    <row r="28" spans="1:27" ht="27.6" hidden="1">
      <c r="A28" s="3" t="s">
        <v>156</v>
      </c>
      <c r="B28" s="6">
        <v>46144.425000000003</v>
      </c>
      <c r="C28" s="3" t="s">
        <v>56</v>
      </c>
      <c r="D28" s="3" t="s">
        <v>47</v>
      </c>
      <c r="E28" s="3" t="s">
        <v>67</v>
      </c>
      <c r="F28" s="3" t="s">
        <v>157</v>
      </c>
      <c r="G28" s="3" t="s">
        <v>73</v>
      </c>
      <c r="H28" s="3" t="s">
        <v>50</v>
      </c>
      <c r="I28" s="3"/>
      <c r="J28" s="3" t="s">
        <v>51</v>
      </c>
      <c r="K28" s="3" t="s">
        <v>140</v>
      </c>
      <c r="L28" s="7">
        <v>-0.05</v>
      </c>
      <c r="M28" s="8">
        <v>105</v>
      </c>
      <c r="N28" s="8">
        <v>11</v>
      </c>
      <c r="O28" s="8">
        <v>14</v>
      </c>
      <c r="P28" s="8">
        <v>2</v>
      </c>
      <c r="Q28" s="8">
        <v>9800</v>
      </c>
      <c r="R28" s="8">
        <v>0</v>
      </c>
      <c r="S28" s="8">
        <f t="shared" si="0"/>
        <v>132</v>
      </c>
      <c r="T28" s="9">
        <f t="shared" si="1"/>
        <v>1.3469387755102041E-2</v>
      </c>
      <c r="U28" s="3" t="str">
        <f t="shared" si="2"/>
        <v>Saturday</v>
      </c>
      <c r="V28" s="3" t="s">
        <v>69</v>
      </c>
      <c r="W28" s="3" t="s">
        <v>41</v>
      </c>
      <c r="X28" s="3" t="s">
        <v>127</v>
      </c>
    </row>
    <row r="29" spans="1:27" hidden="1">
      <c r="A29" s="3" t="s">
        <v>176</v>
      </c>
      <c r="B29" s="6">
        <v>46149.3125</v>
      </c>
      <c r="C29" s="3" t="s">
        <v>56</v>
      </c>
      <c r="D29" s="3" t="s">
        <v>47</v>
      </c>
      <c r="E29" s="3" t="s">
        <v>48</v>
      </c>
      <c r="F29" s="3" t="s">
        <v>177</v>
      </c>
      <c r="G29" s="3" t="s">
        <v>92</v>
      </c>
      <c r="H29" s="3" t="s">
        <v>50</v>
      </c>
      <c r="I29" s="3" t="s">
        <v>178</v>
      </c>
      <c r="J29" s="3" t="s">
        <v>51</v>
      </c>
      <c r="K29" s="3" t="s">
        <v>58</v>
      </c>
      <c r="L29" s="7">
        <v>-0.74</v>
      </c>
      <c r="M29" s="8">
        <v>52</v>
      </c>
      <c r="N29" s="8">
        <v>21</v>
      </c>
      <c r="O29" s="8">
        <v>8</v>
      </c>
      <c r="P29" s="8">
        <v>3</v>
      </c>
      <c r="Q29" s="8">
        <v>7700</v>
      </c>
      <c r="R29" s="8">
        <v>0</v>
      </c>
      <c r="S29" s="8">
        <f t="shared" si="0"/>
        <v>84</v>
      </c>
      <c r="T29" s="9">
        <f t="shared" si="1"/>
        <v>1.090909090909091E-2</v>
      </c>
      <c r="U29" s="3" t="str">
        <f t="shared" si="2"/>
        <v>Thursday</v>
      </c>
      <c r="V29" s="3" t="s">
        <v>101</v>
      </c>
      <c r="W29" s="3" t="s">
        <v>51</v>
      </c>
      <c r="X29" s="3" t="s">
        <v>141</v>
      </c>
    </row>
    <row r="30" spans="1:27" ht="27.6">
      <c r="A30" s="3" t="s">
        <v>220</v>
      </c>
      <c r="B30" s="6">
        <v>46170.552083333336</v>
      </c>
      <c r="C30" s="3" t="s">
        <v>56</v>
      </c>
      <c r="D30" s="3" t="s">
        <v>47</v>
      </c>
      <c r="E30" s="3" t="s">
        <v>67</v>
      </c>
      <c r="F30" s="3" t="s">
        <v>221</v>
      </c>
      <c r="G30" s="3" t="s">
        <v>38</v>
      </c>
      <c r="H30" s="3" t="s">
        <v>50</v>
      </c>
      <c r="I30" s="3"/>
      <c r="J30" s="3" t="s">
        <v>51</v>
      </c>
      <c r="K30" s="3" t="s">
        <v>52</v>
      </c>
      <c r="L30" s="7">
        <v>0.76</v>
      </c>
      <c r="M30" s="8">
        <v>112</v>
      </c>
      <c r="N30" s="8">
        <v>6</v>
      </c>
      <c r="O30" s="8">
        <v>18</v>
      </c>
      <c r="P30" s="8">
        <v>1</v>
      </c>
      <c r="Q30" s="8">
        <v>7600</v>
      </c>
      <c r="R30" s="8">
        <v>0</v>
      </c>
      <c r="S30" s="8">
        <f t="shared" si="0"/>
        <v>137</v>
      </c>
      <c r="T30" s="9">
        <f t="shared" si="1"/>
        <v>1.8026315789473685E-2</v>
      </c>
      <c r="U30" s="3" t="str">
        <f t="shared" si="2"/>
        <v>Thursday</v>
      </c>
      <c r="V30" s="3" t="s">
        <v>53</v>
      </c>
      <c r="W30" s="3" t="s">
        <v>41</v>
      </c>
      <c r="X30" s="3" t="s">
        <v>222</v>
      </c>
    </row>
    <row r="31" spans="1:27" ht="27.6" hidden="1">
      <c r="A31" s="3" t="s">
        <v>230</v>
      </c>
      <c r="B31" s="6">
        <v>46179.649305555555</v>
      </c>
      <c r="C31" s="3" t="s">
        <v>109</v>
      </c>
      <c r="D31" s="3" t="s">
        <v>122</v>
      </c>
      <c r="E31" s="3" t="s">
        <v>67</v>
      </c>
      <c r="F31" s="3" t="s">
        <v>231</v>
      </c>
      <c r="G31" s="3" t="s">
        <v>117</v>
      </c>
      <c r="H31" s="3" t="s">
        <v>39</v>
      </c>
      <c r="I31" s="3" t="s">
        <v>232</v>
      </c>
      <c r="J31" s="3" t="s">
        <v>51</v>
      </c>
      <c r="K31" s="3" t="s">
        <v>52</v>
      </c>
      <c r="L31" s="7">
        <v>0.88</v>
      </c>
      <c r="M31" s="8">
        <v>122</v>
      </c>
      <c r="N31" s="8">
        <v>4</v>
      </c>
      <c r="O31" s="8">
        <v>28</v>
      </c>
      <c r="P31" s="8">
        <v>2</v>
      </c>
      <c r="Q31" s="8">
        <v>6900</v>
      </c>
      <c r="R31" s="8">
        <v>0</v>
      </c>
      <c r="S31" s="8">
        <f t="shared" si="0"/>
        <v>156</v>
      </c>
      <c r="T31" s="9">
        <f t="shared" si="1"/>
        <v>2.2608695652173914E-2</v>
      </c>
      <c r="U31" s="3" t="str">
        <f t="shared" si="2"/>
        <v>Saturday</v>
      </c>
      <c r="V31" s="3" t="s">
        <v>53</v>
      </c>
      <c r="W31" s="3" t="s">
        <v>41</v>
      </c>
      <c r="X31" s="3" t="s">
        <v>114</v>
      </c>
    </row>
    <row r="32" spans="1:27" ht="27.6">
      <c r="A32" s="3" t="s">
        <v>108</v>
      </c>
      <c r="B32" s="6">
        <v>46134.432638888888</v>
      </c>
      <c r="C32" s="3" t="s">
        <v>109</v>
      </c>
      <c r="D32" s="3" t="s">
        <v>110</v>
      </c>
      <c r="E32" s="3" t="s">
        <v>111</v>
      </c>
      <c r="F32" s="3" t="s">
        <v>112</v>
      </c>
      <c r="G32" s="3" t="s">
        <v>104</v>
      </c>
      <c r="H32" s="3" t="s">
        <v>50</v>
      </c>
      <c r="I32" s="3" t="s">
        <v>113</v>
      </c>
      <c r="J32" s="3" t="s">
        <v>51</v>
      </c>
      <c r="K32" s="3" t="s">
        <v>52</v>
      </c>
      <c r="L32" s="7">
        <v>0.67</v>
      </c>
      <c r="M32" s="8">
        <v>96</v>
      </c>
      <c r="N32" s="8">
        <v>6</v>
      </c>
      <c r="O32" s="8">
        <v>31</v>
      </c>
      <c r="P32" s="8">
        <v>4</v>
      </c>
      <c r="Q32" s="8">
        <v>6700</v>
      </c>
      <c r="R32" s="8">
        <v>0</v>
      </c>
      <c r="S32" s="8">
        <f t="shared" si="0"/>
        <v>137</v>
      </c>
      <c r="T32" s="9">
        <f t="shared" si="1"/>
        <v>2.044776119402985E-2</v>
      </c>
      <c r="U32" s="3" t="str">
        <f t="shared" si="2"/>
        <v>Wednesday</v>
      </c>
      <c r="V32" s="3" t="s">
        <v>43</v>
      </c>
      <c r="W32" s="3" t="s">
        <v>41</v>
      </c>
      <c r="X32" s="3" t="s">
        <v>114</v>
      </c>
    </row>
    <row r="33" spans="1:24" ht="27.6" hidden="1">
      <c r="A33" s="3" t="s">
        <v>190</v>
      </c>
      <c r="B33" s="6">
        <v>46154.409722222219</v>
      </c>
      <c r="C33" s="3" t="s">
        <v>46</v>
      </c>
      <c r="D33" s="3" t="s">
        <v>47</v>
      </c>
      <c r="E33" s="3" t="s">
        <v>67</v>
      </c>
      <c r="F33" s="3" t="s">
        <v>191</v>
      </c>
      <c r="G33" s="3" t="s">
        <v>130</v>
      </c>
      <c r="H33" s="3" t="s">
        <v>50</v>
      </c>
      <c r="I33" s="3"/>
      <c r="J33" s="3" t="s">
        <v>51</v>
      </c>
      <c r="K33" s="3" t="s">
        <v>52</v>
      </c>
      <c r="L33" s="7">
        <v>0.83</v>
      </c>
      <c r="M33" s="8">
        <v>89</v>
      </c>
      <c r="N33" s="8">
        <v>5</v>
      </c>
      <c r="O33" s="8">
        <v>9</v>
      </c>
      <c r="P33" s="8">
        <v>0</v>
      </c>
      <c r="Q33" s="8">
        <v>6000</v>
      </c>
      <c r="R33" s="8">
        <v>0</v>
      </c>
      <c r="S33" s="8">
        <f t="shared" si="0"/>
        <v>103</v>
      </c>
      <c r="T33" s="9">
        <f t="shared" si="1"/>
        <v>1.7166666666666667E-2</v>
      </c>
      <c r="U33" s="3" t="str">
        <f t="shared" si="2"/>
        <v>Tuesday</v>
      </c>
      <c r="V33" s="3" t="s">
        <v>53</v>
      </c>
      <c r="W33" s="3" t="s">
        <v>41</v>
      </c>
      <c r="X33" s="3" t="s">
        <v>98</v>
      </c>
    </row>
    <row r="34" spans="1:24" ht="27.6" hidden="1">
      <c r="A34" s="3" t="s">
        <v>225</v>
      </c>
      <c r="B34" s="6">
        <v>46175.763888888891</v>
      </c>
      <c r="C34" s="3" t="s">
        <v>56</v>
      </c>
      <c r="D34" s="3" t="s">
        <v>47</v>
      </c>
      <c r="E34" s="3" t="s">
        <v>48</v>
      </c>
      <c r="F34" s="3" t="s">
        <v>226</v>
      </c>
      <c r="G34" s="3" t="s">
        <v>73</v>
      </c>
      <c r="H34" s="3" t="s">
        <v>50</v>
      </c>
      <c r="I34" s="3"/>
      <c r="J34" s="3" t="s">
        <v>51</v>
      </c>
      <c r="K34" s="3" t="s">
        <v>140</v>
      </c>
      <c r="L34" s="7">
        <v>0.15</v>
      </c>
      <c r="M34" s="8">
        <v>84</v>
      </c>
      <c r="N34" s="8">
        <v>10</v>
      </c>
      <c r="O34" s="8">
        <v>11</v>
      </c>
      <c r="P34" s="8">
        <v>1</v>
      </c>
      <c r="Q34" s="8">
        <v>5900</v>
      </c>
      <c r="R34" s="8">
        <v>0</v>
      </c>
      <c r="S34" s="8">
        <f t="shared" ref="S34:S61" si="3">SUM(M34:P34)+R34</f>
        <v>106</v>
      </c>
      <c r="T34" s="9">
        <f t="shared" ref="T34:T61" si="4">IFERROR(S34/Q34,0)</f>
        <v>1.7966101694915255E-2</v>
      </c>
      <c r="U34" s="3" t="str">
        <f t="shared" ref="U34:U61" si="5">TEXT(B34,"dddd")</f>
        <v>Tuesday</v>
      </c>
      <c r="V34" s="3" t="s">
        <v>69</v>
      </c>
      <c r="W34" s="3" t="s">
        <v>41</v>
      </c>
      <c r="X34" s="3" t="s">
        <v>127</v>
      </c>
    </row>
    <row r="35" spans="1:24" ht="27.6">
      <c r="A35" s="3" t="s">
        <v>214</v>
      </c>
      <c r="B35" s="6">
        <v>46166.711805555555</v>
      </c>
      <c r="C35" s="3" t="s">
        <v>56</v>
      </c>
      <c r="D35" s="3" t="s">
        <v>47</v>
      </c>
      <c r="E35" s="3" t="s">
        <v>48</v>
      </c>
      <c r="F35" s="3" t="s">
        <v>215</v>
      </c>
      <c r="G35" s="3" t="s">
        <v>38</v>
      </c>
      <c r="H35" s="3" t="s">
        <v>50</v>
      </c>
      <c r="I35" s="3"/>
      <c r="J35" s="3" t="s">
        <v>51</v>
      </c>
      <c r="K35" s="3" t="s">
        <v>52</v>
      </c>
      <c r="L35" s="7">
        <v>0.66</v>
      </c>
      <c r="M35" s="8">
        <v>76</v>
      </c>
      <c r="N35" s="8">
        <v>4</v>
      </c>
      <c r="O35" s="8">
        <v>13</v>
      </c>
      <c r="P35" s="8">
        <v>0</v>
      </c>
      <c r="Q35" s="8">
        <v>5200</v>
      </c>
      <c r="R35" s="8">
        <v>0</v>
      </c>
      <c r="S35" s="8">
        <f t="shared" si="3"/>
        <v>93</v>
      </c>
      <c r="T35" s="9">
        <f t="shared" si="4"/>
        <v>1.7884615384615384E-2</v>
      </c>
      <c r="U35" s="3" t="str">
        <f t="shared" si="5"/>
        <v>Sunday</v>
      </c>
      <c r="V35" s="3" t="s">
        <v>53</v>
      </c>
      <c r="W35" s="3" t="s">
        <v>41</v>
      </c>
      <c r="X35" s="3" t="s">
        <v>127</v>
      </c>
    </row>
    <row r="36" spans="1:24" ht="27.6" hidden="1">
      <c r="A36" s="3" t="s">
        <v>99</v>
      </c>
      <c r="B36" s="6">
        <v>46133.753472222219</v>
      </c>
      <c r="C36" s="3" t="s">
        <v>56</v>
      </c>
      <c r="D36" s="3" t="s">
        <v>47</v>
      </c>
      <c r="E36" s="3" t="s">
        <v>48</v>
      </c>
      <c r="F36" s="3" t="s">
        <v>100</v>
      </c>
      <c r="G36" s="3" t="s">
        <v>92</v>
      </c>
      <c r="H36" s="3" t="s">
        <v>50</v>
      </c>
      <c r="I36" s="3"/>
      <c r="J36" s="3" t="s">
        <v>51</v>
      </c>
      <c r="K36" s="3" t="s">
        <v>58</v>
      </c>
      <c r="L36" s="7">
        <v>-0.76</v>
      </c>
      <c r="M36" s="8">
        <v>33</v>
      </c>
      <c r="N36" s="8">
        <v>22</v>
      </c>
      <c r="O36" s="8">
        <v>4</v>
      </c>
      <c r="P36" s="8">
        <v>2</v>
      </c>
      <c r="Q36" s="8">
        <v>5200</v>
      </c>
      <c r="R36" s="8">
        <v>0</v>
      </c>
      <c r="S36" s="8">
        <f t="shared" si="3"/>
        <v>61</v>
      </c>
      <c r="T36" s="9">
        <f t="shared" si="4"/>
        <v>1.173076923076923E-2</v>
      </c>
      <c r="U36" s="3" t="str">
        <f t="shared" si="5"/>
        <v>Tuesday</v>
      </c>
      <c r="V36" s="3" t="s">
        <v>101</v>
      </c>
      <c r="W36" s="3" t="s">
        <v>51</v>
      </c>
      <c r="X36" s="3" t="s">
        <v>75</v>
      </c>
    </row>
    <row r="37" spans="1:24" hidden="1">
      <c r="A37" s="3" t="s">
        <v>203</v>
      </c>
      <c r="B37" s="6">
        <v>46161.798611111109</v>
      </c>
      <c r="C37" s="3" t="s">
        <v>56</v>
      </c>
      <c r="D37" s="3" t="s">
        <v>47</v>
      </c>
      <c r="E37" s="3" t="s">
        <v>48</v>
      </c>
      <c r="F37" s="3" t="s">
        <v>204</v>
      </c>
      <c r="G37" s="3" t="s">
        <v>73</v>
      </c>
      <c r="H37" s="3" t="s">
        <v>50</v>
      </c>
      <c r="I37" s="3" t="s">
        <v>205</v>
      </c>
      <c r="J37" s="3" t="s">
        <v>51</v>
      </c>
      <c r="K37" s="3" t="s">
        <v>58</v>
      </c>
      <c r="L37" s="7">
        <v>-0.56999999999999995</v>
      </c>
      <c r="M37" s="8">
        <v>36</v>
      </c>
      <c r="N37" s="8">
        <v>13</v>
      </c>
      <c r="O37" s="8">
        <v>5</v>
      </c>
      <c r="P37" s="8">
        <v>1</v>
      </c>
      <c r="Q37" s="8">
        <v>4600</v>
      </c>
      <c r="R37" s="8">
        <v>0</v>
      </c>
      <c r="S37" s="8">
        <f t="shared" si="3"/>
        <v>55</v>
      </c>
      <c r="T37" s="9">
        <f t="shared" si="4"/>
        <v>1.1956521739130435E-2</v>
      </c>
      <c r="U37" s="3" t="str">
        <f t="shared" si="5"/>
        <v>Tuesday</v>
      </c>
      <c r="V37" s="3" t="s">
        <v>101</v>
      </c>
      <c r="W37" s="3" t="s">
        <v>51</v>
      </c>
      <c r="X37" s="3" t="s">
        <v>141</v>
      </c>
    </row>
    <row r="38" spans="1:24" ht="27.6" hidden="1">
      <c r="A38" s="3" t="s">
        <v>71</v>
      </c>
      <c r="B38" s="6">
        <v>46129.368055555555</v>
      </c>
      <c r="C38" s="3" t="s">
        <v>56</v>
      </c>
      <c r="D38" s="3" t="s">
        <v>47</v>
      </c>
      <c r="E38" s="3" t="s">
        <v>48</v>
      </c>
      <c r="F38" s="3" t="s">
        <v>72</v>
      </c>
      <c r="G38" s="3" t="s">
        <v>73</v>
      </c>
      <c r="H38" s="3" t="s">
        <v>50</v>
      </c>
      <c r="I38" s="3"/>
      <c r="J38" s="3" t="s">
        <v>51</v>
      </c>
      <c r="K38" s="3" t="s">
        <v>58</v>
      </c>
      <c r="L38" s="7">
        <v>-0.82</v>
      </c>
      <c r="M38" s="8">
        <v>41</v>
      </c>
      <c r="N38" s="8">
        <v>18</v>
      </c>
      <c r="O38" s="8">
        <v>7</v>
      </c>
      <c r="P38" s="8">
        <v>1</v>
      </c>
      <c r="Q38" s="8">
        <v>4500</v>
      </c>
      <c r="R38" s="8">
        <v>0</v>
      </c>
      <c r="S38" s="8">
        <f t="shared" si="3"/>
        <v>67</v>
      </c>
      <c r="T38" s="9">
        <f t="shared" si="4"/>
        <v>1.4888888888888889E-2</v>
      </c>
      <c r="U38" s="3" t="str">
        <f t="shared" si="5"/>
        <v>Friday</v>
      </c>
      <c r="V38" s="3" t="s">
        <v>74</v>
      </c>
      <c r="W38" s="3" t="s">
        <v>51</v>
      </c>
      <c r="X38" s="3" t="s">
        <v>75</v>
      </c>
    </row>
    <row r="39" spans="1:24" ht="27.6" hidden="1">
      <c r="A39" s="3" t="s">
        <v>163</v>
      </c>
      <c r="B39" s="6">
        <v>46146.364583333336</v>
      </c>
      <c r="C39" s="3" t="s">
        <v>56</v>
      </c>
      <c r="D39" s="3" t="s">
        <v>47</v>
      </c>
      <c r="E39" s="3" t="s">
        <v>48</v>
      </c>
      <c r="F39" s="3" t="s">
        <v>164</v>
      </c>
      <c r="G39" s="3" t="s">
        <v>73</v>
      </c>
      <c r="H39" s="3" t="s">
        <v>50</v>
      </c>
      <c r="I39" s="3"/>
      <c r="J39" s="3" t="s">
        <v>51</v>
      </c>
      <c r="K39" s="3" t="s">
        <v>58</v>
      </c>
      <c r="L39" s="7">
        <v>-0.69</v>
      </c>
      <c r="M39" s="8">
        <v>39</v>
      </c>
      <c r="N39" s="8">
        <v>15</v>
      </c>
      <c r="O39" s="8">
        <v>4</v>
      </c>
      <c r="P39" s="8">
        <v>1</v>
      </c>
      <c r="Q39" s="8">
        <v>4300</v>
      </c>
      <c r="R39" s="8">
        <v>0</v>
      </c>
      <c r="S39" s="8">
        <f t="shared" si="3"/>
        <v>59</v>
      </c>
      <c r="T39" s="9">
        <f t="shared" si="4"/>
        <v>1.372093023255814E-2</v>
      </c>
      <c r="U39" s="3" t="str">
        <f t="shared" si="5"/>
        <v>Monday</v>
      </c>
      <c r="V39" s="3" t="s">
        <v>74</v>
      </c>
      <c r="W39" s="3" t="s">
        <v>51</v>
      </c>
      <c r="X39" s="3" t="s">
        <v>127</v>
      </c>
    </row>
    <row r="40" spans="1:24" ht="27.6" hidden="1">
      <c r="A40" s="3" t="s">
        <v>121</v>
      </c>
      <c r="B40" s="6">
        <v>46135.629861111112</v>
      </c>
      <c r="C40" s="3" t="s">
        <v>46</v>
      </c>
      <c r="D40" s="3" t="s">
        <v>122</v>
      </c>
      <c r="E40" s="3" t="s">
        <v>67</v>
      </c>
      <c r="F40" s="3" t="s">
        <v>123</v>
      </c>
      <c r="G40" s="3" t="s">
        <v>117</v>
      </c>
      <c r="H40" s="3" t="s">
        <v>50</v>
      </c>
      <c r="I40" s="3"/>
      <c r="J40" s="3" t="s">
        <v>51</v>
      </c>
      <c r="K40" s="3" t="s">
        <v>52</v>
      </c>
      <c r="L40" s="7">
        <v>0.86</v>
      </c>
      <c r="M40" s="8">
        <v>64</v>
      </c>
      <c r="N40" s="8">
        <v>3</v>
      </c>
      <c r="O40" s="8">
        <v>13</v>
      </c>
      <c r="P40" s="8">
        <v>1</v>
      </c>
      <c r="Q40" s="8">
        <v>4200</v>
      </c>
      <c r="R40" s="8">
        <v>0</v>
      </c>
      <c r="S40" s="8">
        <f t="shared" si="3"/>
        <v>81</v>
      </c>
      <c r="T40" s="9">
        <f t="shared" si="4"/>
        <v>1.9285714285714285E-2</v>
      </c>
      <c r="U40" s="3" t="str">
        <f t="shared" si="5"/>
        <v>Thursday</v>
      </c>
      <c r="V40" s="3" t="s">
        <v>53</v>
      </c>
      <c r="W40" s="3" t="s">
        <v>41</v>
      </c>
      <c r="X40" s="3" t="s">
        <v>89</v>
      </c>
    </row>
    <row r="41" spans="1:24" ht="27.6">
      <c r="A41" s="3" t="s">
        <v>236</v>
      </c>
      <c r="B41" s="6">
        <v>46183.841666666667</v>
      </c>
      <c r="C41" s="3" t="s">
        <v>56</v>
      </c>
      <c r="D41" s="3" t="s">
        <v>47</v>
      </c>
      <c r="E41" s="3" t="s">
        <v>48</v>
      </c>
      <c r="F41" s="3" t="s">
        <v>237</v>
      </c>
      <c r="G41" s="3" t="s">
        <v>38</v>
      </c>
      <c r="H41" s="3" t="s">
        <v>50</v>
      </c>
      <c r="I41" s="3"/>
      <c r="J41" s="3" t="s">
        <v>51</v>
      </c>
      <c r="K41" s="3" t="s">
        <v>58</v>
      </c>
      <c r="L41" s="7">
        <v>-0.64</v>
      </c>
      <c r="M41" s="8">
        <v>45</v>
      </c>
      <c r="N41" s="8">
        <v>12</v>
      </c>
      <c r="O41" s="8">
        <v>4</v>
      </c>
      <c r="P41" s="8">
        <v>1</v>
      </c>
      <c r="Q41" s="8">
        <v>4100</v>
      </c>
      <c r="R41" s="8">
        <v>0</v>
      </c>
      <c r="S41" s="8">
        <f t="shared" si="3"/>
        <v>62</v>
      </c>
      <c r="T41" s="9">
        <f t="shared" si="4"/>
        <v>1.5121951219512195E-2</v>
      </c>
      <c r="U41" s="3" t="str">
        <f t="shared" si="5"/>
        <v>Wednesday</v>
      </c>
      <c r="V41" s="3" t="s">
        <v>74</v>
      </c>
      <c r="W41" s="3" t="s">
        <v>51</v>
      </c>
      <c r="X41" s="3" t="s">
        <v>127</v>
      </c>
    </row>
    <row r="42" spans="1:24" ht="27.6" hidden="1">
      <c r="A42" s="3" t="s">
        <v>218</v>
      </c>
      <c r="B42" s="6">
        <v>46169.420138888891</v>
      </c>
      <c r="C42" s="3" t="s">
        <v>46</v>
      </c>
      <c r="D42" s="3" t="s">
        <v>47</v>
      </c>
      <c r="E42" s="3" t="s">
        <v>48</v>
      </c>
      <c r="F42" s="3" t="s">
        <v>219</v>
      </c>
      <c r="G42" s="3" t="s">
        <v>73</v>
      </c>
      <c r="H42" s="3" t="s">
        <v>50</v>
      </c>
      <c r="I42" s="3"/>
      <c r="J42" s="3" t="s">
        <v>51</v>
      </c>
      <c r="K42" s="3" t="s">
        <v>58</v>
      </c>
      <c r="L42" s="7">
        <v>-0.49</v>
      </c>
      <c r="M42" s="8">
        <v>67</v>
      </c>
      <c r="N42" s="8">
        <v>12</v>
      </c>
      <c r="O42" s="8">
        <v>5</v>
      </c>
      <c r="P42" s="8">
        <v>2</v>
      </c>
      <c r="Q42" s="8">
        <v>3900</v>
      </c>
      <c r="R42" s="8">
        <v>0</v>
      </c>
      <c r="S42" s="8">
        <f t="shared" si="3"/>
        <v>86</v>
      </c>
      <c r="T42" s="9">
        <f t="shared" si="4"/>
        <v>2.205128205128205E-2</v>
      </c>
      <c r="U42" s="3" t="str">
        <f t="shared" si="5"/>
        <v>Wednesday</v>
      </c>
      <c r="V42" s="3" t="s">
        <v>69</v>
      </c>
      <c r="W42" s="3" t="s">
        <v>41</v>
      </c>
      <c r="X42" s="3" t="s">
        <v>98</v>
      </c>
    </row>
    <row r="43" spans="1:24" ht="27.6" hidden="1">
      <c r="A43" s="3" t="s">
        <v>85</v>
      </c>
      <c r="B43" s="6">
        <v>46131.472222222219</v>
      </c>
      <c r="C43" s="3" t="s">
        <v>56</v>
      </c>
      <c r="D43" s="3" t="s">
        <v>86</v>
      </c>
      <c r="E43" s="3" t="s">
        <v>67</v>
      </c>
      <c r="F43" s="3" t="s">
        <v>87</v>
      </c>
      <c r="G43" s="3" t="s">
        <v>88</v>
      </c>
      <c r="H43" s="3" t="s">
        <v>50</v>
      </c>
      <c r="I43" s="3"/>
      <c r="J43" s="3" t="s">
        <v>51</v>
      </c>
      <c r="K43" s="3" t="s">
        <v>52</v>
      </c>
      <c r="L43" s="7">
        <v>0.74</v>
      </c>
      <c r="M43" s="8">
        <v>53</v>
      </c>
      <c r="N43" s="8">
        <v>4</v>
      </c>
      <c r="O43" s="8">
        <v>8</v>
      </c>
      <c r="P43" s="8">
        <v>1</v>
      </c>
      <c r="Q43" s="8">
        <v>3900</v>
      </c>
      <c r="R43" s="8">
        <v>0</v>
      </c>
      <c r="S43" s="8">
        <f t="shared" si="3"/>
        <v>66</v>
      </c>
      <c r="T43" s="9">
        <f t="shared" si="4"/>
        <v>1.6923076923076923E-2</v>
      </c>
      <c r="U43" s="3" t="str">
        <f t="shared" si="5"/>
        <v>Sunday</v>
      </c>
      <c r="V43" s="3" t="s">
        <v>53</v>
      </c>
      <c r="W43" s="3" t="s">
        <v>41</v>
      </c>
      <c r="X43" s="3" t="s">
        <v>89</v>
      </c>
    </row>
    <row r="44" spans="1:24" hidden="1">
      <c r="A44" s="3" t="s">
        <v>196</v>
      </c>
      <c r="B44" s="6">
        <v>46156.626388888886</v>
      </c>
      <c r="C44" s="3" t="s">
        <v>46</v>
      </c>
      <c r="D44" s="3" t="s">
        <v>47</v>
      </c>
      <c r="E44" s="3" t="s">
        <v>48</v>
      </c>
      <c r="F44" s="3" t="s">
        <v>197</v>
      </c>
      <c r="G44" s="3" t="s">
        <v>194</v>
      </c>
      <c r="H44" s="3" t="s">
        <v>50</v>
      </c>
      <c r="I44" s="3"/>
      <c r="J44" s="3" t="s">
        <v>51</v>
      </c>
      <c r="K44" s="3" t="s">
        <v>140</v>
      </c>
      <c r="L44" s="7">
        <v>0.02</v>
      </c>
      <c r="M44" s="8">
        <v>58</v>
      </c>
      <c r="N44" s="8">
        <v>8</v>
      </c>
      <c r="O44" s="8">
        <v>6</v>
      </c>
      <c r="P44" s="8">
        <v>1</v>
      </c>
      <c r="Q44" s="8">
        <v>3400</v>
      </c>
      <c r="R44" s="8">
        <v>0</v>
      </c>
      <c r="S44" s="8">
        <f t="shared" si="3"/>
        <v>73</v>
      </c>
      <c r="T44" s="9">
        <f t="shared" si="4"/>
        <v>2.1470588235294116E-2</v>
      </c>
      <c r="U44" s="3" t="str">
        <f t="shared" si="5"/>
        <v>Thursday</v>
      </c>
      <c r="V44" s="3" t="s">
        <v>69</v>
      </c>
      <c r="W44" s="3" t="s">
        <v>41</v>
      </c>
      <c r="X44" s="3" t="s">
        <v>98</v>
      </c>
    </row>
    <row r="45" spans="1:24" ht="27.6" hidden="1">
      <c r="A45" s="3" t="s">
        <v>124</v>
      </c>
      <c r="B45" s="6">
        <v>46136.347222222219</v>
      </c>
      <c r="C45" s="3" t="s">
        <v>56</v>
      </c>
      <c r="D45" s="3" t="s">
        <v>47</v>
      </c>
      <c r="E45" s="3" t="s">
        <v>48</v>
      </c>
      <c r="F45" s="3" t="s">
        <v>125</v>
      </c>
      <c r="G45" s="3" t="s">
        <v>126</v>
      </c>
      <c r="H45" s="3" t="s">
        <v>50</v>
      </c>
      <c r="I45" s="3"/>
      <c r="J45" s="3" t="s">
        <v>51</v>
      </c>
      <c r="K45" s="3" t="s">
        <v>58</v>
      </c>
      <c r="L45" s="7">
        <v>-0.7</v>
      </c>
      <c r="M45" s="8">
        <v>28</v>
      </c>
      <c r="N45" s="8">
        <v>12</v>
      </c>
      <c r="O45" s="8">
        <v>3</v>
      </c>
      <c r="P45" s="8">
        <v>1</v>
      </c>
      <c r="Q45" s="8">
        <v>3100</v>
      </c>
      <c r="R45" s="8">
        <v>0</v>
      </c>
      <c r="S45" s="8">
        <f t="shared" si="3"/>
        <v>44</v>
      </c>
      <c r="T45" s="9">
        <f t="shared" si="4"/>
        <v>1.4193548387096775E-2</v>
      </c>
      <c r="U45" s="3" t="str">
        <f t="shared" si="5"/>
        <v>Friday</v>
      </c>
      <c r="V45" s="3" t="s">
        <v>74</v>
      </c>
      <c r="W45" s="3" t="s">
        <v>51</v>
      </c>
      <c r="X45" s="3" t="s">
        <v>127</v>
      </c>
    </row>
    <row r="46" spans="1:24" ht="27.6" hidden="1">
      <c r="A46" s="3" t="s">
        <v>149</v>
      </c>
      <c r="B46" s="6">
        <v>46140.545138888891</v>
      </c>
      <c r="C46" s="3" t="s">
        <v>46</v>
      </c>
      <c r="D46" s="3" t="s">
        <v>47</v>
      </c>
      <c r="E46" s="3" t="s">
        <v>48</v>
      </c>
      <c r="F46" s="3" t="s">
        <v>150</v>
      </c>
      <c r="G46" s="3" t="s">
        <v>73</v>
      </c>
      <c r="H46" s="3" t="s">
        <v>50</v>
      </c>
      <c r="I46" s="3"/>
      <c r="J46" s="3" t="s">
        <v>51</v>
      </c>
      <c r="K46" s="3" t="s">
        <v>140</v>
      </c>
      <c r="L46" s="7">
        <v>0.08</v>
      </c>
      <c r="M46" s="8">
        <v>44</v>
      </c>
      <c r="N46" s="8">
        <v>7</v>
      </c>
      <c r="O46" s="8">
        <v>5</v>
      </c>
      <c r="P46" s="8">
        <v>1</v>
      </c>
      <c r="Q46" s="8">
        <v>2600</v>
      </c>
      <c r="R46" s="8">
        <v>0</v>
      </c>
      <c r="S46" s="8">
        <f t="shared" si="3"/>
        <v>57</v>
      </c>
      <c r="T46" s="9">
        <f t="shared" si="4"/>
        <v>2.1923076923076924E-2</v>
      </c>
      <c r="U46" s="3" t="str">
        <f t="shared" si="5"/>
        <v>Tuesday</v>
      </c>
      <c r="V46" s="3" t="s">
        <v>69</v>
      </c>
      <c r="W46" s="3" t="s">
        <v>41</v>
      </c>
      <c r="X46" s="3" t="s">
        <v>70</v>
      </c>
    </row>
    <row r="47" spans="1:24" ht="27.6" hidden="1">
      <c r="A47" s="3" t="s">
        <v>185</v>
      </c>
      <c r="B47" s="6">
        <v>46152.784722222219</v>
      </c>
      <c r="C47" s="3" t="s">
        <v>56</v>
      </c>
      <c r="D47" s="3" t="s">
        <v>47</v>
      </c>
      <c r="E47" s="3" t="s">
        <v>48</v>
      </c>
      <c r="F47" s="3" t="s">
        <v>186</v>
      </c>
      <c r="G47" s="3" t="s">
        <v>63</v>
      </c>
      <c r="H47" s="3" t="s">
        <v>50</v>
      </c>
      <c r="I47" s="3"/>
      <c r="J47" s="3" t="s">
        <v>51</v>
      </c>
      <c r="K47" s="3" t="s">
        <v>52</v>
      </c>
      <c r="L47" s="7">
        <v>0.79</v>
      </c>
      <c r="M47" s="8">
        <v>47</v>
      </c>
      <c r="N47" s="8">
        <v>2</v>
      </c>
      <c r="O47" s="8">
        <v>5</v>
      </c>
      <c r="P47" s="8">
        <v>0</v>
      </c>
      <c r="Q47" s="8">
        <v>2500</v>
      </c>
      <c r="R47" s="8">
        <v>0</v>
      </c>
      <c r="S47" s="8">
        <f t="shared" si="3"/>
        <v>54</v>
      </c>
      <c r="T47" s="9">
        <f t="shared" si="4"/>
        <v>2.1600000000000001E-2</v>
      </c>
      <c r="U47" s="3" t="str">
        <f t="shared" si="5"/>
        <v>Sunday</v>
      </c>
      <c r="V47" s="3" t="s">
        <v>53</v>
      </c>
      <c r="W47" s="3" t="s">
        <v>41</v>
      </c>
      <c r="X47" s="3" t="s">
        <v>127</v>
      </c>
    </row>
    <row r="48" spans="1:24" ht="27.6" hidden="1">
      <c r="A48" s="3" t="s">
        <v>241</v>
      </c>
      <c r="B48" s="6">
        <v>46185.504166666666</v>
      </c>
      <c r="C48" s="3" t="s">
        <v>46</v>
      </c>
      <c r="D48" s="3" t="s">
        <v>47</v>
      </c>
      <c r="E48" s="3" t="s">
        <v>48</v>
      </c>
      <c r="F48" s="3" t="s">
        <v>242</v>
      </c>
      <c r="G48" s="3" t="s">
        <v>73</v>
      </c>
      <c r="H48" s="3" t="s">
        <v>50</v>
      </c>
      <c r="I48" s="3"/>
      <c r="J48" s="3" t="s">
        <v>51</v>
      </c>
      <c r="K48" s="3" t="s">
        <v>140</v>
      </c>
      <c r="L48" s="7">
        <v>0.25</v>
      </c>
      <c r="M48" s="8">
        <v>38</v>
      </c>
      <c r="N48" s="8">
        <v>5</v>
      </c>
      <c r="O48" s="8">
        <v>3</v>
      </c>
      <c r="P48" s="8">
        <v>0</v>
      </c>
      <c r="Q48" s="8">
        <v>2400</v>
      </c>
      <c r="R48" s="8">
        <v>0</v>
      </c>
      <c r="S48" s="8">
        <f t="shared" si="3"/>
        <v>46</v>
      </c>
      <c r="T48" s="9">
        <f t="shared" si="4"/>
        <v>1.9166666666666665E-2</v>
      </c>
      <c r="U48" s="3" t="str">
        <f t="shared" si="5"/>
        <v>Friday</v>
      </c>
      <c r="V48" s="3" t="s">
        <v>69</v>
      </c>
      <c r="W48" s="3" t="s">
        <v>41</v>
      </c>
      <c r="X48" s="3" t="s">
        <v>98</v>
      </c>
    </row>
    <row r="49" spans="1:24" ht="27.6">
      <c r="A49" s="3" t="s">
        <v>174</v>
      </c>
      <c r="B49" s="6">
        <v>46148.71597222222</v>
      </c>
      <c r="C49" s="3" t="s">
        <v>46</v>
      </c>
      <c r="D49" s="3" t="s">
        <v>47</v>
      </c>
      <c r="E49" s="3" t="s">
        <v>48</v>
      </c>
      <c r="F49" s="3" t="s">
        <v>175</v>
      </c>
      <c r="G49" s="3" t="s">
        <v>104</v>
      </c>
      <c r="H49" s="3" t="s">
        <v>50</v>
      </c>
      <c r="I49" s="3"/>
      <c r="J49" s="3" t="s">
        <v>51</v>
      </c>
      <c r="K49" s="3" t="s">
        <v>140</v>
      </c>
      <c r="L49" s="7">
        <v>0.04</v>
      </c>
      <c r="M49" s="8">
        <v>34</v>
      </c>
      <c r="N49" s="8">
        <v>6</v>
      </c>
      <c r="O49" s="8">
        <v>2</v>
      </c>
      <c r="P49" s="8">
        <v>0</v>
      </c>
      <c r="Q49" s="8">
        <v>2100</v>
      </c>
      <c r="R49" s="8">
        <v>0</v>
      </c>
      <c r="S49" s="8">
        <f t="shared" si="3"/>
        <v>42</v>
      </c>
      <c r="T49" s="9">
        <f t="shared" si="4"/>
        <v>0.02</v>
      </c>
      <c r="U49" s="3" t="str">
        <f t="shared" si="5"/>
        <v>Wednesday</v>
      </c>
      <c r="V49" s="3" t="s">
        <v>69</v>
      </c>
      <c r="W49" s="3" t="s">
        <v>41</v>
      </c>
      <c r="X49" s="3" t="s">
        <v>98</v>
      </c>
    </row>
    <row r="50" spans="1:24" ht="27.6" hidden="1">
      <c r="A50" s="3" t="s">
        <v>76</v>
      </c>
      <c r="B50" s="6">
        <v>46129.385416666664</v>
      </c>
      <c r="C50" s="3" t="s">
        <v>46</v>
      </c>
      <c r="D50" s="3" t="s">
        <v>35</v>
      </c>
      <c r="E50" s="3" t="s">
        <v>36</v>
      </c>
      <c r="F50" s="3" t="s">
        <v>77</v>
      </c>
      <c r="G50" s="3" t="s">
        <v>78</v>
      </c>
      <c r="H50" s="3" t="s">
        <v>50</v>
      </c>
      <c r="I50" s="3"/>
      <c r="J50" s="3" t="s">
        <v>51</v>
      </c>
      <c r="K50" s="3" t="s">
        <v>42</v>
      </c>
      <c r="L50" s="7">
        <v>0.05</v>
      </c>
      <c r="M50" s="8">
        <v>12</v>
      </c>
      <c r="N50" s="8">
        <v>5</v>
      </c>
      <c r="O50" s="8">
        <v>0</v>
      </c>
      <c r="P50" s="8">
        <v>0</v>
      </c>
      <c r="Q50" s="8">
        <v>2100</v>
      </c>
      <c r="R50" s="8">
        <v>0</v>
      </c>
      <c r="S50" s="8">
        <f t="shared" si="3"/>
        <v>17</v>
      </c>
      <c r="T50" s="9">
        <f t="shared" si="4"/>
        <v>8.0952380952380946E-3</v>
      </c>
      <c r="U50" s="3" t="str">
        <f t="shared" si="5"/>
        <v>Friday</v>
      </c>
      <c r="V50" s="3" t="s">
        <v>78</v>
      </c>
      <c r="W50" s="3" t="s">
        <v>41</v>
      </c>
      <c r="X50" s="3" t="s">
        <v>79</v>
      </c>
    </row>
    <row r="51" spans="1:24" ht="27.6" hidden="1">
      <c r="A51" s="3" t="s">
        <v>147</v>
      </c>
      <c r="B51" s="6">
        <v>46140.532638888886</v>
      </c>
      <c r="C51" s="3" t="s">
        <v>46</v>
      </c>
      <c r="D51" s="3" t="s">
        <v>47</v>
      </c>
      <c r="E51" s="3" t="s">
        <v>48</v>
      </c>
      <c r="F51" s="3" t="s">
        <v>148</v>
      </c>
      <c r="G51" s="3" t="s">
        <v>73</v>
      </c>
      <c r="H51" s="3" t="s">
        <v>50</v>
      </c>
      <c r="I51" s="3"/>
      <c r="J51" s="3" t="s">
        <v>51</v>
      </c>
      <c r="K51" s="3" t="s">
        <v>52</v>
      </c>
      <c r="L51" s="7">
        <v>0.64</v>
      </c>
      <c r="M51" s="8">
        <v>31</v>
      </c>
      <c r="N51" s="8">
        <v>2</v>
      </c>
      <c r="O51" s="8">
        <v>3</v>
      </c>
      <c r="P51" s="8">
        <v>0</v>
      </c>
      <c r="Q51" s="8">
        <v>1800</v>
      </c>
      <c r="R51" s="8">
        <v>0</v>
      </c>
      <c r="S51" s="8">
        <f t="shared" si="3"/>
        <v>36</v>
      </c>
      <c r="T51" s="9">
        <f t="shared" si="4"/>
        <v>0.02</v>
      </c>
      <c r="U51" s="3" t="str">
        <f t="shared" si="5"/>
        <v>Tuesday</v>
      </c>
      <c r="V51" s="3" t="s">
        <v>53</v>
      </c>
      <c r="W51" s="3" t="s">
        <v>41</v>
      </c>
      <c r="X51" s="3" t="s">
        <v>98</v>
      </c>
    </row>
    <row r="52" spans="1:24" ht="27.6" hidden="1">
      <c r="A52" s="3" t="s">
        <v>137</v>
      </c>
      <c r="B52" s="6">
        <v>46139.329861111109</v>
      </c>
      <c r="C52" s="3" t="s">
        <v>56</v>
      </c>
      <c r="D52" s="3" t="s">
        <v>86</v>
      </c>
      <c r="E52" s="3" t="s">
        <v>67</v>
      </c>
      <c r="F52" s="3" t="s">
        <v>138</v>
      </c>
      <c r="G52" s="3" t="s">
        <v>88</v>
      </c>
      <c r="H52" s="3" t="s">
        <v>50</v>
      </c>
      <c r="I52" s="3" t="s">
        <v>139</v>
      </c>
      <c r="J52" s="3" t="s">
        <v>51</v>
      </c>
      <c r="K52" s="3" t="s">
        <v>140</v>
      </c>
      <c r="L52" s="7">
        <v>0.12</v>
      </c>
      <c r="M52" s="8">
        <v>22</v>
      </c>
      <c r="N52" s="8">
        <v>5</v>
      </c>
      <c r="O52" s="8">
        <v>4</v>
      </c>
      <c r="P52" s="8">
        <v>0</v>
      </c>
      <c r="Q52" s="8">
        <v>1700</v>
      </c>
      <c r="R52" s="8">
        <v>0</v>
      </c>
      <c r="S52" s="8">
        <f t="shared" si="3"/>
        <v>31</v>
      </c>
      <c r="T52" s="9">
        <f t="shared" si="4"/>
        <v>1.8235294117647058E-2</v>
      </c>
      <c r="U52" s="3" t="str">
        <f t="shared" si="5"/>
        <v>Monday</v>
      </c>
      <c r="V52" s="3" t="s">
        <v>69</v>
      </c>
      <c r="W52" s="3" t="s">
        <v>41</v>
      </c>
      <c r="X52" s="3" t="s">
        <v>141</v>
      </c>
    </row>
    <row r="53" spans="1:24" ht="27.6" hidden="1">
      <c r="A53" s="3" t="s">
        <v>209</v>
      </c>
      <c r="B53" s="6">
        <v>46164.4375</v>
      </c>
      <c r="C53" s="3" t="s">
        <v>46</v>
      </c>
      <c r="D53" s="3" t="s">
        <v>47</v>
      </c>
      <c r="E53" s="3" t="s">
        <v>48</v>
      </c>
      <c r="F53" s="3" t="s">
        <v>210</v>
      </c>
      <c r="G53" s="3" t="s">
        <v>63</v>
      </c>
      <c r="H53" s="3" t="s">
        <v>50</v>
      </c>
      <c r="I53" s="3"/>
      <c r="J53" s="3" t="s">
        <v>51</v>
      </c>
      <c r="K53" s="3" t="s">
        <v>42</v>
      </c>
      <c r="L53" s="7">
        <v>0.11</v>
      </c>
      <c r="M53" s="8">
        <v>23</v>
      </c>
      <c r="N53" s="8">
        <v>3</v>
      </c>
      <c r="O53" s="8">
        <v>3</v>
      </c>
      <c r="P53" s="8">
        <v>0</v>
      </c>
      <c r="Q53" s="8">
        <v>1600</v>
      </c>
      <c r="R53" s="8">
        <v>0</v>
      </c>
      <c r="S53" s="8">
        <f t="shared" si="3"/>
        <v>29</v>
      </c>
      <c r="T53" s="9">
        <f t="shared" si="4"/>
        <v>1.8124999999999999E-2</v>
      </c>
      <c r="U53" s="3" t="str">
        <f t="shared" si="5"/>
        <v>Friday</v>
      </c>
      <c r="V53" s="3" t="s">
        <v>69</v>
      </c>
      <c r="W53" s="3" t="s">
        <v>41</v>
      </c>
      <c r="X53" s="3" t="s">
        <v>98</v>
      </c>
    </row>
    <row r="54" spans="1:24" hidden="1">
      <c r="A54" s="3" t="s">
        <v>151</v>
      </c>
      <c r="B54" s="6">
        <v>46141.8125</v>
      </c>
      <c r="C54" s="3" t="s">
        <v>56</v>
      </c>
      <c r="D54" s="3" t="s">
        <v>47</v>
      </c>
      <c r="E54" s="3" t="s">
        <v>48</v>
      </c>
      <c r="F54" s="3" t="s">
        <v>152</v>
      </c>
      <c r="G54" s="3" t="s">
        <v>126</v>
      </c>
      <c r="H54" s="3" t="s">
        <v>50</v>
      </c>
      <c r="I54" s="3"/>
      <c r="J54" s="3" t="s">
        <v>51</v>
      </c>
      <c r="K54" s="3" t="s">
        <v>58</v>
      </c>
      <c r="L54" s="7">
        <v>-0.57999999999999996</v>
      </c>
      <c r="M54" s="8">
        <v>12</v>
      </c>
      <c r="N54" s="8">
        <v>8</v>
      </c>
      <c r="O54" s="8">
        <v>1</v>
      </c>
      <c r="P54" s="8">
        <v>0</v>
      </c>
      <c r="Q54" s="8">
        <v>1400</v>
      </c>
      <c r="R54" s="8">
        <v>0</v>
      </c>
      <c r="S54" s="8">
        <f t="shared" si="3"/>
        <v>21</v>
      </c>
      <c r="T54" s="9">
        <f t="shared" si="4"/>
        <v>1.4999999999999999E-2</v>
      </c>
      <c r="U54" s="3" t="str">
        <f t="shared" si="5"/>
        <v>Wednesday</v>
      </c>
      <c r="V54" s="3" t="s">
        <v>101</v>
      </c>
      <c r="W54" s="3" t="s">
        <v>51</v>
      </c>
      <c r="X54" s="3" t="s">
        <v>75</v>
      </c>
    </row>
    <row r="55" spans="1:24" ht="27.6" hidden="1">
      <c r="A55" s="3" t="s">
        <v>66</v>
      </c>
      <c r="B55" s="6">
        <v>46128.544444444444</v>
      </c>
      <c r="C55" s="3" t="s">
        <v>46</v>
      </c>
      <c r="D55" s="3" t="s">
        <v>47</v>
      </c>
      <c r="E55" s="3" t="s">
        <v>67</v>
      </c>
      <c r="F55" s="3" t="s">
        <v>68</v>
      </c>
      <c r="G55" s="3" t="s">
        <v>63</v>
      </c>
      <c r="H55" s="3" t="s">
        <v>50</v>
      </c>
      <c r="I55" s="3"/>
      <c r="J55" s="3" t="s">
        <v>51</v>
      </c>
      <c r="K55" s="3" t="s">
        <v>52</v>
      </c>
      <c r="L55" s="7">
        <v>0.62</v>
      </c>
      <c r="M55" s="8">
        <v>25</v>
      </c>
      <c r="N55" s="8">
        <v>2</v>
      </c>
      <c r="O55" s="8">
        <v>4</v>
      </c>
      <c r="P55" s="8">
        <v>0</v>
      </c>
      <c r="Q55" s="8">
        <v>1300</v>
      </c>
      <c r="R55" s="8">
        <v>0</v>
      </c>
      <c r="S55" s="8">
        <f t="shared" si="3"/>
        <v>31</v>
      </c>
      <c r="T55" s="9">
        <f t="shared" si="4"/>
        <v>2.3846153846153847E-2</v>
      </c>
      <c r="U55" s="3" t="str">
        <f t="shared" si="5"/>
        <v>Thursday</v>
      </c>
      <c r="V55" s="3" t="s">
        <v>69</v>
      </c>
      <c r="W55" s="3" t="s">
        <v>41</v>
      </c>
      <c r="X55" s="3" t="s">
        <v>70</v>
      </c>
    </row>
    <row r="56" spans="1:24" hidden="1">
      <c r="A56" s="3" t="s">
        <v>198</v>
      </c>
      <c r="B56" s="6">
        <v>46158.486111111109</v>
      </c>
      <c r="C56" s="3" t="s">
        <v>56</v>
      </c>
      <c r="D56" s="3" t="s">
        <v>47</v>
      </c>
      <c r="E56" s="3" t="s">
        <v>48</v>
      </c>
      <c r="F56" s="3" t="s">
        <v>199</v>
      </c>
      <c r="G56" s="3" t="s">
        <v>126</v>
      </c>
      <c r="H56" s="3" t="s">
        <v>50</v>
      </c>
      <c r="I56" s="3"/>
      <c r="J56" s="3" t="s">
        <v>51</v>
      </c>
      <c r="K56" s="3" t="s">
        <v>58</v>
      </c>
      <c r="L56" s="7">
        <v>-0.62</v>
      </c>
      <c r="M56" s="8">
        <v>17</v>
      </c>
      <c r="N56" s="8">
        <v>6</v>
      </c>
      <c r="O56" s="8">
        <v>2</v>
      </c>
      <c r="P56" s="8">
        <v>0</v>
      </c>
      <c r="Q56" s="8">
        <v>1250</v>
      </c>
      <c r="R56" s="8">
        <v>0</v>
      </c>
      <c r="S56" s="8">
        <f t="shared" si="3"/>
        <v>25</v>
      </c>
      <c r="T56" s="9">
        <f t="shared" si="4"/>
        <v>0.02</v>
      </c>
      <c r="U56" s="3" t="str">
        <f t="shared" si="5"/>
        <v>Saturday</v>
      </c>
      <c r="V56" s="3" t="s">
        <v>74</v>
      </c>
      <c r="W56" s="3" t="s">
        <v>51</v>
      </c>
      <c r="X56" s="3" t="s">
        <v>127</v>
      </c>
    </row>
    <row r="57" spans="1:24" ht="27.6">
      <c r="A57" s="3" t="s">
        <v>161</v>
      </c>
      <c r="B57" s="6">
        <v>46145.588888888888</v>
      </c>
      <c r="C57" s="3" t="s">
        <v>46</v>
      </c>
      <c r="D57" s="3" t="s">
        <v>47</v>
      </c>
      <c r="E57" s="3" t="s">
        <v>48</v>
      </c>
      <c r="F57" s="3" t="s">
        <v>162</v>
      </c>
      <c r="G57" s="3" t="s">
        <v>38</v>
      </c>
      <c r="H57" s="3" t="s">
        <v>50</v>
      </c>
      <c r="I57" s="3"/>
      <c r="J57" s="3" t="s">
        <v>51</v>
      </c>
      <c r="K57" s="3" t="s">
        <v>140</v>
      </c>
      <c r="L57" s="7">
        <v>-0.1</v>
      </c>
      <c r="M57" s="8">
        <v>21</v>
      </c>
      <c r="N57" s="8">
        <v>3</v>
      </c>
      <c r="O57" s="8">
        <v>2</v>
      </c>
      <c r="P57" s="8">
        <v>0</v>
      </c>
      <c r="Q57" s="8">
        <v>1150</v>
      </c>
      <c r="R57" s="8">
        <v>0</v>
      </c>
      <c r="S57" s="8">
        <f t="shared" si="3"/>
        <v>26</v>
      </c>
      <c r="T57" s="9">
        <f t="shared" si="4"/>
        <v>2.2608695652173914E-2</v>
      </c>
      <c r="U57" s="3" t="str">
        <f t="shared" si="5"/>
        <v>Sunday</v>
      </c>
      <c r="V57" s="3" t="s">
        <v>69</v>
      </c>
      <c r="W57" s="3" t="s">
        <v>41</v>
      </c>
      <c r="X57" s="3" t="s">
        <v>98</v>
      </c>
    </row>
    <row r="58" spans="1:24" hidden="1">
      <c r="A58" s="3" t="s">
        <v>132</v>
      </c>
      <c r="B58" s="6">
        <v>46137.723611111112</v>
      </c>
      <c r="C58" s="3" t="s">
        <v>46</v>
      </c>
      <c r="D58" s="3" t="s">
        <v>47</v>
      </c>
      <c r="E58" s="3" t="s">
        <v>48</v>
      </c>
      <c r="F58" s="3" t="s">
        <v>133</v>
      </c>
      <c r="G58" s="3" t="s">
        <v>130</v>
      </c>
      <c r="H58" s="3" t="s">
        <v>50</v>
      </c>
      <c r="I58" s="3"/>
      <c r="J58" s="3" t="s">
        <v>51</v>
      </c>
      <c r="K58" s="3" t="s">
        <v>42</v>
      </c>
      <c r="L58" s="7">
        <v>0.05</v>
      </c>
      <c r="M58" s="8">
        <v>9</v>
      </c>
      <c r="N58" s="8">
        <v>4</v>
      </c>
      <c r="O58" s="8">
        <v>1</v>
      </c>
      <c r="P58" s="8">
        <v>0</v>
      </c>
      <c r="Q58" s="8">
        <v>1050</v>
      </c>
      <c r="R58" s="8">
        <v>0</v>
      </c>
      <c r="S58" s="8">
        <f t="shared" si="3"/>
        <v>14</v>
      </c>
      <c r="T58" s="9">
        <f t="shared" si="4"/>
        <v>1.3333333333333334E-2</v>
      </c>
      <c r="U58" s="3" t="str">
        <f t="shared" si="5"/>
        <v>Saturday</v>
      </c>
      <c r="V58" s="3" t="s">
        <v>101</v>
      </c>
      <c r="W58" s="3" t="s">
        <v>51</v>
      </c>
      <c r="X58" s="3" t="s">
        <v>98</v>
      </c>
    </row>
    <row r="59" spans="1:24" ht="27.6">
      <c r="A59" s="3" t="s">
        <v>45</v>
      </c>
      <c r="B59" s="6">
        <v>46127.404166666667</v>
      </c>
      <c r="C59" s="3" t="s">
        <v>46</v>
      </c>
      <c r="D59" s="3" t="s">
        <v>47</v>
      </c>
      <c r="E59" s="3" t="s">
        <v>48</v>
      </c>
      <c r="F59" s="3" t="s">
        <v>49</v>
      </c>
      <c r="G59" s="3" t="s">
        <v>38</v>
      </c>
      <c r="H59" s="3" t="s">
        <v>50</v>
      </c>
      <c r="I59" s="3"/>
      <c r="J59" s="3" t="s">
        <v>51</v>
      </c>
      <c r="K59" s="3" t="s">
        <v>52</v>
      </c>
      <c r="L59" s="7">
        <v>0.7</v>
      </c>
      <c r="M59" s="8">
        <v>18</v>
      </c>
      <c r="N59" s="8">
        <v>3</v>
      </c>
      <c r="O59" s="8">
        <v>1</v>
      </c>
      <c r="P59" s="8">
        <v>0</v>
      </c>
      <c r="Q59" s="8">
        <v>920</v>
      </c>
      <c r="R59" s="8">
        <v>0</v>
      </c>
      <c r="S59" s="8">
        <f t="shared" si="3"/>
        <v>22</v>
      </c>
      <c r="T59" s="9">
        <f t="shared" si="4"/>
        <v>2.391304347826087E-2</v>
      </c>
      <c r="U59" s="3" t="str">
        <f t="shared" si="5"/>
        <v>Wednesday</v>
      </c>
      <c r="V59" s="3" t="s">
        <v>53</v>
      </c>
      <c r="W59" s="3" t="s">
        <v>41</v>
      </c>
      <c r="X59" s="3" t="s">
        <v>54</v>
      </c>
    </row>
    <row r="60" spans="1:24" ht="27.6" hidden="1">
      <c r="A60" s="3" t="s">
        <v>96</v>
      </c>
      <c r="B60" s="6">
        <v>46132.341666666667</v>
      </c>
      <c r="C60" s="3" t="s">
        <v>46</v>
      </c>
      <c r="D60" s="3" t="s">
        <v>47</v>
      </c>
      <c r="E60" s="3" t="s">
        <v>48</v>
      </c>
      <c r="F60" s="3" t="s">
        <v>97</v>
      </c>
      <c r="G60" s="3" t="s">
        <v>92</v>
      </c>
      <c r="H60" s="3" t="s">
        <v>50</v>
      </c>
      <c r="I60" s="3"/>
      <c r="J60" s="3" t="s">
        <v>51</v>
      </c>
      <c r="K60" s="3" t="s">
        <v>52</v>
      </c>
      <c r="L60" s="7">
        <v>0.5</v>
      </c>
      <c r="M60" s="8">
        <v>14</v>
      </c>
      <c r="N60" s="8">
        <v>1</v>
      </c>
      <c r="O60" s="8">
        <v>2</v>
      </c>
      <c r="P60" s="8">
        <v>0</v>
      </c>
      <c r="Q60" s="8">
        <v>840</v>
      </c>
      <c r="R60" s="8">
        <v>0</v>
      </c>
      <c r="S60" s="8">
        <f t="shared" si="3"/>
        <v>17</v>
      </c>
      <c r="T60" s="9">
        <f t="shared" si="4"/>
        <v>2.0238095238095239E-2</v>
      </c>
      <c r="U60" s="3" t="str">
        <f t="shared" si="5"/>
        <v>Monday</v>
      </c>
      <c r="V60" s="3" t="s">
        <v>53</v>
      </c>
      <c r="W60" s="3" t="s">
        <v>41</v>
      </c>
      <c r="X60" s="3" t="s">
        <v>98</v>
      </c>
    </row>
    <row r="61" spans="1:24" ht="27.6">
      <c r="A61" s="3" t="s">
        <v>55</v>
      </c>
      <c r="B61" s="6">
        <v>46127.428472222222</v>
      </c>
      <c r="C61" s="3" t="s">
        <v>56</v>
      </c>
      <c r="D61" s="3" t="s">
        <v>47</v>
      </c>
      <c r="E61" s="3" t="s">
        <v>48</v>
      </c>
      <c r="F61" s="3" t="s">
        <v>57</v>
      </c>
      <c r="G61" s="3" t="s">
        <v>38</v>
      </c>
      <c r="H61" s="3" t="s">
        <v>50</v>
      </c>
      <c r="I61" s="3"/>
      <c r="J61" s="3" t="s">
        <v>51</v>
      </c>
      <c r="K61" s="3" t="s">
        <v>58</v>
      </c>
      <c r="L61" s="7">
        <v>-0.35</v>
      </c>
      <c r="M61" s="8">
        <v>6</v>
      </c>
      <c r="N61" s="8">
        <v>9</v>
      </c>
      <c r="O61" s="8">
        <v>0</v>
      </c>
      <c r="P61" s="8">
        <v>0</v>
      </c>
      <c r="Q61" s="8">
        <v>780</v>
      </c>
      <c r="R61" s="8">
        <v>0</v>
      </c>
      <c r="S61" s="8">
        <f t="shared" si="3"/>
        <v>15</v>
      </c>
      <c r="T61" s="9">
        <f t="shared" si="4"/>
        <v>1.9230769230769232E-2</v>
      </c>
      <c r="U61" s="3" t="str">
        <f t="shared" si="5"/>
        <v>Wednesday</v>
      </c>
      <c r="V61" s="3" t="s">
        <v>59</v>
      </c>
      <c r="W61" s="3" t="s">
        <v>51</v>
      </c>
      <c r="X61" s="3" t="s">
        <v>60</v>
      </c>
    </row>
  </sheetData>
  <conditionalFormatting sqref="L2:L61">
    <cfRule type="colorScale" priority="2">
      <colorScale>
        <cfvo type="min"/>
        <cfvo type="percentile" val="50"/>
        <cfvo type="max"/>
        <color rgb="FFFECACA"/>
        <color rgb="FFF3F4F6"/>
        <color rgb="FFBBF7D0"/>
      </colorScale>
    </cfRule>
  </conditionalFormatting>
  <conditionalFormatting sqref="T2:T61">
    <cfRule type="colorScale" priority="1">
      <colorScale>
        <cfvo type="min"/>
        <cfvo type="percentile" val="50"/>
        <cfvo type="max"/>
        <color rgb="FFFEE2E2"/>
        <color rgb="FFFEF3C7"/>
        <color rgb="FFDCFCE7"/>
      </colorScale>
    </cfRule>
  </conditionalFormatting>
  <conditionalFormatting sqref="W2:W61">
    <cfRule type="expression" dxfId="5" priority="3">
      <formula>$W2="Yes"</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topLeftCell="A4" workbookViewId="0"/>
  </sheetViews>
  <sheetFormatPr defaultRowHeight="13.8"/>
  <cols>
    <col min="1" max="1" width="22" customWidth="1"/>
    <col min="2" max="2" width="44" customWidth="1"/>
    <col min="3" max="3" width="42" customWidth="1"/>
    <col min="4" max="4" width="40" customWidth="1"/>
  </cols>
  <sheetData>
    <row r="1" spans="1:4">
      <c r="A1" s="5" t="s">
        <v>243</v>
      </c>
      <c r="B1" s="5" t="s">
        <v>244</v>
      </c>
      <c r="C1" s="5" t="s">
        <v>245</v>
      </c>
      <c r="D1" s="5" t="s">
        <v>246</v>
      </c>
    </row>
    <row r="2" spans="1:4" ht="27.6">
      <c r="A2" s="3" t="s">
        <v>9</v>
      </c>
      <c r="B2" s="3" t="s">
        <v>247</v>
      </c>
      <c r="C2" s="3" t="s">
        <v>248</v>
      </c>
      <c r="D2" s="3" t="s">
        <v>249</v>
      </c>
    </row>
    <row r="3" spans="1:4">
      <c r="A3" s="3" t="s">
        <v>10</v>
      </c>
      <c r="B3" s="3" t="s">
        <v>250</v>
      </c>
      <c r="C3" s="3" t="s">
        <v>251</v>
      </c>
      <c r="D3" s="3" t="s">
        <v>252</v>
      </c>
    </row>
    <row r="4" spans="1:4" ht="27.6">
      <c r="A4" s="3" t="s">
        <v>11</v>
      </c>
      <c r="B4" s="3" t="s">
        <v>253</v>
      </c>
      <c r="C4" s="3" t="s">
        <v>254</v>
      </c>
      <c r="D4" s="3" t="s">
        <v>255</v>
      </c>
    </row>
    <row r="5" spans="1:4" ht="27.6">
      <c r="A5" s="3" t="s">
        <v>12</v>
      </c>
      <c r="B5" s="3" t="s">
        <v>256</v>
      </c>
      <c r="C5" s="3" t="s">
        <v>257</v>
      </c>
      <c r="D5" s="3" t="s">
        <v>258</v>
      </c>
    </row>
    <row r="6" spans="1:4" ht="27.6">
      <c r="A6" s="3" t="s">
        <v>13</v>
      </c>
      <c r="B6" s="3" t="s">
        <v>259</v>
      </c>
      <c r="C6" s="3" t="s">
        <v>260</v>
      </c>
      <c r="D6" s="3" t="s">
        <v>261</v>
      </c>
    </row>
    <row r="7" spans="1:4">
      <c r="A7" s="3" t="s">
        <v>14</v>
      </c>
      <c r="B7" s="3" t="s">
        <v>262</v>
      </c>
      <c r="C7" s="3" t="s">
        <v>263</v>
      </c>
      <c r="D7" s="3" t="s">
        <v>264</v>
      </c>
    </row>
    <row r="8" spans="1:4" ht="27.6">
      <c r="A8" s="3" t="s">
        <v>15</v>
      </c>
      <c r="B8" s="3" t="s">
        <v>265</v>
      </c>
      <c r="C8" s="3" t="s">
        <v>266</v>
      </c>
      <c r="D8" s="3" t="s">
        <v>267</v>
      </c>
    </row>
    <row r="9" spans="1:4" ht="27.6">
      <c r="A9" s="3" t="s">
        <v>16</v>
      </c>
      <c r="B9" s="3" t="s">
        <v>268</v>
      </c>
      <c r="C9" s="3" t="s">
        <v>269</v>
      </c>
      <c r="D9" s="3" t="s">
        <v>270</v>
      </c>
    </row>
    <row r="10" spans="1:4">
      <c r="A10" s="3" t="s">
        <v>17</v>
      </c>
      <c r="B10" s="3" t="s">
        <v>271</v>
      </c>
      <c r="C10" s="3" t="s">
        <v>272</v>
      </c>
      <c r="D10" s="3" t="s">
        <v>273</v>
      </c>
    </row>
    <row r="11" spans="1:4" ht="27.6">
      <c r="A11" s="3" t="s">
        <v>18</v>
      </c>
      <c r="B11" s="3" t="s">
        <v>274</v>
      </c>
      <c r="C11" s="3" t="s">
        <v>275</v>
      </c>
      <c r="D11" s="3" t="s">
        <v>276</v>
      </c>
    </row>
    <row r="12" spans="1:4" ht="27.6">
      <c r="A12" s="3" t="s">
        <v>19</v>
      </c>
      <c r="B12" s="3" t="s">
        <v>277</v>
      </c>
      <c r="C12" s="3" t="s">
        <v>278</v>
      </c>
      <c r="D12" s="3" t="s">
        <v>279</v>
      </c>
    </row>
    <row r="13" spans="1:4">
      <c r="A13" s="3" t="s">
        <v>20</v>
      </c>
      <c r="B13" s="3" t="s">
        <v>280</v>
      </c>
      <c r="C13" s="3" t="s">
        <v>281</v>
      </c>
      <c r="D13" s="3" t="s">
        <v>279</v>
      </c>
    </row>
    <row r="14" spans="1:4">
      <c r="A14" s="3" t="s">
        <v>21</v>
      </c>
      <c r="B14" s="3" t="s">
        <v>282</v>
      </c>
      <c r="C14" s="3" t="s">
        <v>283</v>
      </c>
      <c r="D14" s="3" t="s">
        <v>284</v>
      </c>
    </row>
    <row r="15" spans="1:4">
      <c r="A15" s="3" t="s">
        <v>22</v>
      </c>
      <c r="B15" s="3" t="s">
        <v>285</v>
      </c>
      <c r="C15" s="3" t="s">
        <v>286</v>
      </c>
      <c r="D15" s="3" t="s">
        <v>287</v>
      </c>
    </row>
    <row r="16" spans="1:4">
      <c r="A16" s="3" t="s">
        <v>23</v>
      </c>
      <c r="B16" s="3" t="s">
        <v>288</v>
      </c>
      <c r="C16" s="3" t="s">
        <v>289</v>
      </c>
      <c r="D16" s="3" t="s">
        <v>290</v>
      </c>
    </row>
    <row r="17" spans="1:4">
      <c r="A17" s="3" t="s">
        <v>24</v>
      </c>
      <c r="B17" s="3" t="s">
        <v>291</v>
      </c>
      <c r="C17" s="3" t="s">
        <v>292</v>
      </c>
      <c r="D17" s="3" t="s">
        <v>293</v>
      </c>
    </row>
    <row r="18" spans="1:4" ht="27.6">
      <c r="A18" s="3" t="s">
        <v>25</v>
      </c>
      <c r="B18" s="3" t="s">
        <v>294</v>
      </c>
      <c r="C18" s="3" t="s">
        <v>295</v>
      </c>
      <c r="D18" s="3" t="s">
        <v>296</v>
      </c>
    </row>
    <row r="19" spans="1:4" ht="27.6">
      <c r="A19" s="3" t="s">
        <v>26</v>
      </c>
      <c r="B19" s="3" t="s">
        <v>297</v>
      </c>
      <c r="C19" s="3" t="s">
        <v>298</v>
      </c>
      <c r="D19" s="3" t="s">
        <v>299</v>
      </c>
    </row>
    <row r="20" spans="1:4" ht="27.6">
      <c r="A20" s="3" t="s">
        <v>27</v>
      </c>
      <c r="B20" s="3" t="s">
        <v>300</v>
      </c>
      <c r="C20" s="3" t="s">
        <v>301</v>
      </c>
      <c r="D20" s="3" t="s">
        <v>302</v>
      </c>
    </row>
    <row r="21" spans="1:4">
      <c r="A21" s="3" t="s">
        <v>28</v>
      </c>
      <c r="B21" s="3" t="s">
        <v>303</v>
      </c>
      <c r="C21" s="3" t="s">
        <v>304</v>
      </c>
      <c r="D21" s="3" t="s">
        <v>302</v>
      </c>
    </row>
    <row r="22" spans="1:4">
      <c r="A22" s="3" t="s">
        <v>29</v>
      </c>
      <c r="B22" s="3" t="s">
        <v>305</v>
      </c>
      <c r="C22" s="3" t="s">
        <v>306</v>
      </c>
      <c r="D22" s="3" t="s">
        <v>307</v>
      </c>
    </row>
    <row r="23" spans="1:4" ht="27.6">
      <c r="A23" s="3" t="s">
        <v>30</v>
      </c>
      <c r="B23" s="3" t="s">
        <v>308</v>
      </c>
      <c r="C23" s="3" t="s">
        <v>309</v>
      </c>
      <c r="D23" s="3" t="s">
        <v>310</v>
      </c>
    </row>
    <row r="24" spans="1:4" ht="27.6">
      <c r="A24" s="3" t="s">
        <v>31</v>
      </c>
      <c r="B24" s="3" t="s">
        <v>311</v>
      </c>
      <c r="C24" s="3" t="s">
        <v>312</v>
      </c>
      <c r="D24" s="3" t="s">
        <v>313</v>
      </c>
    </row>
    <row r="25" spans="1:4" ht="27.6">
      <c r="A25" s="3" t="s">
        <v>32</v>
      </c>
      <c r="B25" s="3" t="s">
        <v>314</v>
      </c>
      <c r="C25" s="3" t="s">
        <v>315</v>
      </c>
      <c r="D25" s="3" t="s">
        <v>316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election activeCell="B30" sqref="B30"/>
    </sheetView>
  </sheetViews>
  <sheetFormatPr defaultRowHeight="13.8"/>
  <cols>
    <col min="1" max="1" width="22" customWidth="1"/>
    <col min="2" max="2" width="70" customWidth="1"/>
    <col min="3" max="3" width="45" customWidth="1"/>
  </cols>
  <sheetData>
    <row r="1" spans="1:3">
      <c r="A1" s="5" t="s">
        <v>317</v>
      </c>
      <c r="B1" s="5" t="s">
        <v>318</v>
      </c>
      <c r="C1" s="5" t="s">
        <v>319</v>
      </c>
    </row>
    <row r="2" spans="1:3" ht="27.6">
      <c r="A2" s="3" t="s">
        <v>320</v>
      </c>
      <c r="B2" s="3" t="s">
        <v>321</v>
      </c>
      <c r="C2" s="3" t="s">
        <v>322</v>
      </c>
    </row>
    <row r="3" spans="1:3" ht="27.6">
      <c r="A3" s="3" t="s">
        <v>323</v>
      </c>
      <c r="B3" s="3" t="s">
        <v>324</v>
      </c>
      <c r="C3" s="3" t="s">
        <v>325</v>
      </c>
    </row>
    <row r="4" spans="1:3">
      <c r="A4" s="3" t="s">
        <v>326</v>
      </c>
      <c r="B4" s="3" t="s">
        <v>327</v>
      </c>
      <c r="C4" s="3" t="s">
        <v>328</v>
      </c>
    </row>
    <row r="5" spans="1:3" ht="27.6">
      <c r="A5" s="3" t="s">
        <v>78</v>
      </c>
      <c r="B5" s="3" t="s">
        <v>329</v>
      </c>
      <c r="C5" s="3" t="s">
        <v>330</v>
      </c>
    </row>
    <row r="6" spans="1:3" ht="27.6">
      <c r="A6" s="3" t="s">
        <v>331</v>
      </c>
      <c r="B6" s="3" t="s">
        <v>332</v>
      </c>
      <c r="C6" s="3" t="s">
        <v>333</v>
      </c>
    </row>
    <row r="7" spans="1:3">
      <c r="A7" s="3" t="s">
        <v>334</v>
      </c>
      <c r="B7" s="3" t="s">
        <v>335</v>
      </c>
      <c r="C7" s="3" t="s">
        <v>336</v>
      </c>
    </row>
    <row r="8" spans="1:3">
      <c r="A8" s="3" t="s">
        <v>337</v>
      </c>
      <c r="B8" s="3" t="s">
        <v>338</v>
      </c>
      <c r="C8" s="3" t="s">
        <v>339</v>
      </c>
    </row>
    <row r="9" spans="1:3">
      <c r="A9" s="3" t="s">
        <v>340</v>
      </c>
      <c r="B9" s="3" t="s">
        <v>341</v>
      </c>
      <c r="C9" s="3" t="s">
        <v>342</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F3A4A-FC76-483E-B520-CC0DD229979C}">
  <dimension ref="A1:XFD141"/>
  <sheetViews>
    <sheetView tabSelected="1" topLeftCell="A131" zoomScale="116" zoomScaleNormal="116" workbookViewId="0">
      <selection activeCell="E134" sqref="E134"/>
    </sheetView>
  </sheetViews>
  <sheetFormatPr defaultRowHeight="13.8"/>
  <cols>
    <col min="1" max="1" width="39.59765625" customWidth="1"/>
    <col min="2" max="2" width="61.5" customWidth="1"/>
    <col min="3" max="3" width="18.59765625" customWidth="1"/>
    <col min="4" max="4" width="17.5" customWidth="1"/>
    <col min="5" max="11" width="10" customWidth="1"/>
    <col min="12" max="101" width="11" customWidth="1"/>
    <col min="102" max="1001" width="12.09765625" customWidth="1"/>
    <col min="1002" max="10001" width="13.09765625" customWidth="1"/>
    <col min="10002" max="16384" width="14.09765625" customWidth="1"/>
  </cols>
  <sheetData>
    <row r="1" spans="1:2" ht="27.6">
      <c r="A1" s="10" t="s">
        <v>388</v>
      </c>
      <c r="B1" s="3" t="s">
        <v>321</v>
      </c>
    </row>
    <row r="2" spans="1:2" s="10" customFormat="1">
      <c r="A2" s="17" t="s">
        <v>370</v>
      </c>
      <c r="B2" s="10" t="s">
        <v>355</v>
      </c>
    </row>
    <row r="3" spans="1:2">
      <c r="A3" s="3" t="s">
        <v>38</v>
      </c>
      <c r="B3">
        <f>COUNTIF(Social_Media_Posts!G:G,A3)</f>
        <v>11</v>
      </c>
    </row>
    <row r="4" spans="1:2">
      <c r="A4" s="3" t="s">
        <v>63</v>
      </c>
      <c r="B4">
        <f>COUNTIF(Social_Media_Posts!G:G,A4)</f>
        <v>9</v>
      </c>
    </row>
    <row r="5" spans="1:2">
      <c r="A5" s="3" t="s">
        <v>73</v>
      </c>
      <c r="B5">
        <f>COUNTIF(Social_Media_Posts!G:G,A5)</f>
        <v>13</v>
      </c>
    </row>
    <row r="6" spans="1:2">
      <c r="A6" s="3" t="s">
        <v>78</v>
      </c>
      <c r="B6">
        <f>COUNTIF(Social_Media_Posts!G:G,A6)</f>
        <v>1</v>
      </c>
    </row>
    <row r="7" spans="1:2">
      <c r="A7" s="3" t="s">
        <v>88</v>
      </c>
      <c r="B7">
        <f>COUNTIF(Social_Media_Posts!G:G,A7)</f>
        <v>3</v>
      </c>
    </row>
    <row r="8" spans="1:2">
      <c r="A8" s="3" t="s">
        <v>92</v>
      </c>
      <c r="B8">
        <f>COUNTIF(Social_Media_Posts!G:G,A8)</f>
        <v>5</v>
      </c>
    </row>
    <row r="9" spans="1:2">
      <c r="A9" s="3" t="s">
        <v>104</v>
      </c>
      <c r="B9">
        <f>COUNTIF(Social_Media_Posts!G:G,A9)</f>
        <v>5</v>
      </c>
    </row>
    <row r="10" spans="1:2">
      <c r="A10" s="3" t="s">
        <v>117</v>
      </c>
      <c r="B10">
        <f>COUNTIF(Social_Media_Posts!G:G,A10)</f>
        <v>4</v>
      </c>
    </row>
    <row r="11" spans="1:2">
      <c r="A11" s="3" t="s">
        <v>126</v>
      </c>
      <c r="B11">
        <f>COUNTIF(Social_Media_Posts!G:G,A11)</f>
        <v>3</v>
      </c>
    </row>
    <row r="12" spans="1:2">
      <c r="A12" s="3" t="s">
        <v>130</v>
      </c>
      <c r="B12">
        <f>COUNTIF(Social_Media_Posts!G:G,A12)</f>
        <v>4</v>
      </c>
    </row>
    <row r="13" spans="1:2">
      <c r="A13" s="3" t="s">
        <v>194</v>
      </c>
      <c r="B13">
        <f>COUNTIF(Social_Media_Posts!G:G,A13)</f>
        <v>2</v>
      </c>
    </row>
    <row r="15" spans="1:2">
      <c r="A15" t="s">
        <v>356</v>
      </c>
      <c r="B15" t="s">
        <v>387</v>
      </c>
    </row>
    <row r="16" spans="1:2" ht="27.6">
      <c r="A16" s="3" t="s">
        <v>357</v>
      </c>
      <c r="B16" s="3" t="s">
        <v>358</v>
      </c>
    </row>
    <row r="17" spans="1:16384" ht="69">
      <c r="A17" s="3" t="s">
        <v>359</v>
      </c>
      <c r="B17" s="3" t="s">
        <v>360</v>
      </c>
    </row>
    <row r="18" spans="1:16384" ht="27.6">
      <c r="A18" s="11" t="s">
        <v>361</v>
      </c>
      <c r="B18" s="3" t="s">
        <v>324</v>
      </c>
    </row>
    <row r="19" spans="1:16384" ht="27.6">
      <c r="A19" s="3" t="s">
        <v>357</v>
      </c>
      <c r="B19" s="3" t="s">
        <v>362</v>
      </c>
    </row>
    <row r="20" spans="1:16384" ht="69">
      <c r="A20" s="3" t="s">
        <v>359</v>
      </c>
      <c r="B20" s="3" t="s">
        <v>363</v>
      </c>
    </row>
    <row r="21" spans="1:16384">
      <c r="A21" s="3"/>
      <c r="B21" s="3"/>
    </row>
    <row r="22" spans="1:16384" ht="27.6">
      <c r="A22" s="11" t="s">
        <v>364</v>
      </c>
      <c r="B22" s="3" t="s">
        <v>327</v>
      </c>
      <c r="C22" t="s">
        <v>425</v>
      </c>
      <c r="D22" t="s">
        <v>426</v>
      </c>
      <c r="E22" t="s">
        <v>427</v>
      </c>
      <c r="F22" t="s">
        <v>428</v>
      </c>
      <c r="G22" t="s">
        <v>429</v>
      </c>
      <c r="H22" t="s">
        <v>430</v>
      </c>
      <c r="I22" t="s">
        <v>431</v>
      </c>
      <c r="J22" t="s">
        <v>432</v>
      </c>
      <c r="K22" t="s">
        <v>433</v>
      </c>
      <c r="L22" t="s">
        <v>434</v>
      </c>
      <c r="M22" t="s">
        <v>435</v>
      </c>
      <c r="N22" t="s">
        <v>436</v>
      </c>
      <c r="O22" t="s">
        <v>437</v>
      </c>
      <c r="P22" t="s">
        <v>438</v>
      </c>
      <c r="Q22" t="s">
        <v>439</v>
      </c>
      <c r="R22" t="s">
        <v>440</v>
      </c>
      <c r="S22" t="s">
        <v>441</v>
      </c>
      <c r="T22" t="s">
        <v>442</v>
      </c>
      <c r="U22" t="s">
        <v>443</v>
      </c>
      <c r="V22" t="s">
        <v>444</v>
      </c>
      <c r="W22" t="s">
        <v>445</v>
      </c>
      <c r="X22" t="s">
        <v>446</v>
      </c>
      <c r="Y22" t="s">
        <v>447</v>
      </c>
      <c r="Z22" t="s">
        <v>448</v>
      </c>
      <c r="AA22" t="s">
        <v>449</v>
      </c>
      <c r="AB22" t="s">
        <v>450</v>
      </c>
      <c r="AC22" t="s">
        <v>451</v>
      </c>
      <c r="AD22" t="s">
        <v>452</v>
      </c>
      <c r="AE22" t="s">
        <v>453</v>
      </c>
      <c r="AF22" t="s">
        <v>454</v>
      </c>
      <c r="AG22" t="s">
        <v>455</v>
      </c>
      <c r="AH22" t="s">
        <v>456</v>
      </c>
      <c r="AI22" t="s">
        <v>457</v>
      </c>
      <c r="AJ22" t="s">
        <v>458</v>
      </c>
      <c r="AK22" t="s">
        <v>459</v>
      </c>
      <c r="AL22" t="s">
        <v>460</v>
      </c>
      <c r="AM22" t="s">
        <v>461</v>
      </c>
      <c r="AN22" t="s">
        <v>462</v>
      </c>
      <c r="AO22" t="s">
        <v>463</v>
      </c>
      <c r="AP22" t="s">
        <v>464</v>
      </c>
      <c r="AQ22" t="s">
        <v>465</v>
      </c>
      <c r="AR22" t="s">
        <v>466</v>
      </c>
      <c r="AS22" t="s">
        <v>467</v>
      </c>
      <c r="AT22" t="s">
        <v>468</v>
      </c>
      <c r="AU22" t="s">
        <v>469</v>
      </c>
      <c r="AV22" t="s">
        <v>470</v>
      </c>
      <c r="AW22" t="s">
        <v>471</v>
      </c>
      <c r="AX22" t="s">
        <v>472</v>
      </c>
      <c r="AY22" t="s">
        <v>473</v>
      </c>
      <c r="AZ22" t="s">
        <v>474</v>
      </c>
      <c r="BA22" t="s">
        <v>475</v>
      </c>
      <c r="BB22" t="s">
        <v>476</v>
      </c>
      <c r="BC22" t="s">
        <v>477</v>
      </c>
      <c r="BD22" t="s">
        <v>478</v>
      </c>
      <c r="BE22" t="s">
        <v>479</v>
      </c>
      <c r="BF22" t="s">
        <v>480</v>
      </c>
      <c r="BG22" t="s">
        <v>481</v>
      </c>
      <c r="BH22" t="s">
        <v>482</v>
      </c>
      <c r="BI22" t="s">
        <v>483</v>
      </c>
      <c r="BJ22" t="s">
        <v>484</v>
      </c>
      <c r="BK22" t="s">
        <v>485</v>
      </c>
      <c r="BL22" t="s">
        <v>486</v>
      </c>
      <c r="BM22" t="s">
        <v>487</v>
      </c>
      <c r="BN22" t="s">
        <v>488</v>
      </c>
      <c r="BO22" t="s">
        <v>489</v>
      </c>
      <c r="BP22" t="s">
        <v>490</v>
      </c>
      <c r="BQ22" t="s">
        <v>491</v>
      </c>
      <c r="BR22" t="s">
        <v>492</v>
      </c>
      <c r="BS22" t="s">
        <v>493</v>
      </c>
      <c r="BT22" t="s">
        <v>494</v>
      </c>
      <c r="BU22" t="s">
        <v>495</v>
      </c>
      <c r="BV22" t="s">
        <v>496</v>
      </c>
      <c r="BW22" t="s">
        <v>497</v>
      </c>
      <c r="BX22" t="s">
        <v>498</v>
      </c>
      <c r="BY22" t="s">
        <v>499</v>
      </c>
      <c r="BZ22" t="s">
        <v>500</v>
      </c>
      <c r="CA22" t="s">
        <v>501</v>
      </c>
      <c r="CB22" t="s">
        <v>502</v>
      </c>
      <c r="CC22" t="s">
        <v>503</v>
      </c>
      <c r="CD22" t="s">
        <v>504</v>
      </c>
      <c r="CE22" t="s">
        <v>505</v>
      </c>
      <c r="CF22" t="s">
        <v>506</v>
      </c>
      <c r="CG22" t="s">
        <v>507</v>
      </c>
      <c r="CH22" t="s">
        <v>508</v>
      </c>
      <c r="CI22" t="s">
        <v>509</v>
      </c>
      <c r="CJ22" t="s">
        <v>510</v>
      </c>
      <c r="CK22" t="s">
        <v>511</v>
      </c>
      <c r="CL22" t="s">
        <v>512</v>
      </c>
      <c r="CM22" t="s">
        <v>513</v>
      </c>
      <c r="CN22" t="s">
        <v>514</v>
      </c>
      <c r="CO22" t="s">
        <v>515</v>
      </c>
      <c r="CP22" t="s">
        <v>516</v>
      </c>
      <c r="CQ22" t="s">
        <v>517</v>
      </c>
      <c r="CR22" t="s">
        <v>518</v>
      </c>
      <c r="CS22" t="s">
        <v>519</v>
      </c>
      <c r="CT22" t="s">
        <v>520</v>
      </c>
      <c r="CU22" t="s">
        <v>521</v>
      </c>
      <c r="CV22" t="s">
        <v>522</v>
      </c>
      <c r="CW22" t="s">
        <v>523</v>
      </c>
      <c r="CX22" t="s">
        <v>524</v>
      </c>
      <c r="CY22" t="s">
        <v>525</v>
      </c>
      <c r="CZ22" t="s">
        <v>526</v>
      </c>
      <c r="DA22" t="s">
        <v>527</v>
      </c>
      <c r="DB22" t="s">
        <v>528</v>
      </c>
      <c r="DC22" t="s">
        <v>529</v>
      </c>
      <c r="DD22" t="s">
        <v>530</v>
      </c>
      <c r="DE22" t="s">
        <v>531</v>
      </c>
      <c r="DF22" t="s">
        <v>532</v>
      </c>
      <c r="DG22" t="s">
        <v>533</v>
      </c>
      <c r="DH22" t="s">
        <v>534</v>
      </c>
      <c r="DI22" t="s">
        <v>535</v>
      </c>
      <c r="DJ22" t="s">
        <v>536</v>
      </c>
      <c r="DK22" t="s">
        <v>537</v>
      </c>
      <c r="DL22" t="s">
        <v>538</v>
      </c>
      <c r="DM22" t="s">
        <v>539</v>
      </c>
      <c r="DN22" t="s">
        <v>540</v>
      </c>
      <c r="DO22" t="s">
        <v>541</v>
      </c>
      <c r="DP22" t="s">
        <v>542</v>
      </c>
      <c r="DQ22" t="s">
        <v>543</v>
      </c>
      <c r="DR22" t="s">
        <v>544</v>
      </c>
      <c r="DS22" t="s">
        <v>545</v>
      </c>
      <c r="DT22" t="s">
        <v>546</v>
      </c>
      <c r="DU22" t="s">
        <v>547</v>
      </c>
      <c r="DV22" t="s">
        <v>548</v>
      </c>
      <c r="DW22" t="s">
        <v>549</v>
      </c>
      <c r="DX22" t="s">
        <v>550</v>
      </c>
      <c r="DY22" t="s">
        <v>551</v>
      </c>
      <c r="DZ22" t="s">
        <v>552</v>
      </c>
      <c r="EA22" t="s">
        <v>553</v>
      </c>
      <c r="EB22" t="s">
        <v>554</v>
      </c>
      <c r="EC22" t="s">
        <v>555</v>
      </c>
      <c r="ED22" t="s">
        <v>556</v>
      </c>
      <c r="EE22" t="s">
        <v>557</v>
      </c>
      <c r="EF22" t="s">
        <v>558</v>
      </c>
      <c r="EG22" t="s">
        <v>559</v>
      </c>
      <c r="EH22" t="s">
        <v>560</v>
      </c>
      <c r="EI22" t="s">
        <v>561</v>
      </c>
      <c r="EJ22" t="s">
        <v>562</v>
      </c>
      <c r="EK22" t="s">
        <v>563</v>
      </c>
      <c r="EL22" t="s">
        <v>564</v>
      </c>
      <c r="EM22" t="s">
        <v>565</v>
      </c>
      <c r="EN22" t="s">
        <v>566</v>
      </c>
      <c r="EO22" t="s">
        <v>567</v>
      </c>
      <c r="EP22" t="s">
        <v>568</v>
      </c>
      <c r="EQ22" t="s">
        <v>569</v>
      </c>
      <c r="ER22" t="s">
        <v>570</v>
      </c>
      <c r="ES22" t="s">
        <v>571</v>
      </c>
      <c r="ET22" t="s">
        <v>572</v>
      </c>
      <c r="EU22" t="s">
        <v>573</v>
      </c>
      <c r="EV22" t="s">
        <v>574</v>
      </c>
      <c r="EW22" t="s">
        <v>575</v>
      </c>
      <c r="EX22" t="s">
        <v>576</v>
      </c>
      <c r="EY22" t="s">
        <v>577</v>
      </c>
      <c r="EZ22" t="s">
        <v>578</v>
      </c>
      <c r="FA22" t="s">
        <v>579</v>
      </c>
      <c r="FB22" t="s">
        <v>580</v>
      </c>
      <c r="FC22" t="s">
        <v>581</v>
      </c>
      <c r="FD22" t="s">
        <v>582</v>
      </c>
      <c r="FE22" t="s">
        <v>583</v>
      </c>
      <c r="FF22" t="s">
        <v>584</v>
      </c>
      <c r="FG22" t="s">
        <v>585</v>
      </c>
      <c r="FH22" t="s">
        <v>586</v>
      </c>
      <c r="FI22" t="s">
        <v>587</v>
      </c>
      <c r="FJ22" t="s">
        <v>588</v>
      </c>
      <c r="FK22" t="s">
        <v>589</v>
      </c>
      <c r="FL22" t="s">
        <v>590</v>
      </c>
      <c r="FM22" t="s">
        <v>591</v>
      </c>
      <c r="FN22" t="s">
        <v>592</v>
      </c>
      <c r="FO22" t="s">
        <v>593</v>
      </c>
      <c r="FP22" t="s">
        <v>594</v>
      </c>
      <c r="FQ22" t="s">
        <v>595</v>
      </c>
      <c r="FR22" t="s">
        <v>596</v>
      </c>
      <c r="FS22" t="s">
        <v>597</v>
      </c>
      <c r="FT22" t="s">
        <v>598</v>
      </c>
      <c r="FU22" t="s">
        <v>599</v>
      </c>
      <c r="FV22" t="s">
        <v>600</v>
      </c>
      <c r="FW22" t="s">
        <v>601</v>
      </c>
      <c r="FX22" t="s">
        <v>602</v>
      </c>
      <c r="FY22" t="s">
        <v>603</v>
      </c>
      <c r="FZ22" t="s">
        <v>604</v>
      </c>
      <c r="GA22" t="s">
        <v>605</v>
      </c>
      <c r="GB22" t="s">
        <v>606</v>
      </c>
      <c r="GC22" t="s">
        <v>607</v>
      </c>
      <c r="GD22" t="s">
        <v>608</v>
      </c>
      <c r="GE22" t="s">
        <v>609</v>
      </c>
      <c r="GF22" t="s">
        <v>610</v>
      </c>
      <c r="GG22" t="s">
        <v>611</v>
      </c>
      <c r="GH22" t="s">
        <v>612</v>
      </c>
      <c r="GI22" t="s">
        <v>613</v>
      </c>
      <c r="GJ22" t="s">
        <v>614</v>
      </c>
      <c r="GK22" t="s">
        <v>615</v>
      </c>
      <c r="GL22" t="s">
        <v>616</v>
      </c>
      <c r="GM22" t="s">
        <v>617</v>
      </c>
      <c r="GN22" t="s">
        <v>618</v>
      </c>
      <c r="GO22" t="s">
        <v>619</v>
      </c>
      <c r="GP22" t="s">
        <v>620</v>
      </c>
      <c r="GQ22" t="s">
        <v>621</v>
      </c>
      <c r="GR22" t="s">
        <v>622</v>
      </c>
      <c r="GS22" t="s">
        <v>623</v>
      </c>
      <c r="GT22" t="s">
        <v>624</v>
      </c>
      <c r="GU22" t="s">
        <v>625</v>
      </c>
      <c r="GV22" t="s">
        <v>626</v>
      </c>
      <c r="GW22" t="s">
        <v>627</v>
      </c>
      <c r="GX22" t="s">
        <v>628</v>
      </c>
      <c r="GY22" t="s">
        <v>629</v>
      </c>
      <c r="GZ22" t="s">
        <v>630</v>
      </c>
      <c r="HA22" t="s">
        <v>631</v>
      </c>
      <c r="HB22" t="s">
        <v>632</v>
      </c>
      <c r="HC22" t="s">
        <v>633</v>
      </c>
      <c r="HD22" t="s">
        <v>634</v>
      </c>
      <c r="HE22" t="s">
        <v>635</v>
      </c>
      <c r="HF22" t="s">
        <v>636</v>
      </c>
      <c r="HG22" t="s">
        <v>637</v>
      </c>
      <c r="HH22" t="s">
        <v>638</v>
      </c>
      <c r="HI22" t="s">
        <v>639</v>
      </c>
      <c r="HJ22" t="s">
        <v>640</v>
      </c>
      <c r="HK22" t="s">
        <v>641</v>
      </c>
      <c r="HL22" t="s">
        <v>642</v>
      </c>
      <c r="HM22" t="s">
        <v>643</v>
      </c>
      <c r="HN22" t="s">
        <v>644</v>
      </c>
      <c r="HO22" t="s">
        <v>645</v>
      </c>
      <c r="HP22" t="s">
        <v>646</v>
      </c>
      <c r="HQ22" t="s">
        <v>647</v>
      </c>
      <c r="HR22" t="s">
        <v>648</v>
      </c>
      <c r="HS22" t="s">
        <v>649</v>
      </c>
      <c r="HT22" t="s">
        <v>650</v>
      </c>
      <c r="HU22" t="s">
        <v>651</v>
      </c>
      <c r="HV22" t="s">
        <v>652</v>
      </c>
      <c r="HW22" t="s">
        <v>653</v>
      </c>
      <c r="HX22" t="s">
        <v>654</v>
      </c>
      <c r="HY22" t="s">
        <v>655</v>
      </c>
      <c r="HZ22" t="s">
        <v>656</v>
      </c>
      <c r="IA22" t="s">
        <v>657</v>
      </c>
      <c r="IB22" t="s">
        <v>658</v>
      </c>
      <c r="IC22" t="s">
        <v>659</v>
      </c>
      <c r="ID22" t="s">
        <v>660</v>
      </c>
      <c r="IE22" t="s">
        <v>661</v>
      </c>
      <c r="IF22" t="s">
        <v>662</v>
      </c>
      <c r="IG22" t="s">
        <v>663</v>
      </c>
      <c r="IH22" t="s">
        <v>664</v>
      </c>
      <c r="II22" t="s">
        <v>665</v>
      </c>
      <c r="IJ22" t="s">
        <v>666</v>
      </c>
      <c r="IK22" t="s">
        <v>667</v>
      </c>
      <c r="IL22" t="s">
        <v>668</v>
      </c>
      <c r="IM22" t="s">
        <v>669</v>
      </c>
      <c r="IN22" t="s">
        <v>670</v>
      </c>
      <c r="IO22" t="s">
        <v>671</v>
      </c>
      <c r="IP22" t="s">
        <v>672</v>
      </c>
      <c r="IQ22" t="s">
        <v>673</v>
      </c>
      <c r="IR22" t="s">
        <v>674</v>
      </c>
      <c r="IS22" t="s">
        <v>675</v>
      </c>
      <c r="IT22" t="s">
        <v>676</v>
      </c>
      <c r="IU22" t="s">
        <v>677</v>
      </c>
      <c r="IV22" t="s">
        <v>678</v>
      </c>
      <c r="IW22" t="s">
        <v>679</v>
      </c>
      <c r="IX22" t="s">
        <v>680</v>
      </c>
      <c r="IY22" t="s">
        <v>681</v>
      </c>
      <c r="IZ22" t="s">
        <v>682</v>
      </c>
      <c r="JA22" t="s">
        <v>683</v>
      </c>
      <c r="JB22" t="s">
        <v>684</v>
      </c>
      <c r="JC22" t="s">
        <v>685</v>
      </c>
      <c r="JD22" t="s">
        <v>686</v>
      </c>
      <c r="JE22" t="s">
        <v>687</v>
      </c>
      <c r="JF22" t="s">
        <v>688</v>
      </c>
      <c r="JG22" t="s">
        <v>689</v>
      </c>
      <c r="JH22" t="s">
        <v>690</v>
      </c>
      <c r="JI22" t="s">
        <v>691</v>
      </c>
      <c r="JJ22" t="s">
        <v>692</v>
      </c>
      <c r="JK22" t="s">
        <v>693</v>
      </c>
      <c r="JL22" t="s">
        <v>694</v>
      </c>
      <c r="JM22" t="s">
        <v>695</v>
      </c>
      <c r="JN22" t="s">
        <v>696</v>
      </c>
      <c r="JO22" t="s">
        <v>697</v>
      </c>
      <c r="JP22" t="s">
        <v>698</v>
      </c>
      <c r="JQ22" t="s">
        <v>699</v>
      </c>
      <c r="JR22" t="s">
        <v>700</v>
      </c>
      <c r="JS22" t="s">
        <v>701</v>
      </c>
      <c r="JT22" t="s">
        <v>702</v>
      </c>
      <c r="JU22" t="s">
        <v>703</v>
      </c>
      <c r="JV22" t="s">
        <v>704</v>
      </c>
      <c r="JW22" t="s">
        <v>705</v>
      </c>
      <c r="JX22" t="s">
        <v>706</v>
      </c>
      <c r="JY22" t="s">
        <v>707</v>
      </c>
      <c r="JZ22" t="s">
        <v>708</v>
      </c>
      <c r="KA22" t="s">
        <v>709</v>
      </c>
      <c r="KB22" t="s">
        <v>710</v>
      </c>
      <c r="KC22" t="s">
        <v>711</v>
      </c>
      <c r="KD22" t="s">
        <v>712</v>
      </c>
      <c r="KE22" t="s">
        <v>713</v>
      </c>
      <c r="KF22" t="s">
        <v>714</v>
      </c>
      <c r="KG22" t="s">
        <v>715</v>
      </c>
      <c r="KH22" t="s">
        <v>716</v>
      </c>
      <c r="KI22" t="s">
        <v>717</v>
      </c>
      <c r="KJ22" t="s">
        <v>718</v>
      </c>
      <c r="KK22" t="s">
        <v>719</v>
      </c>
      <c r="KL22" t="s">
        <v>720</v>
      </c>
      <c r="KM22" t="s">
        <v>721</v>
      </c>
      <c r="KN22" t="s">
        <v>722</v>
      </c>
      <c r="KO22" t="s">
        <v>723</v>
      </c>
      <c r="KP22" t="s">
        <v>724</v>
      </c>
      <c r="KQ22" t="s">
        <v>725</v>
      </c>
      <c r="KR22" t="s">
        <v>726</v>
      </c>
      <c r="KS22" t="s">
        <v>727</v>
      </c>
      <c r="KT22" t="s">
        <v>728</v>
      </c>
      <c r="KU22" t="s">
        <v>729</v>
      </c>
      <c r="KV22" t="s">
        <v>730</v>
      </c>
      <c r="KW22" t="s">
        <v>731</v>
      </c>
      <c r="KX22" t="s">
        <v>732</v>
      </c>
      <c r="KY22" t="s">
        <v>733</v>
      </c>
      <c r="KZ22" t="s">
        <v>734</v>
      </c>
      <c r="LA22" t="s">
        <v>735</v>
      </c>
      <c r="LB22" t="s">
        <v>736</v>
      </c>
      <c r="LC22" t="s">
        <v>737</v>
      </c>
      <c r="LD22" t="s">
        <v>738</v>
      </c>
      <c r="LE22" t="s">
        <v>739</v>
      </c>
      <c r="LF22" t="s">
        <v>740</v>
      </c>
      <c r="LG22" t="s">
        <v>741</v>
      </c>
      <c r="LH22" t="s">
        <v>742</v>
      </c>
      <c r="LI22" t="s">
        <v>743</v>
      </c>
      <c r="LJ22" t="s">
        <v>744</v>
      </c>
      <c r="LK22" t="s">
        <v>745</v>
      </c>
      <c r="LL22" t="s">
        <v>746</v>
      </c>
      <c r="LM22" t="s">
        <v>747</v>
      </c>
      <c r="LN22" t="s">
        <v>748</v>
      </c>
      <c r="LO22" t="s">
        <v>749</v>
      </c>
      <c r="LP22" t="s">
        <v>750</v>
      </c>
      <c r="LQ22" t="s">
        <v>751</v>
      </c>
      <c r="LR22" t="s">
        <v>752</v>
      </c>
      <c r="LS22" t="s">
        <v>753</v>
      </c>
      <c r="LT22" t="s">
        <v>754</v>
      </c>
      <c r="LU22" t="s">
        <v>755</v>
      </c>
      <c r="LV22" t="s">
        <v>756</v>
      </c>
      <c r="LW22" t="s">
        <v>757</v>
      </c>
      <c r="LX22" t="s">
        <v>758</v>
      </c>
      <c r="LY22" t="s">
        <v>759</v>
      </c>
      <c r="LZ22" t="s">
        <v>760</v>
      </c>
      <c r="MA22" t="s">
        <v>761</v>
      </c>
      <c r="MB22" t="s">
        <v>762</v>
      </c>
      <c r="MC22" t="s">
        <v>763</v>
      </c>
      <c r="MD22" t="s">
        <v>764</v>
      </c>
      <c r="ME22" t="s">
        <v>765</v>
      </c>
      <c r="MF22" t="s">
        <v>766</v>
      </c>
      <c r="MG22" t="s">
        <v>767</v>
      </c>
      <c r="MH22" t="s">
        <v>768</v>
      </c>
      <c r="MI22" t="s">
        <v>769</v>
      </c>
      <c r="MJ22" t="s">
        <v>770</v>
      </c>
      <c r="MK22" t="s">
        <v>771</v>
      </c>
      <c r="ML22" t="s">
        <v>772</v>
      </c>
      <c r="MM22" t="s">
        <v>773</v>
      </c>
      <c r="MN22" t="s">
        <v>774</v>
      </c>
      <c r="MO22" t="s">
        <v>775</v>
      </c>
      <c r="MP22" t="s">
        <v>776</v>
      </c>
      <c r="MQ22" t="s">
        <v>777</v>
      </c>
      <c r="MR22" t="s">
        <v>778</v>
      </c>
      <c r="MS22" t="s">
        <v>779</v>
      </c>
      <c r="MT22" t="s">
        <v>780</v>
      </c>
      <c r="MU22" t="s">
        <v>781</v>
      </c>
      <c r="MV22" t="s">
        <v>782</v>
      </c>
      <c r="MW22" t="s">
        <v>783</v>
      </c>
      <c r="MX22" t="s">
        <v>784</v>
      </c>
      <c r="MY22" t="s">
        <v>785</v>
      </c>
      <c r="MZ22" t="s">
        <v>786</v>
      </c>
      <c r="NA22" t="s">
        <v>787</v>
      </c>
      <c r="NB22" t="s">
        <v>788</v>
      </c>
      <c r="NC22" t="s">
        <v>789</v>
      </c>
      <c r="ND22" t="s">
        <v>790</v>
      </c>
      <c r="NE22" t="s">
        <v>791</v>
      </c>
      <c r="NF22" t="s">
        <v>792</v>
      </c>
      <c r="NG22" t="s">
        <v>793</v>
      </c>
      <c r="NH22" t="s">
        <v>794</v>
      </c>
      <c r="NI22" t="s">
        <v>795</v>
      </c>
      <c r="NJ22" t="s">
        <v>796</v>
      </c>
      <c r="NK22" t="s">
        <v>797</v>
      </c>
      <c r="NL22" t="s">
        <v>798</v>
      </c>
      <c r="NM22" t="s">
        <v>799</v>
      </c>
      <c r="NN22" t="s">
        <v>800</v>
      </c>
      <c r="NO22" t="s">
        <v>801</v>
      </c>
      <c r="NP22" t="s">
        <v>802</v>
      </c>
      <c r="NQ22" t="s">
        <v>803</v>
      </c>
      <c r="NR22" t="s">
        <v>804</v>
      </c>
      <c r="NS22" t="s">
        <v>805</v>
      </c>
      <c r="NT22" t="s">
        <v>806</v>
      </c>
      <c r="NU22" t="s">
        <v>807</v>
      </c>
      <c r="NV22" t="s">
        <v>808</v>
      </c>
      <c r="NW22" t="s">
        <v>809</v>
      </c>
      <c r="NX22" t="s">
        <v>810</v>
      </c>
      <c r="NY22" t="s">
        <v>811</v>
      </c>
      <c r="NZ22" t="s">
        <v>812</v>
      </c>
      <c r="OA22" t="s">
        <v>813</v>
      </c>
      <c r="OB22" t="s">
        <v>814</v>
      </c>
      <c r="OC22" t="s">
        <v>815</v>
      </c>
      <c r="OD22" t="s">
        <v>816</v>
      </c>
      <c r="OE22" t="s">
        <v>817</v>
      </c>
      <c r="OF22" t="s">
        <v>818</v>
      </c>
      <c r="OG22" t="s">
        <v>819</v>
      </c>
      <c r="OH22" t="s">
        <v>820</v>
      </c>
      <c r="OI22" t="s">
        <v>821</v>
      </c>
      <c r="OJ22" t="s">
        <v>822</v>
      </c>
      <c r="OK22" t="s">
        <v>823</v>
      </c>
      <c r="OL22" t="s">
        <v>824</v>
      </c>
      <c r="OM22" t="s">
        <v>825</v>
      </c>
      <c r="ON22" t="s">
        <v>826</v>
      </c>
      <c r="OO22" t="s">
        <v>827</v>
      </c>
      <c r="OP22" t="s">
        <v>828</v>
      </c>
      <c r="OQ22" t="s">
        <v>829</v>
      </c>
      <c r="OR22" t="s">
        <v>830</v>
      </c>
      <c r="OS22" t="s">
        <v>831</v>
      </c>
      <c r="OT22" t="s">
        <v>832</v>
      </c>
      <c r="OU22" t="s">
        <v>833</v>
      </c>
      <c r="OV22" t="s">
        <v>834</v>
      </c>
      <c r="OW22" t="s">
        <v>835</v>
      </c>
      <c r="OX22" t="s">
        <v>836</v>
      </c>
      <c r="OY22" t="s">
        <v>837</v>
      </c>
      <c r="OZ22" t="s">
        <v>838</v>
      </c>
      <c r="PA22" t="s">
        <v>839</v>
      </c>
      <c r="PB22" t="s">
        <v>840</v>
      </c>
      <c r="PC22" t="s">
        <v>841</v>
      </c>
      <c r="PD22" t="s">
        <v>842</v>
      </c>
      <c r="PE22" t="s">
        <v>843</v>
      </c>
      <c r="PF22" t="s">
        <v>844</v>
      </c>
      <c r="PG22" t="s">
        <v>845</v>
      </c>
      <c r="PH22" t="s">
        <v>846</v>
      </c>
      <c r="PI22" t="s">
        <v>847</v>
      </c>
      <c r="PJ22" t="s">
        <v>848</v>
      </c>
      <c r="PK22" t="s">
        <v>849</v>
      </c>
      <c r="PL22" t="s">
        <v>850</v>
      </c>
      <c r="PM22" t="s">
        <v>851</v>
      </c>
      <c r="PN22" t="s">
        <v>852</v>
      </c>
      <c r="PO22" t="s">
        <v>853</v>
      </c>
      <c r="PP22" t="s">
        <v>854</v>
      </c>
      <c r="PQ22" t="s">
        <v>855</v>
      </c>
      <c r="PR22" t="s">
        <v>856</v>
      </c>
      <c r="PS22" t="s">
        <v>857</v>
      </c>
      <c r="PT22" t="s">
        <v>858</v>
      </c>
      <c r="PU22" t="s">
        <v>859</v>
      </c>
      <c r="PV22" t="s">
        <v>860</v>
      </c>
      <c r="PW22" t="s">
        <v>861</v>
      </c>
      <c r="PX22" t="s">
        <v>862</v>
      </c>
      <c r="PY22" t="s">
        <v>863</v>
      </c>
      <c r="PZ22" t="s">
        <v>864</v>
      </c>
      <c r="QA22" t="s">
        <v>865</v>
      </c>
      <c r="QB22" t="s">
        <v>866</v>
      </c>
      <c r="QC22" t="s">
        <v>867</v>
      </c>
      <c r="QD22" t="s">
        <v>868</v>
      </c>
      <c r="QE22" t="s">
        <v>869</v>
      </c>
      <c r="QF22" t="s">
        <v>870</v>
      </c>
      <c r="QG22" t="s">
        <v>871</v>
      </c>
      <c r="QH22" t="s">
        <v>872</v>
      </c>
      <c r="QI22" t="s">
        <v>873</v>
      </c>
      <c r="QJ22" t="s">
        <v>874</v>
      </c>
      <c r="QK22" t="s">
        <v>875</v>
      </c>
      <c r="QL22" t="s">
        <v>876</v>
      </c>
      <c r="QM22" t="s">
        <v>877</v>
      </c>
      <c r="QN22" t="s">
        <v>878</v>
      </c>
      <c r="QO22" t="s">
        <v>879</v>
      </c>
      <c r="QP22" t="s">
        <v>880</v>
      </c>
      <c r="QQ22" t="s">
        <v>881</v>
      </c>
      <c r="QR22" t="s">
        <v>882</v>
      </c>
      <c r="QS22" t="s">
        <v>883</v>
      </c>
      <c r="QT22" t="s">
        <v>884</v>
      </c>
      <c r="QU22" t="s">
        <v>885</v>
      </c>
      <c r="QV22" t="s">
        <v>886</v>
      </c>
      <c r="QW22" t="s">
        <v>887</v>
      </c>
      <c r="QX22" t="s">
        <v>888</v>
      </c>
      <c r="QY22" t="s">
        <v>889</v>
      </c>
      <c r="QZ22" t="s">
        <v>890</v>
      </c>
      <c r="RA22" t="s">
        <v>891</v>
      </c>
      <c r="RB22" t="s">
        <v>892</v>
      </c>
      <c r="RC22" t="s">
        <v>893</v>
      </c>
      <c r="RD22" t="s">
        <v>894</v>
      </c>
      <c r="RE22" t="s">
        <v>895</v>
      </c>
      <c r="RF22" t="s">
        <v>896</v>
      </c>
      <c r="RG22" t="s">
        <v>897</v>
      </c>
      <c r="RH22" t="s">
        <v>898</v>
      </c>
      <c r="RI22" t="s">
        <v>899</v>
      </c>
      <c r="RJ22" t="s">
        <v>900</v>
      </c>
      <c r="RK22" t="s">
        <v>901</v>
      </c>
      <c r="RL22" t="s">
        <v>902</v>
      </c>
      <c r="RM22" t="s">
        <v>903</v>
      </c>
      <c r="RN22" t="s">
        <v>904</v>
      </c>
      <c r="RO22" t="s">
        <v>905</v>
      </c>
      <c r="RP22" t="s">
        <v>906</v>
      </c>
      <c r="RQ22" t="s">
        <v>907</v>
      </c>
      <c r="RR22" t="s">
        <v>908</v>
      </c>
      <c r="RS22" t="s">
        <v>909</v>
      </c>
      <c r="RT22" t="s">
        <v>910</v>
      </c>
      <c r="RU22" t="s">
        <v>911</v>
      </c>
      <c r="RV22" t="s">
        <v>912</v>
      </c>
      <c r="RW22" t="s">
        <v>913</v>
      </c>
      <c r="RX22" t="s">
        <v>914</v>
      </c>
      <c r="RY22" t="s">
        <v>915</v>
      </c>
      <c r="RZ22" t="s">
        <v>916</v>
      </c>
      <c r="SA22" t="s">
        <v>917</v>
      </c>
      <c r="SB22" t="s">
        <v>918</v>
      </c>
      <c r="SC22" t="s">
        <v>919</v>
      </c>
      <c r="SD22" t="s">
        <v>920</v>
      </c>
      <c r="SE22" t="s">
        <v>921</v>
      </c>
      <c r="SF22" t="s">
        <v>922</v>
      </c>
      <c r="SG22" t="s">
        <v>923</v>
      </c>
      <c r="SH22" t="s">
        <v>924</v>
      </c>
      <c r="SI22" t="s">
        <v>925</v>
      </c>
      <c r="SJ22" t="s">
        <v>926</v>
      </c>
      <c r="SK22" t="s">
        <v>927</v>
      </c>
      <c r="SL22" t="s">
        <v>928</v>
      </c>
      <c r="SM22" t="s">
        <v>929</v>
      </c>
      <c r="SN22" t="s">
        <v>930</v>
      </c>
      <c r="SO22" t="s">
        <v>931</v>
      </c>
      <c r="SP22" t="s">
        <v>932</v>
      </c>
      <c r="SQ22" t="s">
        <v>933</v>
      </c>
      <c r="SR22" t="s">
        <v>934</v>
      </c>
      <c r="SS22" t="s">
        <v>935</v>
      </c>
      <c r="ST22" t="s">
        <v>936</v>
      </c>
      <c r="SU22" t="s">
        <v>937</v>
      </c>
      <c r="SV22" t="s">
        <v>938</v>
      </c>
      <c r="SW22" t="s">
        <v>939</v>
      </c>
      <c r="SX22" t="s">
        <v>940</v>
      </c>
      <c r="SY22" t="s">
        <v>941</v>
      </c>
      <c r="SZ22" t="s">
        <v>942</v>
      </c>
      <c r="TA22" t="s">
        <v>943</v>
      </c>
      <c r="TB22" t="s">
        <v>944</v>
      </c>
      <c r="TC22" t="s">
        <v>945</v>
      </c>
      <c r="TD22" t="s">
        <v>946</v>
      </c>
      <c r="TE22" t="s">
        <v>947</v>
      </c>
      <c r="TF22" t="s">
        <v>948</v>
      </c>
      <c r="TG22" t="s">
        <v>949</v>
      </c>
      <c r="TH22" t="s">
        <v>950</v>
      </c>
      <c r="TI22" t="s">
        <v>951</v>
      </c>
      <c r="TJ22" t="s">
        <v>952</v>
      </c>
      <c r="TK22" t="s">
        <v>953</v>
      </c>
      <c r="TL22" t="s">
        <v>954</v>
      </c>
      <c r="TM22" t="s">
        <v>955</v>
      </c>
      <c r="TN22" t="s">
        <v>956</v>
      </c>
      <c r="TO22" t="s">
        <v>957</v>
      </c>
      <c r="TP22" t="s">
        <v>958</v>
      </c>
      <c r="TQ22" t="s">
        <v>959</v>
      </c>
      <c r="TR22" t="s">
        <v>960</v>
      </c>
      <c r="TS22" t="s">
        <v>961</v>
      </c>
      <c r="TT22" t="s">
        <v>962</v>
      </c>
      <c r="TU22" t="s">
        <v>963</v>
      </c>
      <c r="TV22" t="s">
        <v>964</v>
      </c>
      <c r="TW22" t="s">
        <v>965</v>
      </c>
      <c r="TX22" t="s">
        <v>966</v>
      </c>
      <c r="TY22" t="s">
        <v>967</v>
      </c>
      <c r="TZ22" t="s">
        <v>968</v>
      </c>
      <c r="UA22" t="s">
        <v>969</v>
      </c>
      <c r="UB22" t="s">
        <v>970</v>
      </c>
      <c r="UC22" t="s">
        <v>971</v>
      </c>
      <c r="UD22" t="s">
        <v>972</v>
      </c>
      <c r="UE22" t="s">
        <v>973</v>
      </c>
      <c r="UF22" t="s">
        <v>974</v>
      </c>
      <c r="UG22" t="s">
        <v>975</v>
      </c>
      <c r="UH22" t="s">
        <v>976</v>
      </c>
      <c r="UI22" t="s">
        <v>977</v>
      </c>
      <c r="UJ22" t="s">
        <v>978</v>
      </c>
      <c r="UK22" t="s">
        <v>979</v>
      </c>
      <c r="UL22" t="s">
        <v>980</v>
      </c>
      <c r="UM22" t="s">
        <v>981</v>
      </c>
      <c r="UN22" t="s">
        <v>982</v>
      </c>
      <c r="UO22" t="s">
        <v>983</v>
      </c>
      <c r="UP22" t="s">
        <v>984</v>
      </c>
      <c r="UQ22" t="s">
        <v>985</v>
      </c>
      <c r="UR22" t="s">
        <v>986</v>
      </c>
      <c r="US22" t="s">
        <v>987</v>
      </c>
      <c r="UT22" t="s">
        <v>988</v>
      </c>
      <c r="UU22" t="s">
        <v>989</v>
      </c>
      <c r="UV22" t="s">
        <v>990</v>
      </c>
      <c r="UW22" t="s">
        <v>991</v>
      </c>
      <c r="UX22" t="s">
        <v>992</v>
      </c>
      <c r="UY22" t="s">
        <v>993</v>
      </c>
      <c r="UZ22" t="s">
        <v>994</v>
      </c>
      <c r="VA22" t="s">
        <v>995</v>
      </c>
      <c r="VB22" t="s">
        <v>996</v>
      </c>
      <c r="VC22" t="s">
        <v>997</v>
      </c>
      <c r="VD22" t="s">
        <v>998</v>
      </c>
      <c r="VE22" t="s">
        <v>999</v>
      </c>
      <c r="VF22" t="s">
        <v>1000</v>
      </c>
      <c r="VG22" t="s">
        <v>1001</v>
      </c>
      <c r="VH22" t="s">
        <v>1002</v>
      </c>
      <c r="VI22" t="s">
        <v>1003</v>
      </c>
      <c r="VJ22" t="s">
        <v>1004</v>
      </c>
      <c r="VK22" t="s">
        <v>1005</v>
      </c>
      <c r="VL22" t="s">
        <v>1006</v>
      </c>
      <c r="VM22" t="s">
        <v>1007</v>
      </c>
      <c r="VN22" t="s">
        <v>1008</v>
      </c>
      <c r="VO22" t="s">
        <v>1009</v>
      </c>
      <c r="VP22" t="s">
        <v>1010</v>
      </c>
      <c r="VQ22" t="s">
        <v>1011</v>
      </c>
      <c r="VR22" t="s">
        <v>1012</v>
      </c>
      <c r="VS22" t="s">
        <v>1013</v>
      </c>
      <c r="VT22" t="s">
        <v>1014</v>
      </c>
      <c r="VU22" t="s">
        <v>1015</v>
      </c>
      <c r="VV22" t="s">
        <v>1016</v>
      </c>
      <c r="VW22" t="s">
        <v>1017</v>
      </c>
      <c r="VX22" t="s">
        <v>1018</v>
      </c>
      <c r="VY22" t="s">
        <v>1019</v>
      </c>
      <c r="VZ22" t="s">
        <v>1020</v>
      </c>
      <c r="WA22" t="s">
        <v>1021</v>
      </c>
      <c r="WB22" t="s">
        <v>1022</v>
      </c>
      <c r="WC22" t="s">
        <v>1023</v>
      </c>
      <c r="WD22" t="s">
        <v>1024</v>
      </c>
      <c r="WE22" t="s">
        <v>1025</v>
      </c>
      <c r="WF22" t="s">
        <v>1026</v>
      </c>
      <c r="WG22" t="s">
        <v>1027</v>
      </c>
      <c r="WH22" t="s">
        <v>1028</v>
      </c>
      <c r="WI22" t="s">
        <v>1029</v>
      </c>
      <c r="WJ22" t="s">
        <v>1030</v>
      </c>
      <c r="WK22" t="s">
        <v>1031</v>
      </c>
      <c r="WL22" t="s">
        <v>1032</v>
      </c>
      <c r="WM22" t="s">
        <v>1033</v>
      </c>
      <c r="WN22" t="s">
        <v>1034</v>
      </c>
      <c r="WO22" t="s">
        <v>1035</v>
      </c>
      <c r="WP22" t="s">
        <v>1036</v>
      </c>
      <c r="WQ22" t="s">
        <v>1037</v>
      </c>
      <c r="WR22" t="s">
        <v>1038</v>
      </c>
      <c r="WS22" t="s">
        <v>1039</v>
      </c>
      <c r="WT22" t="s">
        <v>1040</v>
      </c>
      <c r="WU22" t="s">
        <v>1041</v>
      </c>
      <c r="WV22" t="s">
        <v>1042</v>
      </c>
      <c r="WW22" t="s">
        <v>1043</v>
      </c>
      <c r="WX22" t="s">
        <v>1044</v>
      </c>
      <c r="WY22" t="s">
        <v>1045</v>
      </c>
      <c r="WZ22" t="s">
        <v>1046</v>
      </c>
      <c r="XA22" t="s">
        <v>1047</v>
      </c>
      <c r="XB22" t="s">
        <v>1048</v>
      </c>
      <c r="XC22" t="s">
        <v>1049</v>
      </c>
      <c r="XD22" t="s">
        <v>1050</v>
      </c>
      <c r="XE22" t="s">
        <v>1051</v>
      </c>
      <c r="XF22" t="s">
        <v>1052</v>
      </c>
      <c r="XG22" t="s">
        <v>1053</v>
      </c>
      <c r="XH22" t="s">
        <v>1054</v>
      </c>
      <c r="XI22" t="s">
        <v>1055</v>
      </c>
      <c r="XJ22" t="s">
        <v>1056</v>
      </c>
      <c r="XK22" t="s">
        <v>1057</v>
      </c>
      <c r="XL22" t="s">
        <v>1058</v>
      </c>
      <c r="XM22" t="s">
        <v>1059</v>
      </c>
      <c r="XN22" t="s">
        <v>1060</v>
      </c>
      <c r="XO22" t="s">
        <v>1061</v>
      </c>
      <c r="XP22" t="s">
        <v>1062</v>
      </c>
      <c r="XQ22" t="s">
        <v>1063</v>
      </c>
      <c r="XR22" t="s">
        <v>1064</v>
      </c>
      <c r="XS22" t="s">
        <v>1065</v>
      </c>
      <c r="XT22" t="s">
        <v>1066</v>
      </c>
      <c r="XU22" t="s">
        <v>1067</v>
      </c>
      <c r="XV22" t="s">
        <v>1068</v>
      </c>
      <c r="XW22" t="s">
        <v>1069</v>
      </c>
      <c r="XX22" t="s">
        <v>1070</v>
      </c>
      <c r="XY22" t="s">
        <v>1071</v>
      </c>
      <c r="XZ22" t="s">
        <v>1072</v>
      </c>
      <c r="YA22" t="s">
        <v>1073</v>
      </c>
      <c r="YB22" t="s">
        <v>1074</v>
      </c>
      <c r="YC22" t="s">
        <v>1075</v>
      </c>
      <c r="YD22" t="s">
        <v>1076</v>
      </c>
      <c r="YE22" t="s">
        <v>1077</v>
      </c>
      <c r="YF22" t="s">
        <v>1078</v>
      </c>
      <c r="YG22" t="s">
        <v>1079</v>
      </c>
      <c r="YH22" t="s">
        <v>1080</v>
      </c>
      <c r="YI22" t="s">
        <v>1081</v>
      </c>
      <c r="YJ22" t="s">
        <v>1082</v>
      </c>
      <c r="YK22" t="s">
        <v>1083</v>
      </c>
      <c r="YL22" t="s">
        <v>1084</v>
      </c>
      <c r="YM22" t="s">
        <v>1085</v>
      </c>
      <c r="YN22" t="s">
        <v>1086</v>
      </c>
      <c r="YO22" t="s">
        <v>1087</v>
      </c>
      <c r="YP22" t="s">
        <v>1088</v>
      </c>
      <c r="YQ22" t="s">
        <v>1089</v>
      </c>
      <c r="YR22" t="s">
        <v>1090</v>
      </c>
      <c r="YS22" t="s">
        <v>1091</v>
      </c>
      <c r="YT22" t="s">
        <v>1092</v>
      </c>
      <c r="YU22" t="s">
        <v>1093</v>
      </c>
      <c r="YV22" t="s">
        <v>1094</v>
      </c>
      <c r="YW22" t="s">
        <v>1095</v>
      </c>
      <c r="YX22" t="s">
        <v>1096</v>
      </c>
      <c r="YY22" t="s">
        <v>1097</v>
      </c>
      <c r="YZ22" t="s">
        <v>1098</v>
      </c>
      <c r="ZA22" t="s">
        <v>1099</v>
      </c>
      <c r="ZB22" t="s">
        <v>1100</v>
      </c>
      <c r="ZC22" t="s">
        <v>1101</v>
      </c>
      <c r="ZD22" t="s">
        <v>1102</v>
      </c>
      <c r="ZE22" t="s">
        <v>1103</v>
      </c>
      <c r="ZF22" t="s">
        <v>1104</v>
      </c>
      <c r="ZG22" t="s">
        <v>1105</v>
      </c>
      <c r="ZH22" t="s">
        <v>1106</v>
      </c>
      <c r="ZI22" t="s">
        <v>1107</v>
      </c>
      <c r="ZJ22" t="s">
        <v>1108</v>
      </c>
      <c r="ZK22" t="s">
        <v>1109</v>
      </c>
      <c r="ZL22" t="s">
        <v>1110</v>
      </c>
      <c r="ZM22" t="s">
        <v>1111</v>
      </c>
      <c r="ZN22" t="s">
        <v>1112</v>
      </c>
      <c r="ZO22" t="s">
        <v>1113</v>
      </c>
      <c r="ZP22" t="s">
        <v>1114</v>
      </c>
      <c r="ZQ22" t="s">
        <v>1115</v>
      </c>
      <c r="ZR22" t="s">
        <v>1116</v>
      </c>
      <c r="ZS22" t="s">
        <v>1117</v>
      </c>
      <c r="ZT22" t="s">
        <v>1118</v>
      </c>
      <c r="ZU22" t="s">
        <v>1119</v>
      </c>
      <c r="ZV22" t="s">
        <v>1120</v>
      </c>
      <c r="ZW22" t="s">
        <v>1121</v>
      </c>
      <c r="ZX22" t="s">
        <v>1122</v>
      </c>
      <c r="ZY22" t="s">
        <v>1123</v>
      </c>
      <c r="ZZ22" t="s">
        <v>1124</v>
      </c>
      <c r="AAA22" t="s">
        <v>1125</v>
      </c>
      <c r="AAB22" t="s">
        <v>1126</v>
      </c>
      <c r="AAC22" t="s">
        <v>1127</v>
      </c>
      <c r="AAD22" t="s">
        <v>1128</v>
      </c>
      <c r="AAE22" t="s">
        <v>1129</v>
      </c>
      <c r="AAF22" t="s">
        <v>1130</v>
      </c>
      <c r="AAG22" t="s">
        <v>1131</v>
      </c>
      <c r="AAH22" t="s">
        <v>1132</v>
      </c>
      <c r="AAI22" t="s">
        <v>1133</v>
      </c>
      <c r="AAJ22" t="s">
        <v>1134</v>
      </c>
      <c r="AAK22" t="s">
        <v>1135</v>
      </c>
      <c r="AAL22" t="s">
        <v>1136</v>
      </c>
      <c r="AAM22" t="s">
        <v>1137</v>
      </c>
      <c r="AAN22" t="s">
        <v>1138</v>
      </c>
      <c r="AAO22" t="s">
        <v>1139</v>
      </c>
      <c r="AAP22" t="s">
        <v>1140</v>
      </c>
      <c r="AAQ22" t="s">
        <v>1141</v>
      </c>
      <c r="AAR22" t="s">
        <v>1142</v>
      </c>
      <c r="AAS22" t="s">
        <v>1143</v>
      </c>
      <c r="AAT22" t="s">
        <v>1144</v>
      </c>
      <c r="AAU22" t="s">
        <v>1145</v>
      </c>
      <c r="AAV22" t="s">
        <v>1146</v>
      </c>
      <c r="AAW22" t="s">
        <v>1147</v>
      </c>
      <c r="AAX22" t="s">
        <v>1148</v>
      </c>
      <c r="AAY22" t="s">
        <v>1149</v>
      </c>
      <c r="AAZ22" t="s">
        <v>1150</v>
      </c>
      <c r="ABA22" t="s">
        <v>1151</v>
      </c>
      <c r="ABB22" t="s">
        <v>1152</v>
      </c>
      <c r="ABC22" t="s">
        <v>1153</v>
      </c>
      <c r="ABD22" t="s">
        <v>1154</v>
      </c>
      <c r="ABE22" t="s">
        <v>1155</v>
      </c>
      <c r="ABF22" t="s">
        <v>1156</v>
      </c>
      <c r="ABG22" t="s">
        <v>1157</v>
      </c>
      <c r="ABH22" t="s">
        <v>1158</v>
      </c>
      <c r="ABI22" t="s">
        <v>1159</v>
      </c>
      <c r="ABJ22" t="s">
        <v>1160</v>
      </c>
      <c r="ABK22" t="s">
        <v>1161</v>
      </c>
      <c r="ABL22" t="s">
        <v>1162</v>
      </c>
      <c r="ABM22" t="s">
        <v>1163</v>
      </c>
      <c r="ABN22" t="s">
        <v>1164</v>
      </c>
      <c r="ABO22" t="s">
        <v>1165</v>
      </c>
      <c r="ABP22" t="s">
        <v>1166</v>
      </c>
      <c r="ABQ22" t="s">
        <v>1167</v>
      </c>
      <c r="ABR22" t="s">
        <v>1168</v>
      </c>
      <c r="ABS22" t="s">
        <v>1169</v>
      </c>
      <c r="ABT22" t="s">
        <v>1170</v>
      </c>
      <c r="ABU22" t="s">
        <v>1171</v>
      </c>
      <c r="ABV22" t="s">
        <v>1172</v>
      </c>
      <c r="ABW22" t="s">
        <v>1173</v>
      </c>
      <c r="ABX22" t="s">
        <v>1174</v>
      </c>
      <c r="ABY22" t="s">
        <v>1175</v>
      </c>
      <c r="ABZ22" t="s">
        <v>1176</v>
      </c>
      <c r="ACA22" t="s">
        <v>1177</v>
      </c>
      <c r="ACB22" t="s">
        <v>1178</v>
      </c>
      <c r="ACC22" t="s">
        <v>1179</v>
      </c>
      <c r="ACD22" t="s">
        <v>1180</v>
      </c>
      <c r="ACE22" t="s">
        <v>1181</v>
      </c>
      <c r="ACF22" t="s">
        <v>1182</v>
      </c>
      <c r="ACG22" t="s">
        <v>1183</v>
      </c>
      <c r="ACH22" t="s">
        <v>1184</v>
      </c>
      <c r="ACI22" t="s">
        <v>1185</v>
      </c>
      <c r="ACJ22" t="s">
        <v>1186</v>
      </c>
      <c r="ACK22" t="s">
        <v>1187</v>
      </c>
      <c r="ACL22" t="s">
        <v>1188</v>
      </c>
      <c r="ACM22" t="s">
        <v>1189</v>
      </c>
      <c r="ACN22" t="s">
        <v>1190</v>
      </c>
      <c r="ACO22" t="s">
        <v>1191</v>
      </c>
      <c r="ACP22" t="s">
        <v>1192</v>
      </c>
      <c r="ACQ22" t="s">
        <v>1193</v>
      </c>
      <c r="ACR22" t="s">
        <v>1194</v>
      </c>
      <c r="ACS22" t="s">
        <v>1195</v>
      </c>
      <c r="ACT22" t="s">
        <v>1196</v>
      </c>
      <c r="ACU22" t="s">
        <v>1197</v>
      </c>
      <c r="ACV22" t="s">
        <v>1198</v>
      </c>
      <c r="ACW22" t="s">
        <v>1199</v>
      </c>
      <c r="ACX22" t="s">
        <v>1200</v>
      </c>
      <c r="ACY22" t="s">
        <v>1201</v>
      </c>
      <c r="ACZ22" t="s">
        <v>1202</v>
      </c>
      <c r="ADA22" t="s">
        <v>1203</v>
      </c>
      <c r="ADB22" t="s">
        <v>1204</v>
      </c>
      <c r="ADC22" t="s">
        <v>1205</v>
      </c>
      <c r="ADD22" t="s">
        <v>1206</v>
      </c>
      <c r="ADE22" t="s">
        <v>1207</v>
      </c>
      <c r="ADF22" t="s">
        <v>1208</v>
      </c>
      <c r="ADG22" t="s">
        <v>1209</v>
      </c>
      <c r="ADH22" t="s">
        <v>1210</v>
      </c>
      <c r="ADI22" t="s">
        <v>1211</v>
      </c>
      <c r="ADJ22" t="s">
        <v>1212</v>
      </c>
      <c r="ADK22" t="s">
        <v>1213</v>
      </c>
      <c r="ADL22" t="s">
        <v>1214</v>
      </c>
      <c r="ADM22" t="s">
        <v>1215</v>
      </c>
      <c r="ADN22" t="s">
        <v>1216</v>
      </c>
      <c r="ADO22" t="s">
        <v>1217</v>
      </c>
      <c r="ADP22" t="s">
        <v>1218</v>
      </c>
      <c r="ADQ22" t="s">
        <v>1219</v>
      </c>
      <c r="ADR22" t="s">
        <v>1220</v>
      </c>
      <c r="ADS22" t="s">
        <v>1221</v>
      </c>
      <c r="ADT22" t="s">
        <v>1222</v>
      </c>
      <c r="ADU22" t="s">
        <v>1223</v>
      </c>
      <c r="ADV22" t="s">
        <v>1224</v>
      </c>
      <c r="ADW22" t="s">
        <v>1225</v>
      </c>
      <c r="ADX22" t="s">
        <v>1226</v>
      </c>
      <c r="ADY22" t="s">
        <v>1227</v>
      </c>
      <c r="ADZ22" t="s">
        <v>1228</v>
      </c>
      <c r="AEA22" t="s">
        <v>1229</v>
      </c>
      <c r="AEB22" t="s">
        <v>1230</v>
      </c>
      <c r="AEC22" t="s">
        <v>1231</v>
      </c>
      <c r="AED22" t="s">
        <v>1232</v>
      </c>
      <c r="AEE22" t="s">
        <v>1233</v>
      </c>
      <c r="AEF22" t="s">
        <v>1234</v>
      </c>
      <c r="AEG22" t="s">
        <v>1235</v>
      </c>
      <c r="AEH22" t="s">
        <v>1236</v>
      </c>
      <c r="AEI22" t="s">
        <v>1237</v>
      </c>
      <c r="AEJ22" t="s">
        <v>1238</v>
      </c>
      <c r="AEK22" t="s">
        <v>1239</v>
      </c>
      <c r="AEL22" t="s">
        <v>1240</v>
      </c>
      <c r="AEM22" t="s">
        <v>1241</v>
      </c>
      <c r="AEN22" t="s">
        <v>1242</v>
      </c>
      <c r="AEO22" t="s">
        <v>1243</v>
      </c>
      <c r="AEP22" t="s">
        <v>1244</v>
      </c>
      <c r="AEQ22" t="s">
        <v>1245</v>
      </c>
      <c r="AER22" t="s">
        <v>1246</v>
      </c>
      <c r="AES22" t="s">
        <v>1247</v>
      </c>
      <c r="AET22" t="s">
        <v>1248</v>
      </c>
      <c r="AEU22" t="s">
        <v>1249</v>
      </c>
      <c r="AEV22" t="s">
        <v>1250</v>
      </c>
      <c r="AEW22" t="s">
        <v>1251</v>
      </c>
      <c r="AEX22" t="s">
        <v>1252</v>
      </c>
      <c r="AEY22" t="s">
        <v>1253</v>
      </c>
      <c r="AEZ22" t="s">
        <v>1254</v>
      </c>
      <c r="AFA22" t="s">
        <v>1255</v>
      </c>
      <c r="AFB22" t="s">
        <v>1256</v>
      </c>
      <c r="AFC22" t="s">
        <v>1257</v>
      </c>
      <c r="AFD22" t="s">
        <v>1258</v>
      </c>
      <c r="AFE22" t="s">
        <v>1259</v>
      </c>
      <c r="AFF22" t="s">
        <v>1260</v>
      </c>
      <c r="AFG22" t="s">
        <v>1261</v>
      </c>
      <c r="AFH22" t="s">
        <v>1262</v>
      </c>
      <c r="AFI22" t="s">
        <v>1263</v>
      </c>
      <c r="AFJ22" t="s">
        <v>1264</v>
      </c>
      <c r="AFK22" t="s">
        <v>1265</v>
      </c>
      <c r="AFL22" t="s">
        <v>1266</v>
      </c>
      <c r="AFM22" t="s">
        <v>1267</v>
      </c>
      <c r="AFN22" t="s">
        <v>1268</v>
      </c>
      <c r="AFO22" t="s">
        <v>1269</v>
      </c>
      <c r="AFP22" t="s">
        <v>1270</v>
      </c>
      <c r="AFQ22" t="s">
        <v>1271</v>
      </c>
      <c r="AFR22" t="s">
        <v>1272</v>
      </c>
      <c r="AFS22" t="s">
        <v>1273</v>
      </c>
      <c r="AFT22" t="s">
        <v>1274</v>
      </c>
      <c r="AFU22" t="s">
        <v>1275</v>
      </c>
      <c r="AFV22" t="s">
        <v>1276</v>
      </c>
      <c r="AFW22" t="s">
        <v>1277</v>
      </c>
      <c r="AFX22" t="s">
        <v>1278</v>
      </c>
      <c r="AFY22" t="s">
        <v>1279</v>
      </c>
      <c r="AFZ22" t="s">
        <v>1280</v>
      </c>
      <c r="AGA22" t="s">
        <v>1281</v>
      </c>
      <c r="AGB22" t="s">
        <v>1282</v>
      </c>
      <c r="AGC22" t="s">
        <v>1283</v>
      </c>
      <c r="AGD22" t="s">
        <v>1284</v>
      </c>
      <c r="AGE22" t="s">
        <v>1285</v>
      </c>
      <c r="AGF22" t="s">
        <v>1286</v>
      </c>
      <c r="AGG22" t="s">
        <v>1287</v>
      </c>
      <c r="AGH22" t="s">
        <v>1288</v>
      </c>
      <c r="AGI22" t="s">
        <v>1289</v>
      </c>
      <c r="AGJ22" t="s">
        <v>1290</v>
      </c>
      <c r="AGK22" t="s">
        <v>1291</v>
      </c>
      <c r="AGL22" t="s">
        <v>1292</v>
      </c>
      <c r="AGM22" t="s">
        <v>1293</v>
      </c>
      <c r="AGN22" t="s">
        <v>1294</v>
      </c>
      <c r="AGO22" t="s">
        <v>1295</v>
      </c>
      <c r="AGP22" t="s">
        <v>1296</v>
      </c>
      <c r="AGQ22" t="s">
        <v>1297</v>
      </c>
      <c r="AGR22" t="s">
        <v>1298</v>
      </c>
      <c r="AGS22" t="s">
        <v>1299</v>
      </c>
      <c r="AGT22" t="s">
        <v>1300</v>
      </c>
      <c r="AGU22" t="s">
        <v>1301</v>
      </c>
      <c r="AGV22" t="s">
        <v>1302</v>
      </c>
      <c r="AGW22" t="s">
        <v>1303</v>
      </c>
      <c r="AGX22" t="s">
        <v>1304</v>
      </c>
      <c r="AGY22" t="s">
        <v>1305</v>
      </c>
      <c r="AGZ22" t="s">
        <v>1306</v>
      </c>
      <c r="AHA22" t="s">
        <v>1307</v>
      </c>
      <c r="AHB22" t="s">
        <v>1308</v>
      </c>
      <c r="AHC22" t="s">
        <v>1309</v>
      </c>
      <c r="AHD22" t="s">
        <v>1310</v>
      </c>
      <c r="AHE22" t="s">
        <v>1311</v>
      </c>
      <c r="AHF22" t="s">
        <v>1312</v>
      </c>
      <c r="AHG22" t="s">
        <v>1313</v>
      </c>
      <c r="AHH22" t="s">
        <v>1314</v>
      </c>
      <c r="AHI22" t="s">
        <v>1315</v>
      </c>
      <c r="AHJ22" t="s">
        <v>1316</v>
      </c>
      <c r="AHK22" t="s">
        <v>1317</v>
      </c>
      <c r="AHL22" t="s">
        <v>1318</v>
      </c>
      <c r="AHM22" t="s">
        <v>1319</v>
      </c>
      <c r="AHN22" t="s">
        <v>1320</v>
      </c>
      <c r="AHO22" t="s">
        <v>1321</v>
      </c>
      <c r="AHP22" t="s">
        <v>1322</v>
      </c>
      <c r="AHQ22" t="s">
        <v>1323</v>
      </c>
      <c r="AHR22" t="s">
        <v>1324</v>
      </c>
      <c r="AHS22" t="s">
        <v>1325</v>
      </c>
      <c r="AHT22" t="s">
        <v>1326</v>
      </c>
      <c r="AHU22" t="s">
        <v>1327</v>
      </c>
      <c r="AHV22" t="s">
        <v>1328</v>
      </c>
      <c r="AHW22" t="s">
        <v>1329</v>
      </c>
      <c r="AHX22" t="s">
        <v>1330</v>
      </c>
      <c r="AHY22" t="s">
        <v>1331</v>
      </c>
      <c r="AHZ22" t="s">
        <v>1332</v>
      </c>
      <c r="AIA22" t="s">
        <v>1333</v>
      </c>
      <c r="AIB22" t="s">
        <v>1334</v>
      </c>
      <c r="AIC22" t="s">
        <v>1335</v>
      </c>
      <c r="AID22" t="s">
        <v>1336</v>
      </c>
      <c r="AIE22" t="s">
        <v>1337</v>
      </c>
      <c r="AIF22" t="s">
        <v>1338</v>
      </c>
      <c r="AIG22" t="s">
        <v>1339</v>
      </c>
      <c r="AIH22" t="s">
        <v>1340</v>
      </c>
      <c r="AII22" t="s">
        <v>1341</v>
      </c>
      <c r="AIJ22" t="s">
        <v>1342</v>
      </c>
      <c r="AIK22" t="s">
        <v>1343</v>
      </c>
      <c r="AIL22" t="s">
        <v>1344</v>
      </c>
      <c r="AIM22" t="s">
        <v>1345</v>
      </c>
      <c r="AIN22" t="s">
        <v>1346</v>
      </c>
      <c r="AIO22" t="s">
        <v>1347</v>
      </c>
      <c r="AIP22" t="s">
        <v>1348</v>
      </c>
      <c r="AIQ22" t="s">
        <v>1349</v>
      </c>
      <c r="AIR22" t="s">
        <v>1350</v>
      </c>
      <c r="AIS22" t="s">
        <v>1351</v>
      </c>
      <c r="AIT22" t="s">
        <v>1352</v>
      </c>
      <c r="AIU22" t="s">
        <v>1353</v>
      </c>
      <c r="AIV22" t="s">
        <v>1354</v>
      </c>
      <c r="AIW22" t="s">
        <v>1355</v>
      </c>
      <c r="AIX22" t="s">
        <v>1356</v>
      </c>
      <c r="AIY22" t="s">
        <v>1357</v>
      </c>
      <c r="AIZ22" t="s">
        <v>1358</v>
      </c>
      <c r="AJA22" t="s">
        <v>1359</v>
      </c>
      <c r="AJB22" t="s">
        <v>1360</v>
      </c>
      <c r="AJC22" t="s">
        <v>1361</v>
      </c>
      <c r="AJD22" t="s">
        <v>1362</v>
      </c>
      <c r="AJE22" t="s">
        <v>1363</v>
      </c>
      <c r="AJF22" t="s">
        <v>1364</v>
      </c>
      <c r="AJG22" t="s">
        <v>1365</v>
      </c>
      <c r="AJH22" t="s">
        <v>1366</v>
      </c>
      <c r="AJI22" t="s">
        <v>1367</v>
      </c>
      <c r="AJJ22" t="s">
        <v>1368</v>
      </c>
      <c r="AJK22" t="s">
        <v>1369</v>
      </c>
      <c r="AJL22" t="s">
        <v>1370</v>
      </c>
      <c r="AJM22" t="s">
        <v>1371</v>
      </c>
      <c r="AJN22" t="s">
        <v>1372</v>
      </c>
      <c r="AJO22" t="s">
        <v>1373</v>
      </c>
      <c r="AJP22" t="s">
        <v>1374</v>
      </c>
      <c r="AJQ22" t="s">
        <v>1375</v>
      </c>
      <c r="AJR22" t="s">
        <v>1376</v>
      </c>
      <c r="AJS22" t="s">
        <v>1377</v>
      </c>
      <c r="AJT22" t="s">
        <v>1378</v>
      </c>
      <c r="AJU22" t="s">
        <v>1379</v>
      </c>
      <c r="AJV22" t="s">
        <v>1380</v>
      </c>
      <c r="AJW22" t="s">
        <v>1381</v>
      </c>
      <c r="AJX22" t="s">
        <v>1382</v>
      </c>
      <c r="AJY22" t="s">
        <v>1383</v>
      </c>
      <c r="AJZ22" t="s">
        <v>1384</v>
      </c>
      <c r="AKA22" t="s">
        <v>1385</v>
      </c>
      <c r="AKB22" t="s">
        <v>1386</v>
      </c>
      <c r="AKC22" t="s">
        <v>1387</v>
      </c>
      <c r="AKD22" t="s">
        <v>1388</v>
      </c>
      <c r="AKE22" t="s">
        <v>1389</v>
      </c>
      <c r="AKF22" t="s">
        <v>1390</v>
      </c>
      <c r="AKG22" t="s">
        <v>1391</v>
      </c>
      <c r="AKH22" t="s">
        <v>1392</v>
      </c>
      <c r="AKI22" t="s">
        <v>1393</v>
      </c>
      <c r="AKJ22" t="s">
        <v>1394</v>
      </c>
      <c r="AKK22" t="s">
        <v>1395</v>
      </c>
      <c r="AKL22" t="s">
        <v>1396</v>
      </c>
      <c r="AKM22" t="s">
        <v>1397</v>
      </c>
      <c r="AKN22" t="s">
        <v>1398</v>
      </c>
      <c r="AKO22" t="s">
        <v>1399</v>
      </c>
      <c r="AKP22" t="s">
        <v>1400</v>
      </c>
      <c r="AKQ22" t="s">
        <v>1401</v>
      </c>
      <c r="AKR22" t="s">
        <v>1402</v>
      </c>
      <c r="AKS22" t="s">
        <v>1403</v>
      </c>
      <c r="AKT22" t="s">
        <v>1404</v>
      </c>
      <c r="AKU22" t="s">
        <v>1405</v>
      </c>
      <c r="AKV22" t="s">
        <v>1406</v>
      </c>
      <c r="AKW22" t="s">
        <v>1407</v>
      </c>
      <c r="AKX22" t="s">
        <v>1408</v>
      </c>
      <c r="AKY22" t="s">
        <v>1409</v>
      </c>
      <c r="AKZ22" t="s">
        <v>1410</v>
      </c>
      <c r="ALA22" t="s">
        <v>1411</v>
      </c>
      <c r="ALB22" t="s">
        <v>1412</v>
      </c>
      <c r="ALC22" t="s">
        <v>1413</v>
      </c>
      <c r="ALD22" t="s">
        <v>1414</v>
      </c>
      <c r="ALE22" t="s">
        <v>1415</v>
      </c>
      <c r="ALF22" t="s">
        <v>1416</v>
      </c>
      <c r="ALG22" t="s">
        <v>1417</v>
      </c>
      <c r="ALH22" t="s">
        <v>1418</v>
      </c>
      <c r="ALI22" t="s">
        <v>1419</v>
      </c>
      <c r="ALJ22" t="s">
        <v>1420</v>
      </c>
      <c r="ALK22" t="s">
        <v>1421</v>
      </c>
      <c r="ALL22" t="s">
        <v>1422</v>
      </c>
      <c r="ALM22" t="s">
        <v>1423</v>
      </c>
      <c r="ALN22" t="s">
        <v>1424</v>
      </c>
      <c r="ALO22" t="s">
        <v>1425</v>
      </c>
      <c r="ALP22" t="s">
        <v>1426</v>
      </c>
      <c r="ALQ22" t="s">
        <v>1427</v>
      </c>
      <c r="ALR22" t="s">
        <v>1428</v>
      </c>
      <c r="ALS22" t="s">
        <v>1429</v>
      </c>
      <c r="ALT22" t="s">
        <v>1430</v>
      </c>
      <c r="ALU22" t="s">
        <v>1431</v>
      </c>
      <c r="ALV22" t="s">
        <v>1432</v>
      </c>
      <c r="ALW22" t="s">
        <v>1433</v>
      </c>
      <c r="ALX22" t="s">
        <v>1434</v>
      </c>
      <c r="ALY22" t="s">
        <v>1435</v>
      </c>
      <c r="ALZ22" t="s">
        <v>1436</v>
      </c>
      <c r="AMA22" t="s">
        <v>1437</v>
      </c>
      <c r="AMB22" t="s">
        <v>1438</v>
      </c>
      <c r="AMC22" t="s">
        <v>1439</v>
      </c>
      <c r="AMD22" t="s">
        <v>1440</v>
      </c>
      <c r="AME22" t="s">
        <v>1441</v>
      </c>
      <c r="AMF22" t="s">
        <v>1442</v>
      </c>
      <c r="AMG22" t="s">
        <v>1443</v>
      </c>
      <c r="AMH22" t="s">
        <v>1444</v>
      </c>
      <c r="AMI22" t="s">
        <v>1445</v>
      </c>
      <c r="AMJ22" t="s">
        <v>1446</v>
      </c>
      <c r="AMK22" t="s">
        <v>1447</v>
      </c>
      <c r="AML22" t="s">
        <v>1448</v>
      </c>
      <c r="AMM22" t="s">
        <v>1449</v>
      </c>
      <c r="AMN22" t="s">
        <v>1450</v>
      </c>
      <c r="AMO22" t="s">
        <v>1451</v>
      </c>
      <c r="AMP22" t="s">
        <v>1452</v>
      </c>
      <c r="AMQ22" t="s">
        <v>1453</v>
      </c>
      <c r="AMR22" t="s">
        <v>1454</v>
      </c>
      <c r="AMS22" t="s">
        <v>1455</v>
      </c>
      <c r="AMT22" t="s">
        <v>1456</v>
      </c>
      <c r="AMU22" t="s">
        <v>1457</v>
      </c>
      <c r="AMV22" t="s">
        <v>1458</v>
      </c>
      <c r="AMW22" t="s">
        <v>1459</v>
      </c>
      <c r="AMX22" t="s">
        <v>1460</v>
      </c>
      <c r="AMY22" t="s">
        <v>1461</v>
      </c>
      <c r="AMZ22" t="s">
        <v>1462</v>
      </c>
      <c r="ANA22" t="s">
        <v>1463</v>
      </c>
      <c r="ANB22" t="s">
        <v>1464</v>
      </c>
      <c r="ANC22" t="s">
        <v>1465</v>
      </c>
      <c r="AND22" t="s">
        <v>1466</v>
      </c>
      <c r="ANE22" t="s">
        <v>1467</v>
      </c>
      <c r="ANF22" t="s">
        <v>1468</v>
      </c>
      <c r="ANG22" t="s">
        <v>1469</v>
      </c>
      <c r="ANH22" t="s">
        <v>1470</v>
      </c>
      <c r="ANI22" t="s">
        <v>1471</v>
      </c>
      <c r="ANJ22" t="s">
        <v>1472</v>
      </c>
      <c r="ANK22" t="s">
        <v>1473</v>
      </c>
      <c r="ANL22" t="s">
        <v>1474</v>
      </c>
      <c r="ANM22" t="s">
        <v>1475</v>
      </c>
      <c r="ANN22" t="s">
        <v>1476</v>
      </c>
      <c r="ANO22" t="s">
        <v>1477</v>
      </c>
      <c r="ANP22" t="s">
        <v>1478</v>
      </c>
      <c r="ANQ22" t="s">
        <v>1479</v>
      </c>
      <c r="ANR22" t="s">
        <v>1480</v>
      </c>
      <c r="ANS22" t="s">
        <v>1481</v>
      </c>
      <c r="ANT22" t="s">
        <v>1482</v>
      </c>
      <c r="ANU22" t="s">
        <v>1483</v>
      </c>
      <c r="ANV22" t="s">
        <v>1484</v>
      </c>
      <c r="ANW22" t="s">
        <v>1485</v>
      </c>
      <c r="ANX22" t="s">
        <v>1486</v>
      </c>
      <c r="ANY22" t="s">
        <v>1487</v>
      </c>
      <c r="ANZ22" t="s">
        <v>1488</v>
      </c>
      <c r="AOA22" t="s">
        <v>1489</v>
      </c>
      <c r="AOB22" t="s">
        <v>1490</v>
      </c>
      <c r="AOC22" t="s">
        <v>1491</v>
      </c>
      <c r="AOD22" t="s">
        <v>1492</v>
      </c>
      <c r="AOE22" t="s">
        <v>1493</v>
      </c>
      <c r="AOF22" t="s">
        <v>1494</v>
      </c>
      <c r="AOG22" t="s">
        <v>1495</v>
      </c>
      <c r="AOH22" t="s">
        <v>1496</v>
      </c>
      <c r="AOI22" t="s">
        <v>1497</v>
      </c>
      <c r="AOJ22" t="s">
        <v>1498</v>
      </c>
      <c r="AOK22" t="s">
        <v>1499</v>
      </c>
      <c r="AOL22" t="s">
        <v>1500</v>
      </c>
      <c r="AOM22" t="s">
        <v>1501</v>
      </c>
      <c r="AON22" t="s">
        <v>1502</v>
      </c>
      <c r="AOO22" t="s">
        <v>1503</v>
      </c>
      <c r="AOP22" t="s">
        <v>1504</v>
      </c>
      <c r="AOQ22" t="s">
        <v>1505</v>
      </c>
      <c r="AOR22" t="s">
        <v>1506</v>
      </c>
      <c r="AOS22" t="s">
        <v>1507</v>
      </c>
      <c r="AOT22" t="s">
        <v>1508</v>
      </c>
      <c r="AOU22" t="s">
        <v>1509</v>
      </c>
      <c r="AOV22" t="s">
        <v>1510</v>
      </c>
      <c r="AOW22" t="s">
        <v>1511</v>
      </c>
      <c r="AOX22" t="s">
        <v>1512</v>
      </c>
      <c r="AOY22" t="s">
        <v>1513</v>
      </c>
      <c r="AOZ22" t="s">
        <v>1514</v>
      </c>
      <c r="APA22" t="s">
        <v>1515</v>
      </c>
      <c r="APB22" t="s">
        <v>1516</v>
      </c>
      <c r="APC22" t="s">
        <v>1517</v>
      </c>
      <c r="APD22" t="s">
        <v>1518</v>
      </c>
      <c r="APE22" t="s">
        <v>1519</v>
      </c>
      <c r="APF22" t="s">
        <v>1520</v>
      </c>
      <c r="APG22" t="s">
        <v>1521</v>
      </c>
      <c r="APH22" t="s">
        <v>1522</v>
      </c>
      <c r="API22" t="s">
        <v>1523</v>
      </c>
      <c r="APJ22" t="s">
        <v>1524</v>
      </c>
      <c r="APK22" t="s">
        <v>1525</v>
      </c>
      <c r="APL22" t="s">
        <v>1526</v>
      </c>
      <c r="APM22" t="s">
        <v>1527</v>
      </c>
      <c r="APN22" t="s">
        <v>1528</v>
      </c>
      <c r="APO22" t="s">
        <v>1529</v>
      </c>
      <c r="APP22" t="s">
        <v>1530</v>
      </c>
      <c r="APQ22" t="s">
        <v>1531</v>
      </c>
      <c r="APR22" t="s">
        <v>1532</v>
      </c>
      <c r="APS22" t="s">
        <v>1533</v>
      </c>
      <c r="APT22" t="s">
        <v>1534</v>
      </c>
      <c r="APU22" t="s">
        <v>1535</v>
      </c>
      <c r="APV22" t="s">
        <v>1536</v>
      </c>
      <c r="APW22" t="s">
        <v>1537</v>
      </c>
      <c r="APX22" t="s">
        <v>1538</v>
      </c>
      <c r="APY22" t="s">
        <v>1539</v>
      </c>
      <c r="APZ22" t="s">
        <v>1540</v>
      </c>
      <c r="AQA22" t="s">
        <v>1541</v>
      </c>
      <c r="AQB22" t="s">
        <v>1542</v>
      </c>
      <c r="AQC22" t="s">
        <v>1543</v>
      </c>
      <c r="AQD22" t="s">
        <v>1544</v>
      </c>
      <c r="AQE22" t="s">
        <v>1545</v>
      </c>
      <c r="AQF22" t="s">
        <v>1546</v>
      </c>
      <c r="AQG22" t="s">
        <v>1547</v>
      </c>
      <c r="AQH22" t="s">
        <v>1548</v>
      </c>
      <c r="AQI22" t="s">
        <v>1549</v>
      </c>
      <c r="AQJ22" t="s">
        <v>1550</v>
      </c>
      <c r="AQK22" t="s">
        <v>1551</v>
      </c>
      <c r="AQL22" t="s">
        <v>1552</v>
      </c>
      <c r="AQM22" t="s">
        <v>1553</v>
      </c>
      <c r="AQN22" t="s">
        <v>1554</v>
      </c>
      <c r="AQO22" t="s">
        <v>1555</v>
      </c>
      <c r="AQP22" t="s">
        <v>1556</v>
      </c>
      <c r="AQQ22" t="s">
        <v>1557</v>
      </c>
      <c r="AQR22" t="s">
        <v>1558</v>
      </c>
      <c r="AQS22" t="s">
        <v>1559</v>
      </c>
      <c r="AQT22" t="s">
        <v>1560</v>
      </c>
      <c r="AQU22" t="s">
        <v>1561</v>
      </c>
      <c r="AQV22" t="s">
        <v>1562</v>
      </c>
      <c r="AQW22" t="s">
        <v>1563</v>
      </c>
      <c r="AQX22" t="s">
        <v>1564</v>
      </c>
      <c r="AQY22" t="s">
        <v>1565</v>
      </c>
      <c r="AQZ22" t="s">
        <v>1566</v>
      </c>
      <c r="ARA22" t="s">
        <v>1567</v>
      </c>
      <c r="ARB22" t="s">
        <v>1568</v>
      </c>
      <c r="ARC22" t="s">
        <v>1569</v>
      </c>
      <c r="ARD22" t="s">
        <v>1570</v>
      </c>
      <c r="ARE22" t="s">
        <v>1571</v>
      </c>
      <c r="ARF22" t="s">
        <v>1572</v>
      </c>
      <c r="ARG22" t="s">
        <v>1573</v>
      </c>
      <c r="ARH22" t="s">
        <v>1574</v>
      </c>
      <c r="ARI22" t="s">
        <v>1575</v>
      </c>
      <c r="ARJ22" t="s">
        <v>1576</v>
      </c>
      <c r="ARK22" t="s">
        <v>1577</v>
      </c>
      <c r="ARL22" t="s">
        <v>1578</v>
      </c>
      <c r="ARM22" t="s">
        <v>1579</v>
      </c>
      <c r="ARN22" t="s">
        <v>1580</v>
      </c>
      <c r="ARO22" t="s">
        <v>1581</v>
      </c>
      <c r="ARP22" t="s">
        <v>1582</v>
      </c>
      <c r="ARQ22" t="s">
        <v>1583</v>
      </c>
      <c r="ARR22" t="s">
        <v>1584</v>
      </c>
      <c r="ARS22" t="s">
        <v>1585</v>
      </c>
      <c r="ART22" t="s">
        <v>1586</v>
      </c>
      <c r="ARU22" t="s">
        <v>1587</v>
      </c>
      <c r="ARV22" t="s">
        <v>1588</v>
      </c>
      <c r="ARW22" t="s">
        <v>1589</v>
      </c>
      <c r="ARX22" t="s">
        <v>1590</v>
      </c>
      <c r="ARY22" t="s">
        <v>1591</v>
      </c>
      <c r="ARZ22" t="s">
        <v>1592</v>
      </c>
      <c r="ASA22" t="s">
        <v>1593</v>
      </c>
      <c r="ASB22" t="s">
        <v>1594</v>
      </c>
      <c r="ASC22" t="s">
        <v>1595</v>
      </c>
      <c r="ASD22" t="s">
        <v>1596</v>
      </c>
      <c r="ASE22" t="s">
        <v>1597</v>
      </c>
      <c r="ASF22" t="s">
        <v>1598</v>
      </c>
      <c r="ASG22" t="s">
        <v>1599</v>
      </c>
      <c r="ASH22" t="s">
        <v>1600</v>
      </c>
      <c r="ASI22" t="s">
        <v>1601</v>
      </c>
      <c r="ASJ22" t="s">
        <v>1602</v>
      </c>
      <c r="ASK22" t="s">
        <v>1603</v>
      </c>
      <c r="ASL22" t="s">
        <v>1604</v>
      </c>
      <c r="ASM22" t="s">
        <v>1605</v>
      </c>
      <c r="ASN22" t="s">
        <v>1606</v>
      </c>
      <c r="ASO22" t="s">
        <v>1607</v>
      </c>
      <c r="ASP22" t="s">
        <v>1608</v>
      </c>
      <c r="ASQ22" t="s">
        <v>1609</v>
      </c>
      <c r="ASR22" t="s">
        <v>1610</v>
      </c>
      <c r="ASS22" t="s">
        <v>1611</v>
      </c>
      <c r="AST22" t="s">
        <v>1612</v>
      </c>
      <c r="ASU22" t="s">
        <v>1613</v>
      </c>
      <c r="ASV22" t="s">
        <v>1614</v>
      </c>
      <c r="ASW22" t="s">
        <v>1615</v>
      </c>
      <c r="ASX22" t="s">
        <v>1616</v>
      </c>
      <c r="ASY22" t="s">
        <v>1617</v>
      </c>
      <c r="ASZ22" t="s">
        <v>1618</v>
      </c>
      <c r="ATA22" t="s">
        <v>1619</v>
      </c>
      <c r="ATB22" t="s">
        <v>1620</v>
      </c>
      <c r="ATC22" t="s">
        <v>1621</v>
      </c>
      <c r="ATD22" t="s">
        <v>1622</v>
      </c>
      <c r="ATE22" t="s">
        <v>1623</v>
      </c>
      <c r="ATF22" t="s">
        <v>1624</v>
      </c>
      <c r="ATG22" t="s">
        <v>1625</v>
      </c>
      <c r="ATH22" t="s">
        <v>1626</v>
      </c>
      <c r="ATI22" t="s">
        <v>1627</v>
      </c>
      <c r="ATJ22" t="s">
        <v>1628</v>
      </c>
      <c r="ATK22" t="s">
        <v>1629</v>
      </c>
      <c r="ATL22" t="s">
        <v>1630</v>
      </c>
      <c r="ATM22" t="s">
        <v>1631</v>
      </c>
      <c r="ATN22" t="s">
        <v>1632</v>
      </c>
      <c r="ATO22" t="s">
        <v>1633</v>
      </c>
      <c r="ATP22" t="s">
        <v>1634</v>
      </c>
      <c r="ATQ22" t="s">
        <v>1635</v>
      </c>
      <c r="ATR22" t="s">
        <v>1636</v>
      </c>
      <c r="ATS22" t="s">
        <v>1637</v>
      </c>
      <c r="ATT22" t="s">
        <v>1638</v>
      </c>
      <c r="ATU22" t="s">
        <v>1639</v>
      </c>
      <c r="ATV22" t="s">
        <v>1640</v>
      </c>
      <c r="ATW22" t="s">
        <v>1641</v>
      </c>
      <c r="ATX22" t="s">
        <v>1642</v>
      </c>
      <c r="ATY22" t="s">
        <v>1643</v>
      </c>
      <c r="ATZ22" t="s">
        <v>1644</v>
      </c>
      <c r="AUA22" t="s">
        <v>1645</v>
      </c>
      <c r="AUB22" t="s">
        <v>1646</v>
      </c>
      <c r="AUC22" t="s">
        <v>1647</v>
      </c>
      <c r="AUD22" t="s">
        <v>1648</v>
      </c>
      <c r="AUE22" t="s">
        <v>1649</v>
      </c>
      <c r="AUF22" t="s">
        <v>1650</v>
      </c>
      <c r="AUG22" t="s">
        <v>1651</v>
      </c>
      <c r="AUH22" t="s">
        <v>1652</v>
      </c>
      <c r="AUI22" t="s">
        <v>1653</v>
      </c>
      <c r="AUJ22" t="s">
        <v>1654</v>
      </c>
      <c r="AUK22" t="s">
        <v>1655</v>
      </c>
      <c r="AUL22" t="s">
        <v>1656</v>
      </c>
      <c r="AUM22" t="s">
        <v>1657</v>
      </c>
      <c r="AUN22" t="s">
        <v>1658</v>
      </c>
      <c r="AUO22" t="s">
        <v>1659</v>
      </c>
      <c r="AUP22" t="s">
        <v>1660</v>
      </c>
      <c r="AUQ22" t="s">
        <v>1661</v>
      </c>
      <c r="AUR22" t="s">
        <v>1662</v>
      </c>
      <c r="AUS22" t="s">
        <v>1663</v>
      </c>
      <c r="AUT22" t="s">
        <v>1664</v>
      </c>
      <c r="AUU22" t="s">
        <v>1665</v>
      </c>
      <c r="AUV22" t="s">
        <v>1666</v>
      </c>
      <c r="AUW22" t="s">
        <v>1667</v>
      </c>
      <c r="AUX22" t="s">
        <v>1668</v>
      </c>
      <c r="AUY22" t="s">
        <v>1669</v>
      </c>
      <c r="AUZ22" t="s">
        <v>1670</v>
      </c>
      <c r="AVA22" t="s">
        <v>1671</v>
      </c>
      <c r="AVB22" t="s">
        <v>1672</v>
      </c>
      <c r="AVC22" t="s">
        <v>1673</v>
      </c>
      <c r="AVD22" t="s">
        <v>1674</v>
      </c>
      <c r="AVE22" t="s">
        <v>1675</v>
      </c>
      <c r="AVF22" t="s">
        <v>1676</v>
      </c>
      <c r="AVG22" t="s">
        <v>1677</v>
      </c>
      <c r="AVH22" t="s">
        <v>1678</v>
      </c>
      <c r="AVI22" t="s">
        <v>1679</v>
      </c>
      <c r="AVJ22" t="s">
        <v>1680</v>
      </c>
      <c r="AVK22" t="s">
        <v>1681</v>
      </c>
      <c r="AVL22" t="s">
        <v>1682</v>
      </c>
      <c r="AVM22" t="s">
        <v>1683</v>
      </c>
      <c r="AVN22" t="s">
        <v>1684</v>
      </c>
      <c r="AVO22" t="s">
        <v>1685</v>
      </c>
      <c r="AVP22" t="s">
        <v>1686</v>
      </c>
      <c r="AVQ22" t="s">
        <v>1687</v>
      </c>
      <c r="AVR22" t="s">
        <v>1688</v>
      </c>
      <c r="AVS22" t="s">
        <v>1689</v>
      </c>
      <c r="AVT22" t="s">
        <v>1690</v>
      </c>
      <c r="AVU22" t="s">
        <v>1691</v>
      </c>
      <c r="AVV22" t="s">
        <v>1692</v>
      </c>
      <c r="AVW22" t="s">
        <v>1693</v>
      </c>
      <c r="AVX22" t="s">
        <v>1694</v>
      </c>
      <c r="AVY22" t="s">
        <v>1695</v>
      </c>
      <c r="AVZ22" t="s">
        <v>1696</v>
      </c>
      <c r="AWA22" t="s">
        <v>1697</v>
      </c>
      <c r="AWB22" t="s">
        <v>1698</v>
      </c>
      <c r="AWC22" t="s">
        <v>1699</v>
      </c>
      <c r="AWD22" t="s">
        <v>1700</v>
      </c>
      <c r="AWE22" t="s">
        <v>1701</v>
      </c>
      <c r="AWF22" t="s">
        <v>1702</v>
      </c>
      <c r="AWG22" t="s">
        <v>1703</v>
      </c>
      <c r="AWH22" t="s">
        <v>1704</v>
      </c>
      <c r="AWI22" t="s">
        <v>1705</v>
      </c>
      <c r="AWJ22" t="s">
        <v>1706</v>
      </c>
      <c r="AWK22" t="s">
        <v>1707</v>
      </c>
      <c r="AWL22" t="s">
        <v>1708</v>
      </c>
      <c r="AWM22" t="s">
        <v>1709</v>
      </c>
      <c r="AWN22" t="s">
        <v>1710</v>
      </c>
      <c r="AWO22" t="s">
        <v>1711</v>
      </c>
      <c r="AWP22" t="s">
        <v>1712</v>
      </c>
      <c r="AWQ22" t="s">
        <v>1713</v>
      </c>
      <c r="AWR22" t="s">
        <v>1714</v>
      </c>
      <c r="AWS22" t="s">
        <v>1715</v>
      </c>
      <c r="AWT22" t="s">
        <v>1716</v>
      </c>
      <c r="AWU22" t="s">
        <v>1717</v>
      </c>
      <c r="AWV22" t="s">
        <v>1718</v>
      </c>
      <c r="AWW22" t="s">
        <v>1719</v>
      </c>
      <c r="AWX22" t="s">
        <v>1720</v>
      </c>
      <c r="AWY22" t="s">
        <v>1721</v>
      </c>
      <c r="AWZ22" t="s">
        <v>1722</v>
      </c>
      <c r="AXA22" t="s">
        <v>1723</v>
      </c>
      <c r="AXB22" t="s">
        <v>1724</v>
      </c>
      <c r="AXC22" t="s">
        <v>1725</v>
      </c>
      <c r="AXD22" t="s">
        <v>1726</v>
      </c>
      <c r="AXE22" t="s">
        <v>1727</v>
      </c>
      <c r="AXF22" t="s">
        <v>1728</v>
      </c>
      <c r="AXG22" t="s">
        <v>1729</v>
      </c>
      <c r="AXH22" t="s">
        <v>1730</v>
      </c>
      <c r="AXI22" t="s">
        <v>1731</v>
      </c>
      <c r="AXJ22" t="s">
        <v>1732</v>
      </c>
      <c r="AXK22" t="s">
        <v>1733</v>
      </c>
      <c r="AXL22" t="s">
        <v>1734</v>
      </c>
      <c r="AXM22" t="s">
        <v>1735</v>
      </c>
      <c r="AXN22" t="s">
        <v>1736</v>
      </c>
      <c r="AXO22" t="s">
        <v>1737</v>
      </c>
      <c r="AXP22" t="s">
        <v>1738</v>
      </c>
      <c r="AXQ22" t="s">
        <v>1739</v>
      </c>
      <c r="AXR22" t="s">
        <v>1740</v>
      </c>
      <c r="AXS22" t="s">
        <v>1741</v>
      </c>
      <c r="AXT22" t="s">
        <v>1742</v>
      </c>
      <c r="AXU22" t="s">
        <v>1743</v>
      </c>
      <c r="AXV22" t="s">
        <v>1744</v>
      </c>
      <c r="AXW22" t="s">
        <v>1745</v>
      </c>
      <c r="AXX22" t="s">
        <v>1746</v>
      </c>
      <c r="AXY22" t="s">
        <v>1747</v>
      </c>
      <c r="AXZ22" t="s">
        <v>1748</v>
      </c>
      <c r="AYA22" t="s">
        <v>1749</v>
      </c>
      <c r="AYB22" t="s">
        <v>1750</v>
      </c>
      <c r="AYC22" t="s">
        <v>1751</v>
      </c>
      <c r="AYD22" t="s">
        <v>1752</v>
      </c>
      <c r="AYE22" t="s">
        <v>1753</v>
      </c>
      <c r="AYF22" t="s">
        <v>1754</v>
      </c>
      <c r="AYG22" t="s">
        <v>1755</v>
      </c>
      <c r="AYH22" t="s">
        <v>1756</v>
      </c>
      <c r="AYI22" t="s">
        <v>1757</v>
      </c>
      <c r="AYJ22" t="s">
        <v>1758</v>
      </c>
      <c r="AYK22" t="s">
        <v>1759</v>
      </c>
      <c r="AYL22" t="s">
        <v>1760</v>
      </c>
      <c r="AYM22" t="s">
        <v>1761</v>
      </c>
      <c r="AYN22" t="s">
        <v>1762</v>
      </c>
      <c r="AYO22" t="s">
        <v>1763</v>
      </c>
      <c r="AYP22" t="s">
        <v>1764</v>
      </c>
      <c r="AYQ22" t="s">
        <v>1765</v>
      </c>
      <c r="AYR22" t="s">
        <v>1766</v>
      </c>
      <c r="AYS22" t="s">
        <v>1767</v>
      </c>
      <c r="AYT22" t="s">
        <v>1768</v>
      </c>
      <c r="AYU22" t="s">
        <v>1769</v>
      </c>
      <c r="AYV22" t="s">
        <v>1770</v>
      </c>
      <c r="AYW22" t="s">
        <v>1771</v>
      </c>
      <c r="AYX22" t="s">
        <v>1772</v>
      </c>
      <c r="AYY22" t="s">
        <v>1773</v>
      </c>
      <c r="AYZ22" t="s">
        <v>1774</v>
      </c>
      <c r="AZA22" t="s">
        <v>1775</v>
      </c>
      <c r="AZB22" t="s">
        <v>1776</v>
      </c>
      <c r="AZC22" t="s">
        <v>1777</v>
      </c>
      <c r="AZD22" t="s">
        <v>1778</v>
      </c>
      <c r="AZE22" t="s">
        <v>1779</v>
      </c>
      <c r="AZF22" t="s">
        <v>1780</v>
      </c>
      <c r="AZG22" t="s">
        <v>1781</v>
      </c>
      <c r="AZH22" t="s">
        <v>1782</v>
      </c>
      <c r="AZI22" t="s">
        <v>1783</v>
      </c>
      <c r="AZJ22" t="s">
        <v>1784</v>
      </c>
      <c r="AZK22" t="s">
        <v>1785</v>
      </c>
      <c r="AZL22" t="s">
        <v>1786</v>
      </c>
      <c r="AZM22" t="s">
        <v>1787</v>
      </c>
      <c r="AZN22" t="s">
        <v>1788</v>
      </c>
      <c r="AZO22" t="s">
        <v>1789</v>
      </c>
      <c r="AZP22" t="s">
        <v>1790</v>
      </c>
      <c r="AZQ22" t="s">
        <v>1791</v>
      </c>
      <c r="AZR22" t="s">
        <v>1792</v>
      </c>
      <c r="AZS22" t="s">
        <v>1793</v>
      </c>
      <c r="AZT22" t="s">
        <v>1794</v>
      </c>
      <c r="AZU22" t="s">
        <v>1795</v>
      </c>
      <c r="AZV22" t="s">
        <v>1796</v>
      </c>
      <c r="AZW22" t="s">
        <v>1797</v>
      </c>
      <c r="AZX22" t="s">
        <v>1798</v>
      </c>
      <c r="AZY22" t="s">
        <v>1799</v>
      </c>
      <c r="AZZ22" t="s">
        <v>1800</v>
      </c>
      <c r="BAA22" t="s">
        <v>1801</v>
      </c>
      <c r="BAB22" t="s">
        <v>1802</v>
      </c>
      <c r="BAC22" t="s">
        <v>1803</v>
      </c>
      <c r="BAD22" t="s">
        <v>1804</v>
      </c>
      <c r="BAE22" t="s">
        <v>1805</v>
      </c>
      <c r="BAF22" t="s">
        <v>1806</v>
      </c>
      <c r="BAG22" t="s">
        <v>1807</v>
      </c>
      <c r="BAH22" t="s">
        <v>1808</v>
      </c>
      <c r="BAI22" t="s">
        <v>1809</v>
      </c>
      <c r="BAJ22" t="s">
        <v>1810</v>
      </c>
      <c r="BAK22" t="s">
        <v>1811</v>
      </c>
      <c r="BAL22" t="s">
        <v>1812</v>
      </c>
      <c r="BAM22" t="s">
        <v>1813</v>
      </c>
      <c r="BAN22" t="s">
        <v>1814</v>
      </c>
      <c r="BAO22" t="s">
        <v>1815</v>
      </c>
      <c r="BAP22" t="s">
        <v>1816</v>
      </c>
      <c r="BAQ22" t="s">
        <v>1817</v>
      </c>
      <c r="BAR22" t="s">
        <v>1818</v>
      </c>
      <c r="BAS22" t="s">
        <v>1819</v>
      </c>
      <c r="BAT22" t="s">
        <v>1820</v>
      </c>
      <c r="BAU22" t="s">
        <v>1821</v>
      </c>
      <c r="BAV22" t="s">
        <v>1822</v>
      </c>
      <c r="BAW22" t="s">
        <v>1823</v>
      </c>
      <c r="BAX22" t="s">
        <v>1824</v>
      </c>
      <c r="BAY22" t="s">
        <v>1825</v>
      </c>
      <c r="BAZ22" t="s">
        <v>1826</v>
      </c>
      <c r="BBA22" t="s">
        <v>1827</v>
      </c>
      <c r="BBB22" t="s">
        <v>1828</v>
      </c>
      <c r="BBC22" t="s">
        <v>1829</v>
      </c>
      <c r="BBD22" t="s">
        <v>1830</v>
      </c>
      <c r="BBE22" t="s">
        <v>1831</v>
      </c>
      <c r="BBF22" t="s">
        <v>1832</v>
      </c>
      <c r="BBG22" t="s">
        <v>1833</v>
      </c>
      <c r="BBH22" t="s">
        <v>1834</v>
      </c>
      <c r="BBI22" t="s">
        <v>1835</v>
      </c>
      <c r="BBJ22" t="s">
        <v>1836</v>
      </c>
      <c r="BBK22" t="s">
        <v>1837</v>
      </c>
      <c r="BBL22" t="s">
        <v>1838</v>
      </c>
      <c r="BBM22" t="s">
        <v>1839</v>
      </c>
      <c r="BBN22" t="s">
        <v>1840</v>
      </c>
      <c r="BBO22" t="s">
        <v>1841</v>
      </c>
      <c r="BBP22" t="s">
        <v>1842</v>
      </c>
      <c r="BBQ22" t="s">
        <v>1843</v>
      </c>
      <c r="BBR22" t="s">
        <v>1844</v>
      </c>
      <c r="BBS22" t="s">
        <v>1845</v>
      </c>
      <c r="BBT22" t="s">
        <v>1846</v>
      </c>
      <c r="BBU22" t="s">
        <v>1847</v>
      </c>
      <c r="BBV22" t="s">
        <v>1848</v>
      </c>
      <c r="BBW22" t="s">
        <v>1849</v>
      </c>
      <c r="BBX22" t="s">
        <v>1850</v>
      </c>
      <c r="BBY22" t="s">
        <v>1851</v>
      </c>
      <c r="BBZ22" t="s">
        <v>1852</v>
      </c>
      <c r="BCA22" t="s">
        <v>1853</v>
      </c>
      <c r="BCB22" t="s">
        <v>1854</v>
      </c>
      <c r="BCC22" t="s">
        <v>1855</v>
      </c>
      <c r="BCD22" t="s">
        <v>1856</v>
      </c>
      <c r="BCE22" t="s">
        <v>1857</v>
      </c>
      <c r="BCF22" t="s">
        <v>1858</v>
      </c>
      <c r="BCG22" t="s">
        <v>1859</v>
      </c>
      <c r="BCH22" t="s">
        <v>1860</v>
      </c>
      <c r="BCI22" t="s">
        <v>1861</v>
      </c>
      <c r="BCJ22" t="s">
        <v>1862</v>
      </c>
      <c r="BCK22" t="s">
        <v>1863</v>
      </c>
      <c r="BCL22" t="s">
        <v>1864</v>
      </c>
      <c r="BCM22" t="s">
        <v>1865</v>
      </c>
      <c r="BCN22" t="s">
        <v>1866</v>
      </c>
      <c r="BCO22" t="s">
        <v>1867</v>
      </c>
      <c r="BCP22" t="s">
        <v>1868</v>
      </c>
      <c r="BCQ22" t="s">
        <v>1869</v>
      </c>
      <c r="BCR22" t="s">
        <v>1870</v>
      </c>
      <c r="BCS22" t="s">
        <v>1871</v>
      </c>
      <c r="BCT22" t="s">
        <v>1872</v>
      </c>
      <c r="BCU22" t="s">
        <v>1873</v>
      </c>
      <c r="BCV22" t="s">
        <v>1874</v>
      </c>
      <c r="BCW22" t="s">
        <v>1875</v>
      </c>
      <c r="BCX22" t="s">
        <v>1876</v>
      </c>
      <c r="BCY22" t="s">
        <v>1877</v>
      </c>
      <c r="BCZ22" t="s">
        <v>1878</v>
      </c>
      <c r="BDA22" t="s">
        <v>1879</v>
      </c>
      <c r="BDB22" t="s">
        <v>1880</v>
      </c>
      <c r="BDC22" t="s">
        <v>1881</v>
      </c>
      <c r="BDD22" t="s">
        <v>1882</v>
      </c>
      <c r="BDE22" t="s">
        <v>1883</v>
      </c>
      <c r="BDF22" t="s">
        <v>1884</v>
      </c>
      <c r="BDG22" t="s">
        <v>1885</v>
      </c>
      <c r="BDH22" t="s">
        <v>1886</v>
      </c>
      <c r="BDI22" t="s">
        <v>1887</v>
      </c>
      <c r="BDJ22" t="s">
        <v>1888</v>
      </c>
      <c r="BDK22" t="s">
        <v>1889</v>
      </c>
      <c r="BDL22" t="s">
        <v>1890</v>
      </c>
      <c r="BDM22" t="s">
        <v>1891</v>
      </c>
      <c r="BDN22" t="s">
        <v>1892</v>
      </c>
      <c r="BDO22" t="s">
        <v>1893</v>
      </c>
      <c r="BDP22" t="s">
        <v>1894</v>
      </c>
      <c r="BDQ22" t="s">
        <v>1895</v>
      </c>
      <c r="BDR22" t="s">
        <v>1896</v>
      </c>
      <c r="BDS22" t="s">
        <v>1897</v>
      </c>
      <c r="BDT22" t="s">
        <v>1898</v>
      </c>
      <c r="BDU22" t="s">
        <v>1899</v>
      </c>
      <c r="BDV22" t="s">
        <v>1900</v>
      </c>
      <c r="BDW22" t="s">
        <v>1901</v>
      </c>
      <c r="BDX22" t="s">
        <v>1902</v>
      </c>
      <c r="BDY22" t="s">
        <v>1903</v>
      </c>
      <c r="BDZ22" t="s">
        <v>1904</v>
      </c>
      <c r="BEA22" t="s">
        <v>1905</v>
      </c>
      <c r="BEB22" t="s">
        <v>1906</v>
      </c>
      <c r="BEC22" t="s">
        <v>1907</v>
      </c>
      <c r="BED22" t="s">
        <v>1908</v>
      </c>
      <c r="BEE22" t="s">
        <v>1909</v>
      </c>
      <c r="BEF22" t="s">
        <v>1910</v>
      </c>
      <c r="BEG22" t="s">
        <v>1911</v>
      </c>
      <c r="BEH22" t="s">
        <v>1912</v>
      </c>
      <c r="BEI22" t="s">
        <v>1913</v>
      </c>
      <c r="BEJ22" t="s">
        <v>1914</v>
      </c>
      <c r="BEK22" t="s">
        <v>1915</v>
      </c>
      <c r="BEL22" t="s">
        <v>1916</v>
      </c>
      <c r="BEM22" t="s">
        <v>1917</v>
      </c>
      <c r="BEN22" t="s">
        <v>1918</v>
      </c>
      <c r="BEO22" t="s">
        <v>1919</v>
      </c>
      <c r="BEP22" t="s">
        <v>1920</v>
      </c>
      <c r="BEQ22" t="s">
        <v>1921</v>
      </c>
      <c r="BER22" t="s">
        <v>1922</v>
      </c>
      <c r="BES22" t="s">
        <v>1923</v>
      </c>
      <c r="BET22" t="s">
        <v>1924</v>
      </c>
      <c r="BEU22" t="s">
        <v>1925</v>
      </c>
      <c r="BEV22" t="s">
        <v>1926</v>
      </c>
      <c r="BEW22" t="s">
        <v>1927</v>
      </c>
      <c r="BEX22" t="s">
        <v>1928</v>
      </c>
      <c r="BEY22" t="s">
        <v>1929</v>
      </c>
      <c r="BEZ22" t="s">
        <v>1930</v>
      </c>
      <c r="BFA22" t="s">
        <v>1931</v>
      </c>
      <c r="BFB22" t="s">
        <v>1932</v>
      </c>
      <c r="BFC22" t="s">
        <v>1933</v>
      </c>
      <c r="BFD22" t="s">
        <v>1934</v>
      </c>
      <c r="BFE22" t="s">
        <v>1935</v>
      </c>
      <c r="BFF22" t="s">
        <v>1936</v>
      </c>
      <c r="BFG22" t="s">
        <v>1937</v>
      </c>
      <c r="BFH22" t="s">
        <v>1938</v>
      </c>
      <c r="BFI22" t="s">
        <v>1939</v>
      </c>
      <c r="BFJ22" t="s">
        <v>1940</v>
      </c>
      <c r="BFK22" t="s">
        <v>1941</v>
      </c>
      <c r="BFL22" t="s">
        <v>1942</v>
      </c>
      <c r="BFM22" t="s">
        <v>1943</v>
      </c>
      <c r="BFN22" t="s">
        <v>1944</v>
      </c>
      <c r="BFO22" t="s">
        <v>1945</v>
      </c>
      <c r="BFP22" t="s">
        <v>1946</v>
      </c>
      <c r="BFQ22" t="s">
        <v>1947</v>
      </c>
      <c r="BFR22" t="s">
        <v>1948</v>
      </c>
      <c r="BFS22" t="s">
        <v>1949</v>
      </c>
      <c r="BFT22" t="s">
        <v>1950</v>
      </c>
      <c r="BFU22" t="s">
        <v>1951</v>
      </c>
      <c r="BFV22" t="s">
        <v>1952</v>
      </c>
      <c r="BFW22" t="s">
        <v>1953</v>
      </c>
      <c r="BFX22" t="s">
        <v>1954</v>
      </c>
      <c r="BFY22" t="s">
        <v>1955</v>
      </c>
      <c r="BFZ22" t="s">
        <v>1956</v>
      </c>
      <c r="BGA22" t="s">
        <v>1957</v>
      </c>
      <c r="BGB22" t="s">
        <v>1958</v>
      </c>
      <c r="BGC22" t="s">
        <v>1959</v>
      </c>
      <c r="BGD22" t="s">
        <v>1960</v>
      </c>
      <c r="BGE22" t="s">
        <v>1961</v>
      </c>
      <c r="BGF22" t="s">
        <v>1962</v>
      </c>
      <c r="BGG22" t="s">
        <v>1963</v>
      </c>
      <c r="BGH22" t="s">
        <v>1964</v>
      </c>
      <c r="BGI22" t="s">
        <v>1965</v>
      </c>
      <c r="BGJ22" t="s">
        <v>1966</v>
      </c>
      <c r="BGK22" t="s">
        <v>1967</v>
      </c>
      <c r="BGL22" t="s">
        <v>1968</v>
      </c>
      <c r="BGM22" t="s">
        <v>1969</v>
      </c>
      <c r="BGN22" t="s">
        <v>1970</v>
      </c>
      <c r="BGO22" t="s">
        <v>1971</v>
      </c>
      <c r="BGP22" t="s">
        <v>1972</v>
      </c>
      <c r="BGQ22" t="s">
        <v>1973</v>
      </c>
      <c r="BGR22" t="s">
        <v>1974</v>
      </c>
      <c r="BGS22" t="s">
        <v>1975</v>
      </c>
      <c r="BGT22" t="s">
        <v>1976</v>
      </c>
      <c r="BGU22" t="s">
        <v>1977</v>
      </c>
      <c r="BGV22" t="s">
        <v>1978</v>
      </c>
      <c r="BGW22" t="s">
        <v>1979</v>
      </c>
      <c r="BGX22" t="s">
        <v>1980</v>
      </c>
      <c r="BGY22" t="s">
        <v>1981</v>
      </c>
      <c r="BGZ22" t="s">
        <v>1982</v>
      </c>
      <c r="BHA22" t="s">
        <v>1983</v>
      </c>
      <c r="BHB22" t="s">
        <v>1984</v>
      </c>
      <c r="BHC22" t="s">
        <v>1985</v>
      </c>
      <c r="BHD22" t="s">
        <v>1986</v>
      </c>
      <c r="BHE22" t="s">
        <v>1987</v>
      </c>
      <c r="BHF22" t="s">
        <v>1988</v>
      </c>
      <c r="BHG22" t="s">
        <v>1989</v>
      </c>
      <c r="BHH22" t="s">
        <v>1990</v>
      </c>
      <c r="BHI22" t="s">
        <v>1991</v>
      </c>
      <c r="BHJ22" t="s">
        <v>1992</v>
      </c>
      <c r="BHK22" t="s">
        <v>1993</v>
      </c>
      <c r="BHL22" t="s">
        <v>1994</v>
      </c>
      <c r="BHM22" t="s">
        <v>1995</v>
      </c>
      <c r="BHN22" t="s">
        <v>1996</v>
      </c>
      <c r="BHO22" t="s">
        <v>1997</v>
      </c>
      <c r="BHP22" t="s">
        <v>1998</v>
      </c>
      <c r="BHQ22" t="s">
        <v>1999</v>
      </c>
      <c r="BHR22" t="s">
        <v>2000</v>
      </c>
      <c r="BHS22" t="s">
        <v>2001</v>
      </c>
      <c r="BHT22" t="s">
        <v>2002</v>
      </c>
      <c r="BHU22" t="s">
        <v>2003</v>
      </c>
      <c r="BHV22" t="s">
        <v>2004</v>
      </c>
      <c r="BHW22" t="s">
        <v>2005</v>
      </c>
      <c r="BHX22" t="s">
        <v>2006</v>
      </c>
      <c r="BHY22" t="s">
        <v>2007</v>
      </c>
      <c r="BHZ22" t="s">
        <v>2008</v>
      </c>
      <c r="BIA22" t="s">
        <v>2009</v>
      </c>
      <c r="BIB22" t="s">
        <v>2010</v>
      </c>
      <c r="BIC22" t="s">
        <v>2011</v>
      </c>
      <c r="BID22" t="s">
        <v>2012</v>
      </c>
      <c r="BIE22" t="s">
        <v>2013</v>
      </c>
      <c r="BIF22" t="s">
        <v>2014</v>
      </c>
      <c r="BIG22" t="s">
        <v>2015</v>
      </c>
      <c r="BIH22" t="s">
        <v>2016</v>
      </c>
      <c r="BII22" t="s">
        <v>2017</v>
      </c>
      <c r="BIJ22" t="s">
        <v>2018</v>
      </c>
      <c r="BIK22" t="s">
        <v>2019</v>
      </c>
      <c r="BIL22" t="s">
        <v>2020</v>
      </c>
      <c r="BIM22" t="s">
        <v>2021</v>
      </c>
      <c r="BIN22" t="s">
        <v>2022</v>
      </c>
      <c r="BIO22" t="s">
        <v>2023</v>
      </c>
      <c r="BIP22" t="s">
        <v>2024</v>
      </c>
      <c r="BIQ22" t="s">
        <v>2025</v>
      </c>
      <c r="BIR22" t="s">
        <v>2026</v>
      </c>
      <c r="BIS22" t="s">
        <v>2027</v>
      </c>
      <c r="BIT22" t="s">
        <v>2028</v>
      </c>
      <c r="BIU22" t="s">
        <v>2029</v>
      </c>
      <c r="BIV22" t="s">
        <v>2030</v>
      </c>
      <c r="BIW22" t="s">
        <v>2031</v>
      </c>
      <c r="BIX22" t="s">
        <v>2032</v>
      </c>
      <c r="BIY22" t="s">
        <v>2033</v>
      </c>
      <c r="BIZ22" t="s">
        <v>2034</v>
      </c>
      <c r="BJA22" t="s">
        <v>2035</v>
      </c>
      <c r="BJB22" t="s">
        <v>2036</v>
      </c>
      <c r="BJC22" t="s">
        <v>2037</v>
      </c>
      <c r="BJD22" t="s">
        <v>2038</v>
      </c>
      <c r="BJE22" t="s">
        <v>2039</v>
      </c>
      <c r="BJF22" t="s">
        <v>2040</v>
      </c>
      <c r="BJG22" t="s">
        <v>2041</v>
      </c>
      <c r="BJH22" t="s">
        <v>2042</v>
      </c>
      <c r="BJI22" t="s">
        <v>2043</v>
      </c>
      <c r="BJJ22" t="s">
        <v>2044</v>
      </c>
      <c r="BJK22" t="s">
        <v>2045</v>
      </c>
      <c r="BJL22" t="s">
        <v>2046</v>
      </c>
      <c r="BJM22" t="s">
        <v>2047</v>
      </c>
      <c r="BJN22" t="s">
        <v>2048</v>
      </c>
      <c r="BJO22" t="s">
        <v>2049</v>
      </c>
      <c r="BJP22" t="s">
        <v>2050</v>
      </c>
      <c r="BJQ22" t="s">
        <v>2051</v>
      </c>
      <c r="BJR22" t="s">
        <v>2052</v>
      </c>
      <c r="BJS22" t="s">
        <v>2053</v>
      </c>
      <c r="BJT22" t="s">
        <v>2054</v>
      </c>
      <c r="BJU22" t="s">
        <v>2055</v>
      </c>
      <c r="BJV22" t="s">
        <v>2056</v>
      </c>
      <c r="BJW22" t="s">
        <v>2057</v>
      </c>
      <c r="BJX22" t="s">
        <v>2058</v>
      </c>
      <c r="BJY22" t="s">
        <v>2059</v>
      </c>
      <c r="BJZ22" t="s">
        <v>2060</v>
      </c>
      <c r="BKA22" t="s">
        <v>2061</v>
      </c>
      <c r="BKB22" t="s">
        <v>2062</v>
      </c>
      <c r="BKC22" t="s">
        <v>2063</v>
      </c>
      <c r="BKD22" t="s">
        <v>2064</v>
      </c>
      <c r="BKE22" t="s">
        <v>2065</v>
      </c>
      <c r="BKF22" t="s">
        <v>2066</v>
      </c>
      <c r="BKG22" t="s">
        <v>2067</v>
      </c>
      <c r="BKH22" t="s">
        <v>2068</v>
      </c>
      <c r="BKI22" t="s">
        <v>2069</v>
      </c>
      <c r="BKJ22" t="s">
        <v>2070</v>
      </c>
      <c r="BKK22" t="s">
        <v>2071</v>
      </c>
      <c r="BKL22" t="s">
        <v>2072</v>
      </c>
      <c r="BKM22" t="s">
        <v>2073</v>
      </c>
      <c r="BKN22" t="s">
        <v>2074</v>
      </c>
      <c r="BKO22" t="s">
        <v>2075</v>
      </c>
      <c r="BKP22" t="s">
        <v>2076</v>
      </c>
      <c r="BKQ22" t="s">
        <v>2077</v>
      </c>
      <c r="BKR22" t="s">
        <v>2078</v>
      </c>
      <c r="BKS22" t="s">
        <v>2079</v>
      </c>
      <c r="BKT22" t="s">
        <v>2080</v>
      </c>
      <c r="BKU22" t="s">
        <v>2081</v>
      </c>
      <c r="BKV22" t="s">
        <v>2082</v>
      </c>
      <c r="BKW22" t="s">
        <v>2083</v>
      </c>
      <c r="BKX22" t="s">
        <v>2084</v>
      </c>
      <c r="BKY22" t="s">
        <v>2085</v>
      </c>
      <c r="BKZ22" t="s">
        <v>2086</v>
      </c>
      <c r="BLA22" t="s">
        <v>2087</v>
      </c>
      <c r="BLB22" t="s">
        <v>2088</v>
      </c>
      <c r="BLC22" t="s">
        <v>2089</v>
      </c>
      <c r="BLD22" t="s">
        <v>2090</v>
      </c>
      <c r="BLE22" t="s">
        <v>2091</v>
      </c>
      <c r="BLF22" t="s">
        <v>2092</v>
      </c>
      <c r="BLG22" t="s">
        <v>2093</v>
      </c>
      <c r="BLH22" t="s">
        <v>2094</v>
      </c>
      <c r="BLI22" t="s">
        <v>2095</v>
      </c>
      <c r="BLJ22" t="s">
        <v>2096</v>
      </c>
      <c r="BLK22" t="s">
        <v>2097</v>
      </c>
      <c r="BLL22" t="s">
        <v>2098</v>
      </c>
      <c r="BLM22" t="s">
        <v>2099</v>
      </c>
      <c r="BLN22" t="s">
        <v>2100</v>
      </c>
      <c r="BLO22" t="s">
        <v>2101</v>
      </c>
      <c r="BLP22" t="s">
        <v>2102</v>
      </c>
      <c r="BLQ22" t="s">
        <v>2103</v>
      </c>
      <c r="BLR22" t="s">
        <v>2104</v>
      </c>
      <c r="BLS22" t="s">
        <v>2105</v>
      </c>
      <c r="BLT22" t="s">
        <v>2106</v>
      </c>
      <c r="BLU22" t="s">
        <v>2107</v>
      </c>
      <c r="BLV22" t="s">
        <v>2108</v>
      </c>
      <c r="BLW22" t="s">
        <v>2109</v>
      </c>
      <c r="BLX22" t="s">
        <v>2110</v>
      </c>
      <c r="BLY22" t="s">
        <v>2111</v>
      </c>
      <c r="BLZ22" t="s">
        <v>2112</v>
      </c>
      <c r="BMA22" t="s">
        <v>2113</v>
      </c>
      <c r="BMB22" t="s">
        <v>2114</v>
      </c>
      <c r="BMC22" t="s">
        <v>2115</v>
      </c>
      <c r="BMD22" t="s">
        <v>2116</v>
      </c>
      <c r="BME22" t="s">
        <v>2117</v>
      </c>
      <c r="BMF22" t="s">
        <v>2118</v>
      </c>
      <c r="BMG22" t="s">
        <v>2119</v>
      </c>
      <c r="BMH22" t="s">
        <v>2120</v>
      </c>
      <c r="BMI22" t="s">
        <v>2121</v>
      </c>
      <c r="BMJ22" t="s">
        <v>2122</v>
      </c>
      <c r="BMK22" t="s">
        <v>2123</v>
      </c>
      <c r="BML22" t="s">
        <v>2124</v>
      </c>
      <c r="BMM22" t="s">
        <v>2125</v>
      </c>
      <c r="BMN22" t="s">
        <v>2126</v>
      </c>
      <c r="BMO22" t="s">
        <v>2127</v>
      </c>
      <c r="BMP22" t="s">
        <v>2128</v>
      </c>
      <c r="BMQ22" t="s">
        <v>2129</v>
      </c>
      <c r="BMR22" t="s">
        <v>2130</v>
      </c>
      <c r="BMS22" t="s">
        <v>2131</v>
      </c>
      <c r="BMT22" t="s">
        <v>2132</v>
      </c>
      <c r="BMU22" t="s">
        <v>2133</v>
      </c>
      <c r="BMV22" t="s">
        <v>2134</v>
      </c>
      <c r="BMW22" t="s">
        <v>2135</v>
      </c>
      <c r="BMX22" t="s">
        <v>2136</v>
      </c>
      <c r="BMY22" t="s">
        <v>2137</v>
      </c>
      <c r="BMZ22" t="s">
        <v>2138</v>
      </c>
      <c r="BNA22" t="s">
        <v>2139</v>
      </c>
      <c r="BNB22" t="s">
        <v>2140</v>
      </c>
      <c r="BNC22" t="s">
        <v>2141</v>
      </c>
      <c r="BND22" t="s">
        <v>2142</v>
      </c>
      <c r="BNE22" t="s">
        <v>2143</v>
      </c>
      <c r="BNF22" t="s">
        <v>2144</v>
      </c>
      <c r="BNG22" t="s">
        <v>2145</v>
      </c>
      <c r="BNH22" t="s">
        <v>2146</v>
      </c>
      <c r="BNI22" t="s">
        <v>2147</v>
      </c>
      <c r="BNJ22" t="s">
        <v>2148</v>
      </c>
      <c r="BNK22" t="s">
        <v>2149</v>
      </c>
      <c r="BNL22" t="s">
        <v>2150</v>
      </c>
      <c r="BNM22" t="s">
        <v>2151</v>
      </c>
      <c r="BNN22" t="s">
        <v>2152</v>
      </c>
      <c r="BNO22" t="s">
        <v>2153</v>
      </c>
      <c r="BNP22" t="s">
        <v>2154</v>
      </c>
      <c r="BNQ22" t="s">
        <v>2155</v>
      </c>
      <c r="BNR22" t="s">
        <v>2156</v>
      </c>
      <c r="BNS22" t="s">
        <v>2157</v>
      </c>
      <c r="BNT22" t="s">
        <v>2158</v>
      </c>
      <c r="BNU22" t="s">
        <v>2159</v>
      </c>
      <c r="BNV22" t="s">
        <v>2160</v>
      </c>
      <c r="BNW22" t="s">
        <v>2161</v>
      </c>
      <c r="BNX22" t="s">
        <v>2162</v>
      </c>
      <c r="BNY22" t="s">
        <v>2163</v>
      </c>
      <c r="BNZ22" t="s">
        <v>2164</v>
      </c>
      <c r="BOA22" t="s">
        <v>2165</v>
      </c>
      <c r="BOB22" t="s">
        <v>2166</v>
      </c>
      <c r="BOC22" t="s">
        <v>2167</v>
      </c>
      <c r="BOD22" t="s">
        <v>2168</v>
      </c>
      <c r="BOE22" t="s">
        <v>2169</v>
      </c>
      <c r="BOF22" t="s">
        <v>2170</v>
      </c>
      <c r="BOG22" t="s">
        <v>2171</v>
      </c>
      <c r="BOH22" t="s">
        <v>2172</v>
      </c>
      <c r="BOI22" t="s">
        <v>2173</v>
      </c>
      <c r="BOJ22" t="s">
        <v>2174</v>
      </c>
      <c r="BOK22" t="s">
        <v>2175</v>
      </c>
      <c r="BOL22" t="s">
        <v>2176</v>
      </c>
      <c r="BOM22" t="s">
        <v>2177</v>
      </c>
      <c r="BON22" t="s">
        <v>2178</v>
      </c>
      <c r="BOO22" t="s">
        <v>2179</v>
      </c>
      <c r="BOP22" t="s">
        <v>2180</v>
      </c>
      <c r="BOQ22" t="s">
        <v>2181</v>
      </c>
      <c r="BOR22" t="s">
        <v>2182</v>
      </c>
      <c r="BOS22" t="s">
        <v>2183</v>
      </c>
      <c r="BOT22" t="s">
        <v>2184</v>
      </c>
      <c r="BOU22" t="s">
        <v>2185</v>
      </c>
      <c r="BOV22" t="s">
        <v>2186</v>
      </c>
      <c r="BOW22" t="s">
        <v>2187</v>
      </c>
      <c r="BOX22" t="s">
        <v>2188</v>
      </c>
      <c r="BOY22" t="s">
        <v>2189</v>
      </c>
      <c r="BOZ22" t="s">
        <v>2190</v>
      </c>
      <c r="BPA22" t="s">
        <v>2191</v>
      </c>
      <c r="BPB22" t="s">
        <v>2192</v>
      </c>
      <c r="BPC22" t="s">
        <v>2193</v>
      </c>
      <c r="BPD22" t="s">
        <v>2194</v>
      </c>
      <c r="BPE22" t="s">
        <v>2195</v>
      </c>
      <c r="BPF22" t="s">
        <v>2196</v>
      </c>
      <c r="BPG22" t="s">
        <v>2197</v>
      </c>
      <c r="BPH22" t="s">
        <v>2198</v>
      </c>
      <c r="BPI22" t="s">
        <v>2199</v>
      </c>
      <c r="BPJ22" t="s">
        <v>2200</v>
      </c>
      <c r="BPK22" t="s">
        <v>2201</v>
      </c>
      <c r="BPL22" t="s">
        <v>2202</v>
      </c>
      <c r="BPM22" t="s">
        <v>2203</v>
      </c>
      <c r="BPN22" t="s">
        <v>2204</v>
      </c>
      <c r="BPO22" t="s">
        <v>2205</v>
      </c>
      <c r="BPP22" t="s">
        <v>2206</v>
      </c>
      <c r="BPQ22" t="s">
        <v>2207</v>
      </c>
      <c r="BPR22" t="s">
        <v>2208</v>
      </c>
      <c r="BPS22" t="s">
        <v>2209</v>
      </c>
      <c r="BPT22" t="s">
        <v>2210</v>
      </c>
      <c r="BPU22" t="s">
        <v>2211</v>
      </c>
      <c r="BPV22" t="s">
        <v>2212</v>
      </c>
      <c r="BPW22" t="s">
        <v>2213</v>
      </c>
      <c r="BPX22" t="s">
        <v>2214</v>
      </c>
      <c r="BPY22" t="s">
        <v>2215</v>
      </c>
      <c r="BPZ22" t="s">
        <v>2216</v>
      </c>
      <c r="BQA22" t="s">
        <v>2217</v>
      </c>
      <c r="BQB22" t="s">
        <v>2218</v>
      </c>
      <c r="BQC22" t="s">
        <v>2219</v>
      </c>
      <c r="BQD22" t="s">
        <v>2220</v>
      </c>
      <c r="BQE22" t="s">
        <v>2221</v>
      </c>
      <c r="BQF22" t="s">
        <v>2222</v>
      </c>
      <c r="BQG22" t="s">
        <v>2223</v>
      </c>
      <c r="BQH22" t="s">
        <v>2224</v>
      </c>
      <c r="BQI22" t="s">
        <v>2225</v>
      </c>
      <c r="BQJ22" t="s">
        <v>2226</v>
      </c>
      <c r="BQK22" t="s">
        <v>2227</v>
      </c>
      <c r="BQL22" t="s">
        <v>2228</v>
      </c>
      <c r="BQM22" t="s">
        <v>2229</v>
      </c>
      <c r="BQN22" t="s">
        <v>2230</v>
      </c>
      <c r="BQO22" t="s">
        <v>2231</v>
      </c>
      <c r="BQP22" t="s">
        <v>2232</v>
      </c>
      <c r="BQQ22" t="s">
        <v>2233</v>
      </c>
      <c r="BQR22" t="s">
        <v>2234</v>
      </c>
      <c r="BQS22" t="s">
        <v>2235</v>
      </c>
      <c r="BQT22" t="s">
        <v>2236</v>
      </c>
      <c r="BQU22" t="s">
        <v>2237</v>
      </c>
      <c r="BQV22" t="s">
        <v>2238</v>
      </c>
      <c r="BQW22" t="s">
        <v>2239</v>
      </c>
      <c r="BQX22" t="s">
        <v>2240</v>
      </c>
      <c r="BQY22" t="s">
        <v>2241</v>
      </c>
      <c r="BQZ22" t="s">
        <v>2242</v>
      </c>
      <c r="BRA22" t="s">
        <v>2243</v>
      </c>
      <c r="BRB22" t="s">
        <v>2244</v>
      </c>
      <c r="BRC22" t="s">
        <v>2245</v>
      </c>
      <c r="BRD22" t="s">
        <v>2246</v>
      </c>
      <c r="BRE22" t="s">
        <v>2247</v>
      </c>
      <c r="BRF22" t="s">
        <v>2248</v>
      </c>
      <c r="BRG22" t="s">
        <v>2249</v>
      </c>
      <c r="BRH22" t="s">
        <v>2250</v>
      </c>
      <c r="BRI22" t="s">
        <v>2251</v>
      </c>
      <c r="BRJ22" t="s">
        <v>2252</v>
      </c>
      <c r="BRK22" t="s">
        <v>2253</v>
      </c>
      <c r="BRL22" t="s">
        <v>2254</v>
      </c>
      <c r="BRM22" t="s">
        <v>2255</v>
      </c>
      <c r="BRN22" t="s">
        <v>2256</v>
      </c>
      <c r="BRO22" t="s">
        <v>2257</v>
      </c>
      <c r="BRP22" t="s">
        <v>2258</v>
      </c>
      <c r="BRQ22" t="s">
        <v>2259</v>
      </c>
      <c r="BRR22" t="s">
        <v>2260</v>
      </c>
      <c r="BRS22" t="s">
        <v>2261</v>
      </c>
      <c r="BRT22" t="s">
        <v>2262</v>
      </c>
      <c r="BRU22" t="s">
        <v>2263</v>
      </c>
      <c r="BRV22" t="s">
        <v>2264</v>
      </c>
      <c r="BRW22" t="s">
        <v>2265</v>
      </c>
      <c r="BRX22" t="s">
        <v>2266</v>
      </c>
      <c r="BRY22" t="s">
        <v>2267</v>
      </c>
      <c r="BRZ22" t="s">
        <v>2268</v>
      </c>
      <c r="BSA22" t="s">
        <v>2269</v>
      </c>
      <c r="BSB22" t="s">
        <v>2270</v>
      </c>
      <c r="BSC22" t="s">
        <v>2271</v>
      </c>
      <c r="BSD22" t="s">
        <v>2272</v>
      </c>
      <c r="BSE22" t="s">
        <v>2273</v>
      </c>
      <c r="BSF22" t="s">
        <v>2274</v>
      </c>
      <c r="BSG22" t="s">
        <v>2275</v>
      </c>
      <c r="BSH22" t="s">
        <v>2276</v>
      </c>
      <c r="BSI22" t="s">
        <v>2277</v>
      </c>
      <c r="BSJ22" t="s">
        <v>2278</v>
      </c>
      <c r="BSK22" t="s">
        <v>2279</v>
      </c>
      <c r="BSL22" t="s">
        <v>2280</v>
      </c>
      <c r="BSM22" t="s">
        <v>2281</v>
      </c>
      <c r="BSN22" t="s">
        <v>2282</v>
      </c>
      <c r="BSO22" t="s">
        <v>2283</v>
      </c>
      <c r="BSP22" t="s">
        <v>2284</v>
      </c>
      <c r="BSQ22" t="s">
        <v>2285</v>
      </c>
      <c r="BSR22" t="s">
        <v>2286</v>
      </c>
      <c r="BSS22" t="s">
        <v>2287</v>
      </c>
      <c r="BST22" t="s">
        <v>2288</v>
      </c>
      <c r="BSU22" t="s">
        <v>2289</v>
      </c>
      <c r="BSV22" t="s">
        <v>2290</v>
      </c>
      <c r="BSW22" t="s">
        <v>2291</v>
      </c>
      <c r="BSX22" t="s">
        <v>2292</v>
      </c>
      <c r="BSY22" t="s">
        <v>2293</v>
      </c>
      <c r="BSZ22" t="s">
        <v>2294</v>
      </c>
      <c r="BTA22" t="s">
        <v>2295</v>
      </c>
      <c r="BTB22" t="s">
        <v>2296</v>
      </c>
      <c r="BTC22" t="s">
        <v>2297</v>
      </c>
      <c r="BTD22" t="s">
        <v>2298</v>
      </c>
      <c r="BTE22" t="s">
        <v>2299</v>
      </c>
      <c r="BTF22" t="s">
        <v>2300</v>
      </c>
      <c r="BTG22" t="s">
        <v>2301</v>
      </c>
      <c r="BTH22" t="s">
        <v>2302</v>
      </c>
      <c r="BTI22" t="s">
        <v>2303</v>
      </c>
      <c r="BTJ22" t="s">
        <v>2304</v>
      </c>
      <c r="BTK22" t="s">
        <v>2305</v>
      </c>
      <c r="BTL22" t="s">
        <v>2306</v>
      </c>
      <c r="BTM22" t="s">
        <v>2307</v>
      </c>
      <c r="BTN22" t="s">
        <v>2308</v>
      </c>
      <c r="BTO22" t="s">
        <v>2309</v>
      </c>
      <c r="BTP22" t="s">
        <v>2310</v>
      </c>
      <c r="BTQ22" t="s">
        <v>2311</v>
      </c>
      <c r="BTR22" t="s">
        <v>2312</v>
      </c>
      <c r="BTS22" t="s">
        <v>2313</v>
      </c>
      <c r="BTT22" t="s">
        <v>2314</v>
      </c>
      <c r="BTU22" t="s">
        <v>2315</v>
      </c>
      <c r="BTV22" t="s">
        <v>2316</v>
      </c>
      <c r="BTW22" t="s">
        <v>2317</v>
      </c>
      <c r="BTX22" t="s">
        <v>2318</v>
      </c>
      <c r="BTY22" t="s">
        <v>2319</v>
      </c>
      <c r="BTZ22" t="s">
        <v>2320</v>
      </c>
      <c r="BUA22" t="s">
        <v>2321</v>
      </c>
      <c r="BUB22" t="s">
        <v>2322</v>
      </c>
      <c r="BUC22" t="s">
        <v>2323</v>
      </c>
      <c r="BUD22" t="s">
        <v>2324</v>
      </c>
      <c r="BUE22" t="s">
        <v>2325</v>
      </c>
      <c r="BUF22" t="s">
        <v>2326</v>
      </c>
      <c r="BUG22" t="s">
        <v>2327</v>
      </c>
      <c r="BUH22" t="s">
        <v>2328</v>
      </c>
      <c r="BUI22" t="s">
        <v>2329</v>
      </c>
      <c r="BUJ22" t="s">
        <v>2330</v>
      </c>
      <c r="BUK22" t="s">
        <v>2331</v>
      </c>
      <c r="BUL22" t="s">
        <v>2332</v>
      </c>
      <c r="BUM22" t="s">
        <v>2333</v>
      </c>
      <c r="BUN22" t="s">
        <v>2334</v>
      </c>
      <c r="BUO22" t="s">
        <v>2335</v>
      </c>
      <c r="BUP22" t="s">
        <v>2336</v>
      </c>
      <c r="BUQ22" t="s">
        <v>2337</v>
      </c>
      <c r="BUR22" t="s">
        <v>2338</v>
      </c>
      <c r="BUS22" t="s">
        <v>2339</v>
      </c>
      <c r="BUT22" t="s">
        <v>2340</v>
      </c>
      <c r="BUU22" t="s">
        <v>2341</v>
      </c>
      <c r="BUV22" t="s">
        <v>2342</v>
      </c>
      <c r="BUW22" t="s">
        <v>2343</v>
      </c>
      <c r="BUX22" t="s">
        <v>2344</v>
      </c>
      <c r="BUY22" t="s">
        <v>2345</v>
      </c>
      <c r="BUZ22" t="s">
        <v>2346</v>
      </c>
      <c r="BVA22" t="s">
        <v>2347</v>
      </c>
      <c r="BVB22" t="s">
        <v>2348</v>
      </c>
      <c r="BVC22" t="s">
        <v>2349</v>
      </c>
      <c r="BVD22" t="s">
        <v>2350</v>
      </c>
      <c r="BVE22" t="s">
        <v>2351</v>
      </c>
      <c r="BVF22" t="s">
        <v>2352</v>
      </c>
      <c r="BVG22" t="s">
        <v>2353</v>
      </c>
      <c r="BVH22" t="s">
        <v>2354</v>
      </c>
      <c r="BVI22" t="s">
        <v>2355</v>
      </c>
      <c r="BVJ22" t="s">
        <v>2356</v>
      </c>
      <c r="BVK22" t="s">
        <v>2357</v>
      </c>
      <c r="BVL22" t="s">
        <v>2358</v>
      </c>
      <c r="BVM22" t="s">
        <v>2359</v>
      </c>
      <c r="BVN22" t="s">
        <v>2360</v>
      </c>
      <c r="BVO22" t="s">
        <v>2361</v>
      </c>
      <c r="BVP22" t="s">
        <v>2362</v>
      </c>
      <c r="BVQ22" t="s">
        <v>2363</v>
      </c>
      <c r="BVR22" t="s">
        <v>2364</v>
      </c>
      <c r="BVS22" t="s">
        <v>2365</v>
      </c>
      <c r="BVT22" t="s">
        <v>2366</v>
      </c>
      <c r="BVU22" t="s">
        <v>2367</v>
      </c>
      <c r="BVV22" t="s">
        <v>2368</v>
      </c>
      <c r="BVW22" t="s">
        <v>2369</v>
      </c>
      <c r="BVX22" t="s">
        <v>2370</v>
      </c>
      <c r="BVY22" t="s">
        <v>2371</v>
      </c>
      <c r="BVZ22" t="s">
        <v>2372</v>
      </c>
      <c r="BWA22" t="s">
        <v>2373</v>
      </c>
      <c r="BWB22" t="s">
        <v>2374</v>
      </c>
      <c r="BWC22" t="s">
        <v>2375</v>
      </c>
      <c r="BWD22" t="s">
        <v>2376</v>
      </c>
      <c r="BWE22" t="s">
        <v>2377</v>
      </c>
      <c r="BWF22" t="s">
        <v>2378</v>
      </c>
      <c r="BWG22" t="s">
        <v>2379</v>
      </c>
      <c r="BWH22" t="s">
        <v>2380</v>
      </c>
      <c r="BWI22" t="s">
        <v>2381</v>
      </c>
      <c r="BWJ22" t="s">
        <v>2382</v>
      </c>
      <c r="BWK22" t="s">
        <v>2383</v>
      </c>
      <c r="BWL22" t="s">
        <v>2384</v>
      </c>
      <c r="BWM22" t="s">
        <v>2385</v>
      </c>
      <c r="BWN22" t="s">
        <v>2386</v>
      </c>
      <c r="BWO22" t="s">
        <v>2387</v>
      </c>
      <c r="BWP22" t="s">
        <v>2388</v>
      </c>
      <c r="BWQ22" t="s">
        <v>2389</v>
      </c>
      <c r="BWR22" t="s">
        <v>2390</v>
      </c>
      <c r="BWS22" t="s">
        <v>2391</v>
      </c>
      <c r="BWT22" t="s">
        <v>2392</v>
      </c>
      <c r="BWU22" t="s">
        <v>2393</v>
      </c>
      <c r="BWV22" t="s">
        <v>2394</v>
      </c>
      <c r="BWW22" t="s">
        <v>2395</v>
      </c>
      <c r="BWX22" t="s">
        <v>2396</v>
      </c>
      <c r="BWY22" t="s">
        <v>2397</v>
      </c>
      <c r="BWZ22" t="s">
        <v>2398</v>
      </c>
      <c r="BXA22" t="s">
        <v>2399</v>
      </c>
      <c r="BXB22" t="s">
        <v>2400</v>
      </c>
      <c r="BXC22" t="s">
        <v>2401</v>
      </c>
      <c r="BXD22" t="s">
        <v>2402</v>
      </c>
      <c r="BXE22" t="s">
        <v>2403</v>
      </c>
      <c r="BXF22" t="s">
        <v>2404</v>
      </c>
      <c r="BXG22" t="s">
        <v>2405</v>
      </c>
      <c r="BXH22" t="s">
        <v>2406</v>
      </c>
      <c r="BXI22" t="s">
        <v>2407</v>
      </c>
      <c r="BXJ22" t="s">
        <v>2408</v>
      </c>
      <c r="BXK22" t="s">
        <v>2409</v>
      </c>
      <c r="BXL22" t="s">
        <v>2410</v>
      </c>
      <c r="BXM22" t="s">
        <v>2411</v>
      </c>
      <c r="BXN22" t="s">
        <v>2412</v>
      </c>
      <c r="BXO22" t="s">
        <v>2413</v>
      </c>
      <c r="BXP22" t="s">
        <v>2414</v>
      </c>
      <c r="BXQ22" t="s">
        <v>2415</v>
      </c>
      <c r="BXR22" t="s">
        <v>2416</v>
      </c>
      <c r="BXS22" t="s">
        <v>2417</v>
      </c>
      <c r="BXT22" t="s">
        <v>2418</v>
      </c>
      <c r="BXU22" t="s">
        <v>2419</v>
      </c>
      <c r="BXV22" t="s">
        <v>2420</v>
      </c>
      <c r="BXW22" t="s">
        <v>2421</v>
      </c>
      <c r="BXX22" t="s">
        <v>2422</v>
      </c>
      <c r="BXY22" t="s">
        <v>2423</v>
      </c>
      <c r="BXZ22" t="s">
        <v>2424</v>
      </c>
      <c r="BYA22" t="s">
        <v>2425</v>
      </c>
      <c r="BYB22" t="s">
        <v>2426</v>
      </c>
      <c r="BYC22" t="s">
        <v>2427</v>
      </c>
      <c r="BYD22" t="s">
        <v>2428</v>
      </c>
      <c r="BYE22" t="s">
        <v>2429</v>
      </c>
      <c r="BYF22" t="s">
        <v>2430</v>
      </c>
      <c r="BYG22" t="s">
        <v>2431</v>
      </c>
      <c r="BYH22" t="s">
        <v>2432</v>
      </c>
      <c r="BYI22" t="s">
        <v>2433</v>
      </c>
      <c r="BYJ22" t="s">
        <v>2434</v>
      </c>
      <c r="BYK22" t="s">
        <v>2435</v>
      </c>
      <c r="BYL22" t="s">
        <v>2436</v>
      </c>
      <c r="BYM22" t="s">
        <v>2437</v>
      </c>
      <c r="BYN22" t="s">
        <v>2438</v>
      </c>
      <c r="BYO22" t="s">
        <v>2439</v>
      </c>
      <c r="BYP22" t="s">
        <v>2440</v>
      </c>
      <c r="BYQ22" t="s">
        <v>2441</v>
      </c>
      <c r="BYR22" t="s">
        <v>2442</v>
      </c>
      <c r="BYS22" t="s">
        <v>2443</v>
      </c>
      <c r="BYT22" t="s">
        <v>2444</v>
      </c>
      <c r="BYU22" t="s">
        <v>2445</v>
      </c>
      <c r="BYV22" t="s">
        <v>2446</v>
      </c>
      <c r="BYW22" t="s">
        <v>2447</v>
      </c>
      <c r="BYX22" t="s">
        <v>2448</v>
      </c>
      <c r="BYY22" t="s">
        <v>2449</v>
      </c>
      <c r="BYZ22" t="s">
        <v>2450</v>
      </c>
      <c r="BZA22" t="s">
        <v>2451</v>
      </c>
      <c r="BZB22" t="s">
        <v>2452</v>
      </c>
      <c r="BZC22" t="s">
        <v>2453</v>
      </c>
      <c r="BZD22" t="s">
        <v>2454</v>
      </c>
      <c r="BZE22" t="s">
        <v>2455</v>
      </c>
      <c r="BZF22" t="s">
        <v>2456</v>
      </c>
      <c r="BZG22" t="s">
        <v>2457</v>
      </c>
      <c r="BZH22" t="s">
        <v>2458</v>
      </c>
      <c r="BZI22" t="s">
        <v>2459</v>
      </c>
      <c r="BZJ22" t="s">
        <v>2460</v>
      </c>
      <c r="BZK22" t="s">
        <v>2461</v>
      </c>
      <c r="BZL22" t="s">
        <v>2462</v>
      </c>
      <c r="BZM22" t="s">
        <v>2463</v>
      </c>
      <c r="BZN22" t="s">
        <v>2464</v>
      </c>
      <c r="BZO22" t="s">
        <v>2465</v>
      </c>
      <c r="BZP22" t="s">
        <v>2466</v>
      </c>
      <c r="BZQ22" t="s">
        <v>2467</v>
      </c>
      <c r="BZR22" t="s">
        <v>2468</v>
      </c>
      <c r="BZS22" t="s">
        <v>2469</v>
      </c>
      <c r="BZT22" t="s">
        <v>2470</v>
      </c>
      <c r="BZU22" t="s">
        <v>2471</v>
      </c>
      <c r="BZV22" t="s">
        <v>2472</v>
      </c>
      <c r="BZW22" t="s">
        <v>2473</v>
      </c>
      <c r="BZX22" t="s">
        <v>2474</v>
      </c>
      <c r="BZY22" t="s">
        <v>2475</v>
      </c>
      <c r="BZZ22" t="s">
        <v>2476</v>
      </c>
      <c r="CAA22" t="s">
        <v>2477</v>
      </c>
      <c r="CAB22" t="s">
        <v>2478</v>
      </c>
      <c r="CAC22" t="s">
        <v>2479</v>
      </c>
      <c r="CAD22" t="s">
        <v>2480</v>
      </c>
      <c r="CAE22" t="s">
        <v>2481</v>
      </c>
      <c r="CAF22" t="s">
        <v>2482</v>
      </c>
      <c r="CAG22" t="s">
        <v>2483</v>
      </c>
      <c r="CAH22" t="s">
        <v>2484</v>
      </c>
      <c r="CAI22" t="s">
        <v>2485</v>
      </c>
      <c r="CAJ22" t="s">
        <v>2486</v>
      </c>
      <c r="CAK22" t="s">
        <v>2487</v>
      </c>
      <c r="CAL22" t="s">
        <v>2488</v>
      </c>
      <c r="CAM22" t="s">
        <v>2489</v>
      </c>
      <c r="CAN22" t="s">
        <v>2490</v>
      </c>
      <c r="CAO22" t="s">
        <v>2491</v>
      </c>
      <c r="CAP22" t="s">
        <v>2492</v>
      </c>
      <c r="CAQ22" t="s">
        <v>2493</v>
      </c>
      <c r="CAR22" t="s">
        <v>2494</v>
      </c>
      <c r="CAS22" t="s">
        <v>2495</v>
      </c>
      <c r="CAT22" t="s">
        <v>2496</v>
      </c>
      <c r="CAU22" t="s">
        <v>2497</v>
      </c>
      <c r="CAV22" t="s">
        <v>2498</v>
      </c>
      <c r="CAW22" t="s">
        <v>2499</v>
      </c>
      <c r="CAX22" t="s">
        <v>2500</v>
      </c>
      <c r="CAY22" t="s">
        <v>2501</v>
      </c>
      <c r="CAZ22" t="s">
        <v>2502</v>
      </c>
      <c r="CBA22" t="s">
        <v>2503</v>
      </c>
      <c r="CBB22" t="s">
        <v>2504</v>
      </c>
      <c r="CBC22" t="s">
        <v>2505</v>
      </c>
      <c r="CBD22" t="s">
        <v>2506</v>
      </c>
      <c r="CBE22" t="s">
        <v>2507</v>
      </c>
      <c r="CBF22" t="s">
        <v>2508</v>
      </c>
      <c r="CBG22" t="s">
        <v>2509</v>
      </c>
      <c r="CBH22" t="s">
        <v>2510</v>
      </c>
      <c r="CBI22" t="s">
        <v>2511</v>
      </c>
      <c r="CBJ22" t="s">
        <v>2512</v>
      </c>
      <c r="CBK22" t="s">
        <v>2513</v>
      </c>
      <c r="CBL22" t="s">
        <v>2514</v>
      </c>
      <c r="CBM22" t="s">
        <v>2515</v>
      </c>
      <c r="CBN22" t="s">
        <v>2516</v>
      </c>
      <c r="CBO22" t="s">
        <v>2517</v>
      </c>
      <c r="CBP22" t="s">
        <v>2518</v>
      </c>
      <c r="CBQ22" t="s">
        <v>2519</v>
      </c>
      <c r="CBR22" t="s">
        <v>2520</v>
      </c>
      <c r="CBS22" t="s">
        <v>2521</v>
      </c>
      <c r="CBT22" t="s">
        <v>2522</v>
      </c>
      <c r="CBU22" t="s">
        <v>2523</v>
      </c>
      <c r="CBV22" t="s">
        <v>2524</v>
      </c>
      <c r="CBW22" t="s">
        <v>2525</v>
      </c>
      <c r="CBX22" t="s">
        <v>2526</v>
      </c>
      <c r="CBY22" t="s">
        <v>2527</v>
      </c>
      <c r="CBZ22" t="s">
        <v>2528</v>
      </c>
      <c r="CCA22" t="s">
        <v>2529</v>
      </c>
      <c r="CCB22" t="s">
        <v>2530</v>
      </c>
      <c r="CCC22" t="s">
        <v>2531</v>
      </c>
      <c r="CCD22" t="s">
        <v>2532</v>
      </c>
      <c r="CCE22" t="s">
        <v>2533</v>
      </c>
      <c r="CCF22" t="s">
        <v>2534</v>
      </c>
      <c r="CCG22" t="s">
        <v>2535</v>
      </c>
      <c r="CCH22" t="s">
        <v>2536</v>
      </c>
      <c r="CCI22" t="s">
        <v>2537</v>
      </c>
      <c r="CCJ22" t="s">
        <v>2538</v>
      </c>
      <c r="CCK22" t="s">
        <v>2539</v>
      </c>
      <c r="CCL22" t="s">
        <v>2540</v>
      </c>
      <c r="CCM22" t="s">
        <v>2541</v>
      </c>
      <c r="CCN22" t="s">
        <v>2542</v>
      </c>
      <c r="CCO22" t="s">
        <v>2543</v>
      </c>
      <c r="CCP22" t="s">
        <v>2544</v>
      </c>
      <c r="CCQ22" t="s">
        <v>2545</v>
      </c>
      <c r="CCR22" t="s">
        <v>2546</v>
      </c>
      <c r="CCS22" t="s">
        <v>2547</v>
      </c>
      <c r="CCT22" t="s">
        <v>2548</v>
      </c>
      <c r="CCU22" t="s">
        <v>2549</v>
      </c>
      <c r="CCV22" t="s">
        <v>2550</v>
      </c>
      <c r="CCW22" t="s">
        <v>2551</v>
      </c>
      <c r="CCX22" t="s">
        <v>2552</v>
      </c>
      <c r="CCY22" t="s">
        <v>2553</v>
      </c>
      <c r="CCZ22" t="s">
        <v>2554</v>
      </c>
      <c r="CDA22" t="s">
        <v>2555</v>
      </c>
      <c r="CDB22" t="s">
        <v>2556</v>
      </c>
      <c r="CDC22" t="s">
        <v>2557</v>
      </c>
      <c r="CDD22" t="s">
        <v>2558</v>
      </c>
      <c r="CDE22" t="s">
        <v>2559</v>
      </c>
      <c r="CDF22" t="s">
        <v>2560</v>
      </c>
      <c r="CDG22" t="s">
        <v>2561</v>
      </c>
      <c r="CDH22" t="s">
        <v>2562</v>
      </c>
      <c r="CDI22" t="s">
        <v>2563</v>
      </c>
      <c r="CDJ22" t="s">
        <v>2564</v>
      </c>
      <c r="CDK22" t="s">
        <v>2565</v>
      </c>
      <c r="CDL22" t="s">
        <v>2566</v>
      </c>
      <c r="CDM22" t="s">
        <v>2567</v>
      </c>
      <c r="CDN22" t="s">
        <v>2568</v>
      </c>
      <c r="CDO22" t="s">
        <v>2569</v>
      </c>
      <c r="CDP22" t="s">
        <v>2570</v>
      </c>
      <c r="CDQ22" t="s">
        <v>2571</v>
      </c>
      <c r="CDR22" t="s">
        <v>2572</v>
      </c>
      <c r="CDS22" t="s">
        <v>2573</v>
      </c>
      <c r="CDT22" t="s">
        <v>2574</v>
      </c>
      <c r="CDU22" t="s">
        <v>2575</v>
      </c>
      <c r="CDV22" t="s">
        <v>2576</v>
      </c>
      <c r="CDW22" t="s">
        <v>2577</v>
      </c>
      <c r="CDX22" t="s">
        <v>2578</v>
      </c>
      <c r="CDY22" t="s">
        <v>2579</v>
      </c>
      <c r="CDZ22" t="s">
        <v>2580</v>
      </c>
      <c r="CEA22" t="s">
        <v>2581</v>
      </c>
      <c r="CEB22" t="s">
        <v>2582</v>
      </c>
      <c r="CEC22" t="s">
        <v>2583</v>
      </c>
      <c r="CED22" t="s">
        <v>2584</v>
      </c>
      <c r="CEE22" t="s">
        <v>2585</v>
      </c>
      <c r="CEF22" t="s">
        <v>2586</v>
      </c>
      <c r="CEG22" t="s">
        <v>2587</v>
      </c>
      <c r="CEH22" t="s">
        <v>2588</v>
      </c>
      <c r="CEI22" t="s">
        <v>2589</v>
      </c>
      <c r="CEJ22" t="s">
        <v>2590</v>
      </c>
      <c r="CEK22" t="s">
        <v>2591</v>
      </c>
      <c r="CEL22" t="s">
        <v>2592</v>
      </c>
      <c r="CEM22" t="s">
        <v>2593</v>
      </c>
      <c r="CEN22" t="s">
        <v>2594</v>
      </c>
      <c r="CEO22" t="s">
        <v>2595</v>
      </c>
      <c r="CEP22" t="s">
        <v>2596</v>
      </c>
      <c r="CEQ22" t="s">
        <v>2597</v>
      </c>
      <c r="CER22" t="s">
        <v>2598</v>
      </c>
      <c r="CES22" t="s">
        <v>2599</v>
      </c>
      <c r="CET22" t="s">
        <v>2600</v>
      </c>
      <c r="CEU22" t="s">
        <v>2601</v>
      </c>
      <c r="CEV22" t="s">
        <v>2602</v>
      </c>
      <c r="CEW22" t="s">
        <v>2603</v>
      </c>
      <c r="CEX22" t="s">
        <v>2604</v>
      </c>
      <c r="CEY22" t="s">
        <v>2605</v>
      </c>
      <c r="CEZ22" t="s">
        <v>2606</v>
      </c>
      <c r="CFA22" t="s">
        <v>2607</v>
      </c>
      <c r="CFB22" t="s">
        <v>2608</v>
      </c>
      <c r="CFC22" t="s">
        <v>2609</v>
      </c>
      <c r="CFD22" t="s">
        <v>2610</v>
      </c>
      <c r="CFE22" t="s">
        <v>2611</v>
      </c>
      <c r="CFF22" t="s">
        <v>2612</v>
      </c>
      <c r="CFG22" t="s">
        <v>2613</v>
      </c>
      <c r="CFH22" t="s">
        <v>2614</v>
      </c>
      <c r="CFI22" t="s">
        <v>2615</v>
      </c>
      <c r="CFJ22" t="s">
        <v>2616</v>
      </c>
      <c r="CFK22" t="s">
        <v>2617</v>
      </c>
      <c r="CFL22" t="s">
        <v>2618</v>
      </c>
      <c r="CFM22" t="s">
        <v>2619</v>
      </c>
      <c r="CFN22" t="s">
        <v>2620</v>
      </c>
      <c r="CFO22" t="s">
        <v>2621</v>
      </c>
      <c r="CFP22" t="s">
        <v>2622</v>
      </c>
      <c r="CFQ22" t="s">
        <v>2623</v>
      </c>
      <c r="CFR22" t="s">
        <v>2624</v>
      </c>
      <c r="CFS22" t="s">
        <v>2625</v>
      </c>
      <c r="CFT22" t="s">
        <v>2626</v>
      </c>
      <c r="CFU22" t="s">
        <v>2627</v>
      </c>
      <c r="CFV22" t="s">
        <v>2628</v>
      </c>
      <c r="CFW22" t="s">
        <v>2629</v>
      </c>
      <c r="CFX22" t="s">
        <v>2630</v>
      </c>
      <c r="CFY22" t="s">
        <v>2631</v>
      </c>
      <c r="CFZ22" t="s">
        <v>2632</v>
      </c>
      <c r="CGA22" t="s">
        <v>2633</v>
      </c>
      <c r="CGB22" t="s">
        <v>2634</v>
      </c>
      <c r="CGC22" t="s">
        <v>2635</v>
      </c>
      <c r="CGD22" t="s">
        <v>2636</v>
      </c>
      <c r="CGE22" t="s">
        <v>2637</v>
      </c>
      <c r="CGF22" t="s">
        <v>2638</v>
      </c>
      <c r="CGG22" t="s">
        <v>2639</v>
      </c>
      <c r="CGH22" t="s">
        <v>2640</v>
      </c>
      <c r="CGI22" t="s">
        <v>2641</v>
      </c>
      <c r="CGJ22" t="s">
        <v>2642</v>
      </c>
      <c r="CGK22" t="s">
        <v>2643</v>
      </c>
      <c r="CGL22" t="s">
        <v>2644</v>
      </c>
      <c r="CGM22" t="s">
        <v>2645</v>
      </c>
      <c r="CGN22" t="s">
        <v>2646</v>
      </c>
      <c r="CGO22" t="s">
        <v>2647</v>
      </c>
      <c r="CGP22" t="s">
        <v>2648</v>
      </c>
      <c r="CGQ22" t="s">
        <v>2649</v>
      </c>
      <c r="CGR22" t="s">
        <v>2650</v>
      </c>
      <c r="CGS22" t="s">
        <v>2651</v>
      </c>
      <c r="CGT22" t="s">
        <v>2652</v>
      </c>
      <c r="CGU22" t="s">
        <v>2653</v>
      </c>
      <c r="CGV22" t="s">
        <v>2654</v>
      </c>
      <c r="CGW22" t="s">
        <v>2655</v>
      </c>
      <c r="CGX22" t="s">
        <v>2656</v>
      </c>
      <c r="CGY22" t="s">
        <v>2657</v>
      </c>
      <c r="CGZ22" t="s">
        <v>2658</v>
      </c>
      <c r="CHA22" t="s">
        <v>2659</v>
      </c>
      <c r="CHB22" t="s">
        <v>2660</v>
      </c>
      <c r="CHC22" t="s">
        <v>2661</v>
      </c>
      <c r="CHD22" t="s">
        <v>2662</v>
      </c>
      <c r="CHE22" t="s">
        <v>2663</v>
      </c>
      <c r="CHF22" t="s">
        <v>2664</v>
      </c>
      <c r="CHG22" t="s">
        <v>2665</v>
      </c>
      <c r="CHH22" t="s">
        <v>2666</v>
      </c>
      <c r="CHI22" t="s">
        <v>2667</v>
      </c>
      <c r="CHJ22" t="s">
        <v>2668</v>
      </c>
      <c r="CHK22" t="s">
        <v>2669</v>
      </c>
      <c r="CHL22" t="s">
        <v>2670</v>
      </c>
      <c r="CHM22" t="s">
        <v>2671</v>
      </c>
      <c r="CHN22" t="s">
        <v>2672</v>
      </c>
      <c r="CHO22" t="s">
        <v>2673</v>
      </c>
      <c r="CHP22" t="s">
        <v>2674</v>
      </c>
      <c r="CHQ22" t="s">
        <v>2675</v>
      </c>
      <c r="CHR22" t="s">
        <v>2676</v>
      </c>
      <c r="CHS22" t="s">
        <v>2677</v>
      </c>
      <c r="CHT22" t="s">
        <v>2678</v>
      </c>
      <c r="CHU22" t="s">
        <v>2679</v>
      </c>
      <c r="CHV22" t="s">
        <v>2680</v>
      </c>
      <c r="CHW22" t="s">
        <v>2681</v>
      </c>
      <c r="CHX22" t="s">
        <v>2682</v>
      </c>
      <c r="CHY22" t="s">
        <v>2683</v>
      </c>
      <c r="CHZ22" t="s">
        <v>2684</v>
      </c>
      <c r="CIA22" t="s">
        <v>2685</v>
      </c>
      <c r="CIB22" t="s">
        <v>2686</v>
      </c>
      <c r="CIC22" t="s">
        <v>2687</v>
      </c>
      <c r="CID22" t="s">
        <v>2688</v>
      </c>
      <c r="CIE22" t="s">
        <v>2689</v>
      </c>
      <c r="CIF22" t="s">
        <v>2690</v>
      </c>
      <c r="CIG22" t="s">
        <v>2691</v>
      </c>
      <c r="CIH22" t="s">
        <v>2692</v>
      </c>
      <c r="CII22" t="s">
        <v>2693</v>
      </c>
      <c r="CIJ22" t="s">
        <v>2694</v>
      </c>
      <c r="CIK22" t="s">
        <v>2695</v>
      </c>
      <c r="CIL22" t="s">
        <v>2696</v>
      </c>
      <c r="CIM22" t="s">
        <v>2697</v>
      </c>
      <c r="CIN22" t="s">
        <v>2698</v>
      </c>
      <c r="CIO22" t="s">
        <v>2699</v>
      </c>
      <c r="CIP22" t="s">
        <v>2700</v>
      </c>
      <c r="CIQ22" t="s">
        <v>2701</v>
      </c>
      <c r="CIR22" t="s">
        <v>2702</v>
      </c>
      <c r="CIS22" t="s">
        <v>2703</v>
      </c>
      <c r="CIT22" t="s">
        <v>2704</v>
      </c>
      <c r="CIU22" t="s">
        <v>2705</v>
      </c>
      <c r="CIV22" t="s">
        <v>2706</v>
      </c>
      <c r="CIW22" t="s">
        <v>2707</v>
      </c>
      <c r="CIX22" t="s">
        <v>2708</v>
      </c>
      <c r="CIY22" t="s">
        <v>2709</v>
      </c>
      <c r="CIZ22" t="s">
        <v>2710</v>
      </c>
      <c r="CJA22" t="s">
        <v>2711</v>
      </c>
      <c r="CJB22" t="s">
        <v>2712</v>
      </c>
      <c r="CJC22" t="s">
        <v>2713</v>
      </c>
      <c r="CJD22" t="s">
        <v>2714</v>
      </c>
      <c r="CJE22" t="s">
        <v>2715</v>
      </c>
      <c r="CJF22" t="s">
        <v>2716</v>
      </c>
      <c r="CJG22" t="s">
        <v>2717</v>
      </c>
      <c r="CJH22" t="s">
        <v>2718</v>
      </c>
      <c r="CJI22" t="s">
        <v>2719</v>
      </c>
      <c r="CJJ22" t="s">
        <v>2720</v>
      </c>
      <c r="CJK22" t="s">
        <v>2721</v>
      </c>
      <c r="CJL22" t="s">
        <v>2722</v>
      </c>
      <c r="CJM22" t="s">
        <v>2723</v>
      </c>
      <c r="CJN22" t="s">
        <v>2724</v>
      </c>
      <c r="CJO22" t="s">
        <v>2725</v>
      </c>
      <c r="CJP22" t="s">
        <v>2726</v>
      </c>
      <c r="CJQ22" t="s">
        <v>2727</v>
      </c>
      <c r="CJR22" t="s">
        <v>2728</v>
      </c>
      <c r="CJS22" t="s">
        <v>2729</v>
      </c>
      <c r="CJT22" t="s">
        <v>2730</v>
      </c>
      <c r="CJU22" t="s">
        <v>2731</v>
      </c>
      <c r="CJV22" t="s">
        <v>2732</v>
      </c>
      <c r="CJW22" t="s">
        <v>2733</v>
      </c>
      <c r="CJX22" t="s">
        <v>2734</v>
      </c>
      <c r="CJY22" t="s">
        <v>2735</v>
      </c>
      <c r="CJZ22" t="s">
        <v>2736</v>
      </c>
      <c r="CKA22" t="s">
        <v>2737</v>
      </c>
      <c r="CKB22" t="s">
        <v>2738</v>
      </c>
      <c r="CKC22" t="s">
        <v>2739</v>
      </c>
      <c r="CKD22" t="s">
        <v>2740</v>
      </c>
      <c r="CKE22" t="s">
        <v>2741</v>
      </c>
      <c r="CKF22" t="s">
        <v>2742</v>
      </c>
      <c r="CKG22" t="s">
        <v>2743</v>
      </c>
      <c r="CKH22" t="s">
        <v>2744</v>
      </c>
      <c r="CKI22" t="s">
        <v>2745</v>
      </c>
      <c r="CKJ22" t="s">
        <v>2746</v>
      </c>
      <c r="CKK22" t="s">
        <v>2747</v>
      </c>
      <c r="CKL22" t="s">
        <v>2748</v>
      </c>
      <c r="CKM22" t="s">
        <v>2749</v>
      </c>
      <c r="CKN22" t="s">
        <v>2750</v>
      </c>
      <c r="CKO22" t="s">
        <v>2751</v>
      </c>
      <c r="CKP22" t="s">
        <v>2752</v>
      </c>
      <c r="CKQ22" t="s">
        <v>2753</v>
      </c>
      <c r="CKR22" t="s">
        <v>2754</v>
      </c>
      <c r="CKS22" t="s">
        <v>2755</v>
      </c>
      <c r="CKT22" t="s">
        <v>2756</v>
      </c>
      <c r="CKU22" t="s">
        <v>2757</v>
      </c>
      <c r="CKV22" t="s">
        <v>2758</v>
      </c>
      <c r="CKW22" t="s">
        <v>2759</v>
      </c>
      <c r="CKX22" t="s">
        <v>2760</v>
      </c>
      <c r="CKY22" t="s">
        <v>2761</v>
      </c>
      <c r="CKZ22" t="s">
        <v>2762</v>
      </c>
      <c r="CLA22" t="s">
        <v>2763</v>
      </c>
      <c r="CLB22" t="s">
        <v>2764</v>
      </c>
      <c r="CLC22" t="s">
        <v>2765</v>
      </c>
      <c r="CLD22" t="s">
        <v>2766</v>
      </c>
      <c r="CLE22" t="s">
        <v>2767</v>
      </c>
      <c r="CLF22" t="s">
        <v>2768</v>
      </c>
      <c r="CLG22" t="s">
        <v>2769</v>
      </c>
      <c r="CLH22" t="s">
        <v>2770</v>
      </c>
      <c r="CLI22" t="s">
        <v>2771</v>
      </c>
      <c r="CLJ22" t="s">
        <v>2772</v>
      </c>
      <c r="CLK22" t="s">
        <v>2773</v>
      </c>
      <c r="CLL22" t="s">
        <v>2774</v>
      </c>
      <c r="CLM22" t="s">
        <v>2775</v>
      </c>
      <c r="CLN22" t="s">
        <v>2776</v>
      </c>
      <c r="CLO22" t="s">
        <v>2777</v>
      </c>
      <c r="CLP22" t="s">
        <v>2778</v>
      </c>
      <c r="CLQ22" t="s">
        <v>2779</v>
      </c>
      <c r="CLR22" t="s">
        <v>2780</v>
      </c>
      <c r="CLS22" t="s">
        <v>2781</v>
      </c>
      <c r="CLT22" t="s">
        <v>2782</v>
      </c>
      <c r="CLU22" t="s">
        <v>2783</v>
      </c>
      <c r="CLV22" t="s">
        <v>2784</v>
      </c>
      <c r="CLW22" t="s">
        <v>2785</v>
      </c>
      <c r="CLX22" t="s">
        <v>2786</v>
      </c>
      <c r="CLY22" t="s">
        <v>2787</v>
      </c>
      <c r="CLZ22" t="s">
        <v>2788</v>
      </c>
      <c r="CMA22" t="s">
        <v>2789</v>
      </c>
      <c r="CMB22" t="s">
        <v>2790</v>
      </c>
      <c r="CMC22" t="s">
        <v>2791</v>
      </c>
      <c r="CMD22" t="s">
        <v>2792</v>
      </c>
      <c r="CME22" t="s">
        <v>2793</v>
      </c>
      <c r="CMF22" t="s">
        <v>2794</v>
      </c>
      <c r="CMG22" t="s">
        <v>2795</v>
      </c>
      <c r="CMH22" t="s">
        <v>2796</v>
      </c>
      <c r="CMI22" t="s">
        <v>2797</v>
      </c>
      <c r="CMJ22" t="s">
        <v>2798</v>
      </c>
      <c r="CMK22" t="s">
        <v>2799</v>
      </c>
      <c r="CML22" t="s">
        <v>2800</v>
      </c>
      <c r="CMM22" t="s">
        <v>2801</v>
      </c>
      <c r="CMN22" t="s">
        <v>2802</v>
      </c>
      <c r="CMO22" t="s">
        <v>2803</v>
      </c>
      <c r="CMP22" t="s">
        <v>2804</v>
      </c>
      <c r="CMQ22" t="s">
        <v>2805</v>
      </c>
      <c r="CMR22" t="s">
        <v>2806</v>
      </c>
      <c r="CMS22" t="s">
        <v>2807</v>
      </c>
      <c r="CMT22" t="s">
        <v>2808</v>
      </c>
      <c r="CMU22" t="s">
        <v>2809</v>
      </c>
      <c r="CMV22" t="s">
        <v>2810</v>
      </c>
      <c r="CMW22" t="s">
        <v>2811</v>
      </c>
      <c r="CMX22" t="s">
        <v>2812</v>
      </c>
      <c r="CMY22" t="s">
        <v>2813</v>
      </c>
      <c r="CMZ22" t="s">
        <v>2814</v>
      </c>
      <c r="CNA22" t="s">
        <v>2815</v>
      </c>
      <c r="CNB22" t="s">
        <v>2816</v>
      </c>
      <c r="CNC22" t="s">
        <v>2817</v>
      </c>
      <c r="CND22" t="s">
        <v>2818</v>
      </c>
      <c r="CNE22" t="s">
        <v>2819</v>
      </c>
      <c r="CNF22" t="s">
        <v>2820</v>
      </c>
      <c r="CNG22" t="s">
        <v>2821</v>
      </c>
      <c r="CNH22" t="s">
        <v>2822</v>
      </c>
      <c r="CNI22" t="s">
        <v>2823</v>
      </c>
      <c r="CNJ22" t="s">
        <v>2824</v>
      </c>
      <c r="CNK22" t="s">
        <v>2825</v>
      </c>
      <c r="CNL22" t="s">
        <v>2826</v>
      </c>
      <c r="CNM22" t="s">
        <v>2827</v>
      </c>
      <c r="CNN22" t="s">
        <v>2828</v>
      </c>
      <c r="CNO22" t="s">
        <v>2829</v>
      </c>
      <c r="CNP22" t="s">
        <v>2830</v>
      </c>
      <c r="CNQ22" t="s">
        <v>2831</v>
      </c>
      <c r="CNR22" t="s">
        <v>2832</v>
      </c>
      <c r="CNS22" t="s">
        <v>2833</v>
      </c>
      <c r="CNT22" t="s">
        <v>2834</v>
      </c>
      <c r="CNU22" t="s">
        <v>2835</v>
      </c>
      <c r="CNV22" t="s">
        <v>2836</v>
      </c>
      <c r="CNW22" t="s">
        <v>2837</v>
      </c>
      <c r="CNX22" t="s">
        <v>2838</v>
      </c>
      <c r="CNY22" t="s">
        <v>2839</v>
      </c>
      <c r="CNZ22" t="s">
        <v>2840</v>
      </c>
      <c r="COA22" t="s">
        <v>2841</v>
      </c>
      <c r="COB22" t="s">
        <v>2842</v>
      </c>
      <c r="COC22" t="s">
        <v>2843</v>
      </c>
      <c r="COD22" t="s">
        <v>2844</v>
      </c>
      <c r="COE22" t="s">
        <v>2845</v>
      </c>
      <c r="COF22" t="s">
        <v>2846</v>
      </c>
      <c r="COG22" t="s">
        <v>2847</v>
      </c>
      <c r="COH22" t="s">
        <v>2848</v>
      </c>
      <c r="COI22" t="s">
        <v>2849</v>
      </c>
      <c r="COJ22" t="s">
        <v>2850</v>
      </c>
      <c r="COK22" t="s">
        <v>2851</v>
      </c>
      <c r="COL22" t="s">
        <v>2852</v>
      </c>
      <c r="COM22" t="s">
        <v>2853</v>
      </c>
      <c r="CON22" t="s">
        <v>2854</v>
      </c>
      <c r="COO22" t="s">
        <v>2855</v>
      </c>
      <c r="COP22" t="s">
        <v>2856</v>
      </c>
      <c r="COQ22" t="s">
        <v>2857</v>
      </c>
      <c r="COR22" t="s">
        <v>2858</v>
      </c>
      <c r="COS22" t="s">
        <v>2859</v>
      </c>
      <c r="COT22" t="s">
        <v>2860</v>
      </c>
      <c r="COU22" t="s">
        <v>2861</v>
      </c>
      <c r="COV22" t="s">
        <v>2862</v>
      </c>
      <c r="COW22" t="s">
        <v>2863</v>
      </c>
      <c r="COX22" t="s">
        <v>2864</v>
      </c>
      <c r="COY22" t="s">
        <v>2865</v>
      </c>
      <c r="COZ22" t="s">
        <v>2866</v>
      </c>
      <c r="CPA22" t="s">
        <v>2867</v>
      </c>
      <c r="CPB22" t="s">
        <v>2868</v>
      </c>
      <c r="CPC22" t="s">
        <v>2869</v>
      </c>
      <c r="CPD22" t="s">
        <v>2870</v>
      </c>
      <c r="CPE22" t="s">
        <v>2871</v>
      </c>
      <c r="CPF22" t="s">
        <v>2872</v>
      </c>
      <c r="CPG22" t="s">
        <v>2873</v>
      </c>
      <c r="CPH22" t="s">
        <v>2874</v>
      </c>
      <c r="CPI22" t="s">
        <v>2875</v>
      </c>
      <c r="CPJ22" t="s">
        <v>2876</v>
      </c>
      <c r="CPK22" t="s">
        <v>2877</v>
      </c>
      <c r="CPL22" t="s">
        <v>2878</v>
      </c>
      <c r="CPM22" t="s">
        <v>2879</v>
      </c>
      <c r="CPN22" t="s">
        <v>2880</v>
      </c>
      <c r="CPO22" t="s">
        <v>2881</v>
      </c>
      <c r="CPP22" t="s">
        <v>2882</v>
      </c>
      <c r="CPQ22" t="s">
        <v>2883</v>
      </c>
      <c r="CPR22" t="s">
        <v>2884</v>
      </c>
      <c r="CPS22" t="s">
        <v>2885</v>
      </c>
      <c r="CPT22" t="s">
        <v>2886</v>
      </c>
      <c r="CPU22" t="s">
        <v>2887</v>
      </c>
      <c r="CPV22" t="s">
        <v>2888</v>
      </c>
      <c r="CPW22" t="s">
        <v>2889</v>
      </c>
      <c r="CPX22" t="s">
        <v>2890</v>
      </c>
      <c r="CPY22" t="s">
        <v>2891</v>
      </c>
      <c r="CPZ22" t="s">
        <v>2892</v>
      </c>
      <c r="CQA22" t="s">
        <v>2893</v>
      </c>
      <c r="CQB22" t="s">
        <v>2894</v>
      </c>
      <c r="CQC22" t="s">
        <v>2895</v>
      </c>
      <c r="CQD22" t="s">
        <v>2896</v>
      </c>
      <c r="CQE22" t="s">
        <v>2897</v>
      </c>
      <c r="CQF22" t="s">
        <v>2898</v>
      </c>
      <c r="CQG22" t="s">
        <v>2899</v>
      </c>
      <c r="CQH22" t="s">
        <v>2900</v>
      </c>
      <c r="CQI22" t="s">
        <v>2901</v>
      </c>
      <c r="CQJ22" t="s">
        <v>2902</v>
      </c>
      <c r="CQK22" t="s">
        <v>2903</v>
      </c>
      <c r="CQL22" t="s">
        <v>2904</v>
      </c>
      <c r="CQM22" t="s">
        <v>2905</v>
      </c>
      <c r="CQN22" t="s">
        <v>2906</v>
      </c>
      <c r="CQO22" t="s">
        <v>2907</v>
      </c>
      <c r="CQP22" t="s">
        <v>2908</v>
      </c>
      <c r="CQQ22" t="s">
        <v>2909</v>
      </c>
      <c r="CQR22" t="s">
        <v>2910</v>
      </c>
      <c r="CQS22" t="s">
        <v>2911</v>
      </c>
      <c r="CQT22" t="s">
        <v>2912</v>
      </c>
      <c r="CQU22" t="s">
        <v>2913</v>
      </c>
      <c r="CQV22" t="s">
        <v>2914</v>
      </c>
      <c r="CQW22" t="s">
        <v>2915</v>
      </c>
      <c r="CQX22" t="s">
        <v>2916</v>
      </c>
      <c r="CQY22" t="s">
        <v>2917</v>
      </c>
      <c r="CQZ22" t="s">
        <v>2918</v>
      </c>
      <c r="CRA22" t="s">
        <v>2919</v>
      </c>
      <c r="CRB22" t="s">
        <v>2920</v>
      </c>
      <c r="CRC22" t="s">
        <v>2921</v>
      </c>
      <c r="CRD22" t="s">
        <v>2922</v>
      </c>
      <c r="CRE22" t="s">
        <v>2923</v>
      </c>
      <c r="CRF22" t="s">
        <v>2924</v>
      </c>
      <c r="CRG22" t="s">
        <v>2925</v>
      </c>
      <c r="CRH22" t="s">
        <v>2926</v>
      </c>
      <c r="CRI22" t="s">
        <v>2927</v>
      </c>
      <c r="CRJ22" t="s">
        <v>2928</v>
      </c>
      <c r="CRK22" t="s">
        <v>2929</v>
      </c>
      <c r="CRL22" t="s">
        <v>2930</v>
      </c>
      <c r="CRM22" t="s">
        <v>2931</v>
      </c>
      <c r="CRN22" t="s">
        <v>2932</v>
      </c>
      <c r="CRO22" t="s">
        <v>2933</v>
      </c>
      <c r="CRP22" t="s">
        <v>2934</v>
      </c>
      <c r="CRQ22" t="s">
        <v>2935</v>
      </c>
      <c r="CRR22" t="s">
        <v>2936</v>
      </c>
      <c r="CRS22" t="s">
        <v>2937</v>
      </c>
      <c r="CRT22" t="s">
        <v>2938</v>
      </c>
      <c r="CRU22" t="s">
        <v>2939</v>
      </c>
      <c r="CRV22" t="s">
        <v>2940</v>
      </c>
      <c r="CRW22" t="s">
        <v>2941</v>
      </c>
      <c r="CRX22" t="s">
        <v>2942</v>
      </c>
      <c r="CRY22" t="s">
        <v>2943</v>
      </c>
      <c r="CRZ22" t="s">
        <v>2944</v>
      </c>
      <c r="CSA22" t="s">
        <v>2945</v>
      </c>
      <c r="CSB22" t="s">
        <v>2946</v>
      </c>
      <c r="CSC22" t="s">
        <v>2947</v>
      </c>
      <c r="CSD22" t="s">
        <v>2948</v>
      </c>
      <c r="CSE22" t="s">
        <v>2949</v>
      </c>
      <c r="CSF22" t="s">
        <v>2950</v>
      </c>
      <c r="CSG22" t="s">
        <v>2951</v>
      </c>
      <c r="CSH22" t="s">
        <v>2952</v>
      </c>
      <c r="CSI22" t="s">
        <v>2953</v>
      </c>
      <c r="CSJ22" t="s">
        <v>2954</v>
      </c>
      <c r="CSK22" t="s">
        <v>2955</v>
      </c>
      <c r="CSL22" t="s">
        <v>2956</v>
      </c>
      <c r="CSM22" t="s">
        <v>2957</v>
      </c>
      <c r="CSN22" t="s">
        <v>2958</v>
      </c>
      <c r="CSO22" t="s">
        <v>2959</v>
      </c>
      <c r="CSP22" t="s">
        <v>2960</v>
      </c>
      <c r="CSQ22" t="s">
        <v>2961</v>
      </c>
      <c r="CSR22" t="s">
        <v>2962</v>
      </c>
      <c r="CSS22" t="s">
        <v>2963</v>
      </c>
      <c r="CST22" t="s">
        <v>2964</v>
      </c>
      <c r="CSU22" t="s">
        <v>2965</v>
      </c>
      <c r="CSV22" t="s">
        <v>2966</v>
      </c>
      <c r="CSW22" t="s">
        <v>2967</v>
      </c>
      <c r="CSX22" t="s">
        <v>2968</v>
      </c>
      <c r="CSY22" t="s">
        <v>2969</v>
      </c>
      <c r="CSZ22" t="s">
        <v>2970</v>
      </c>
      <c r="CTA22" t="s">
        <v>2971</v>
      </c>
      <c r="CTB22" t="s">
        <v>2972</v>
      </c>
      <c r="CTC22" t="s">
        <v>2973</v>
      </c>
      <c r="CTD22" t="s">
        <v>2974</v>
      </c>
      <c r="CTE22" t="s">
        <v>2975</v>
      </c>
      <c r="CTF22" t="s">
        <v>2976</v>
      </c>
      <c r="CTG22" t="s">
        <v>2977</v>
      </c>
      <c r="CTH22" t="s">
        <v>2978</v>
      </c>
      <c r="CTI22" t="s">
        <v>2979</v>
      </c>
      <c r="CTJ22" t="s">
        <v>2980</v>
      </c>
      <c r="CTK22" t="s">
        <v>2981</v>
      </c>
      <c r="CTL22" t="s">
        <v>2982</v>
      </c>
      <c r="CTM22" t="s">
        <v>2983</v>
      </c>
      <c r="CTN22" t="s">
        <v>2984</v>
      </c>
      <c r="CTO22" t="s">
        <v>2985</v>
      </c>
      <c r="CTP22" t="s">
        <v>2986</v>
      </c>
      <c r="CTQ22" t="s">
        <v>2987</v>
      </c>
      <c r="CTR22" t="s">
        <v>2988</v>
      </c>
      <c r="CTS22" t="s">
        <v>2989</v>
      </c>
      <c r="CTT22" t="s">
        <v>2990</v>
      </c>
      <c r="CTU22" t="s">
        <v>2991</v>
      </c>
      <c r="CTV22" t="s">
        <v>2992</v>
      </c>
      <c r="CTW22" t="s">
        <v>2993</v>
      </c>
      <c r="CTX22" t="s">
        <v>2994</v>
      </c>
      <c r="CTY22" t="s">
        <v>2995</v>
      </c>
      <c r="CTZ22" t="s">
        <v>2996</v>
      </c>
      <c r="CUA22" t="s">
        <v>2997</v>
      </c>
      <c r="CUB22" t="s">
        <v>2998</v>
      </c>
      <c r="CUC22" t="s">
        <v>2999</v>
      </c>
      <c r="CUD22" t="s">
        <v>3000</v>
      </c>
      <c r="CUE22" t="s">
        <v>3001</v>
      </c>
      <c r="CUF22" t="s">
        <v>3002</v>
      </c>
      <c r="CUG22" t="s">
        <v>3003</v>
      </c>
      <c r="CUH22" t="s">
        <v>3004</v>
      </c>
      <c r="CUI22" t="s">
        <v>3005</v>
      </c>
      <c r="CUJ22" t="s">
        <v>3006</v>
      </c>
      <c r="CUK22" t="s">
        <v>3007</v>
      </c>
      <c r="CUL22" t="s">
        <v>3008</v>
      </c>
      <c r="CUM22" t="s">
        <v>3009</v>
      </c>
      <c r="CUN22" t="s">
        <v>3010</v>
      </c>
      <c r="CUO22" t="s">
        <v>3011</v>
      </c>
      <c r="CUP22" t="s">
        <v>3012</v>
      </c>
      <c r="CUQ22" t="s">
        <v>3013</v>
      </c>
      <c r="CUR22" t="s">
        <v>3014</v>
      </c>
      <c r="CUS22" t="s">
        <v>3015</v>
      </c>
      <c r="CUT22" t="s">
        <v>3016</v>
      </c>
      <c r="CUU22" t="s">
        <v>3017</v>
      </c>
      <c r="CUV22" t="s">
        <v>3018</v>
      </c>
      <c r="CUW22" t="s">
        <v>3019</v>
      </c>
      <c r="CUX22" t="s">
        <v>3020</v>
      </c>
      <c r="CUY22" t="s">
        <v>3021</v>
      </c>
      <c r="CUZ22" t="s">
        <v>3022</v>
      </c>
      <c r="CVA22" t="s">
        <v>3023</v>
      </c>
      <c r="CVB22" t="s">
        <v>3024</v>
      </c>
      <c r="CVC22" t="s">
        <v>3025</v>
      </c>
      <c r="CVD22" t="s">
        <v>3026</v>
      </c>
      <c r="CVE22" t="s">
        <v>3027</v>
      </c>
      <c r="CVF22" t="s">
        <v>3028</v>
      </c>
      <c r="CVG22" t="s">
        <v>3029</v>
      </c>
      <c r="CVH22" t="s">
        <v>3030</v>
      </c>
      <c r="CVI22" t="s">
        <v>3031</v>
      </c>
      <c r="CVJ22" t="s">
        <v>3032</v>
      </c>
      <c r="CVK22" t="s">
        <v>3033</v>
      </c>
      <c r="CVL22" t="s">
        <v>3034</v>
      </c>
      <c r="CVM22" t="s">
        <v>3035</v>
      </c>
      <c r="CVN22" t="s">
        <v>3036</v>
      </c>
      <c r="CVO22" t="s">
        <v>3037</v>
      </c>
      <c r="CVP22" t="s">
        <v>3038</v>
      </c>
      <c r="CVQ22" t="s">
        <v>3039</v>
      </c>
      <c r="CVR22" t="s">
        <v>3040</v>
      </c>
      <c r="CVS22" t="s">
        <v>3041</v>
      </c>
      <c r="CVT22" t="s">
        <v>3042</v>
      </c>
      <c r="CVU22" t="s">
        <v>3043</v>
      </c>
      <c r="CVV22" t="s">
        <v>3044</v>
      </c>
      <c r="CVW22" t="s">
        <v>3045</v>
      </c>
      <c r="CVX22" t="s">
        <v>3046</v>
      </c>
      <c r="CVY22" t="s">
        <v>3047</v>
      </c>
      <c r="CVZ22" t="s">
        <v>3048</v>
      </c>
      <c r="CWA22" t="s">
        <v>3049</v>
      </c>
      <c r="CWB22" t="s">
        <v>3050</v>
      </c>
      <c r="CWC22" t="s">
        <v>3051</v>
      </c>
      <c r="CWD22" t="s">
        <v>3052</v>
      </c>
      <c r="CWE22" t="s">
        <v>3053</v>
      </c>
      <c r="CWF22" t="s">
        <v>3054</v>
      </c>
      <c r="CWG22" t="s">
        <v>3055</v>
      </c>
      <c r="CWH22" t="s">
        <v>3056</v>
      </c>
      <c r="CWI22" t="s">
        <v>3057</v>
      </c>
      <c r="CWJ22" t="s">
        <v>3058</v>
      </c>
      <c r="CWK22" t="s">
        <v>3059</v>
      </c>
      <c r="CWL22" t="s">
        <v>3060</v>
      </c>
      <c r="CWM22" t="s">
        <v>3061</v>
      </c>
      <c r="CWN22" t="s">
        <v>3062</v>
      </c>
      <c r="CWO22" t="s">
        <v>3063</v>
      </c>
      <c r="CWP22" t="s">
        <v>3064</v>
      </c>
      <c r="CWQ22" t="s">
        <v>3065</v>
      </c>
      <c r="CWR22" t="s">
        <v>3066</v>
      </c>
      <c r="CWS22" t="s">
        <v>3067</v>
      </c>
      <c r="CWT22" t="s">
        <v>3068</v>
      </c>
      <c r="CWU22" t="s">
        <v>3069</v>
      </c>
      <c r="CWV22" t="s">
        <v>3070</v>
      </c>
      <c r="CWW22" t="s">
        <v>3071</v>
      </c>
      <c r="CWX22" t="s">
        <v>3072</v>
      </c>
      <c r="CWY22" t="s">
        <v>3073</v>
      </c>
      <c r="CWZ22" t="s">
        <v>3074</v>
      </c>
      <c r="CXA22" t="s">
        <v>3075</v>
      </c>
      <c r="CXB22" t="s">
        <v>3076</v>
      </c>
      <c r="CXC22" t="s">
        <v>3077</v>
      </c>
      <c r="CXD22" t="s">
        <v>3078</v>
      </c>
      <c r="CXE22" t="s">
        <v>3079</v>
      </c>
      <c r="CXF22" t="s">
        <v>3080</v>
      </c>
      <c r="CXG22" t="s">
        <v>3081</v>
      </c>
      <c r="CXH22" t="s">
        <v>3082</v>
      </c>
      <c r="CXI22" t="s">
        <v>3083</v>
      </c>
      <c r="CXJ22" t="s">
        <v>3084</v>
      </c>
      <c r="CXK22" t="s">
        <v>3085</v>
      </c>
      <c r="CXL22" t="s">
        <v>3086</v>
      </c>
      <c r="CXM22" t="s">
        <v>3087</v>
      </c>
      <c r="CXN22" t="s">
        <v>3088</v>
      </c>
      <c r="CXO22" t="s">
        <v>3089</v>
      </c>
      <c r="CXP22" t="s">
        <v>3090</v>
      </c>
      <c r="CXQ22" t="s">
        <v>3091</v>
      </c>
      <c r="CXR22" t="s">
        <v>3092</v>
      </c>
      <c r="CXS22" t="s">
        <v>3093</v>
      </c>
      <c r="CXT22" t="s">
        <v>3094</v>
      </c>
      <c r="CXU22" t="s">
        <v>3095</v>
      </c>
      <c r="CXV22" t="s">
        <v>3096</v>
      </c>
      <c r="CXW22" t="s">
        <v>3097</v>
      </c>
      <c r="CXX22" t="s">
        <v>3098</v>
      </c>
      <c r="CXY22" t="s">
        <v>3099</v>
      </c>
      <c r="CXZ22" t="s">
        <v>3100</v>
      </c>
      <c r="CYA22" t="s">
        <v>3101</v>
      </c>
      <c r="CYB22" t="s">
        <v>3102</v>
      </c>
      <c r="CYC22" t="s">
        <v>3103</v>
      </c>
      <c r="CYD22" t="s">
        <v>3104</v>
      </c>
      <c r="CYE22" t="s">
        <v>3105</v>
      </c>
      <c r="CYF22" t="s">
        <v>3106</v>
      </c>
      <c r="CYG22" t="s">
        <v>3107</v>
      </c>
      <c r="CYH22" t="s">
        <v>3108</v>
      </c>
      <c r="CYI22" t="s">
        <v>3109</v>
      </c>
      <c r="CYJ22" t="s">
        <v>3110</v>
      </c>
      <c r="CYK22" t="s">
        <v>3111</v>
      </c>
      <c r="CYL22" t="s">
        <v>3112</v>
      </c>
      <c r="CYM22" t="s">
        <v>3113</v>
      </c>
      <c r="CYN22" t="s">
        <v>3114</v>
      </c>
      <c r="CYO22" t="s">
        <v>3115</v>
      </c>
      <c r="CYP22" t="s">
        <v>3116</v>
      </c>
      <c r="CYQ22" t="s">
        <v>3117</v>
      </c>
      <c r="CYR22" t="s">
        <v>3118</v>
      </c>
      <c r="CYS22" t="s">
        <v>3119</v>
      </c>
      <c r="CYT22" t="s">
        <v>3120</v>
      </c>
      <c r="CYU22" t="s">
        <v>3121</v>
      </c>
      <c r="CYV22" t="s">
        <v>3122</v>
      </c>
      <c r="CYW22" t="s">
        <v>3123</v>
      </c>
      <c r="CYX22" t="s">
        <v>3124</v>
      </c>
      <c r="CYY22" t="s">
        <v>3125</v>
      </c>
      <c r="CYZ22" t="s">
        <v>3126</v>
      </c>
      <c r="CZA22" t="s">
        <v>3127</v>
      </c>
      <c r="CZB22" t="s">
        <v>3128</v>
      </c>
      <c r="CZC22" t="s">
        <v>3129</v>
      </c>
      <c r="CZD22" t="s">
        <v>3130</v>
      </c>
      <c r="CZE22" t="s">
        <v>3131</v>
      </c>
      <c r="CZF22" t="s">
        <v>3132</v>
      </c>
      <c r="CZG22" t="s">
        <v>3133</v>
      </c>
      <c r="CZH22" t="s">
        <v>3134</v>
      </c>
      <c r="CZI22" t="s">
        <v>3135</v>
      </c>
      <c r="CZJ22" t="s">
        <v>3136</v>
      </c>
      <c r="CZK22" t="s">
        <v>3137</v>
      </c>
      <c r="CZL22" t="s">
        <v>3138</v>
      </c>
      <c r="CZM22" t="s">
        <v>3139</v>
      </c>
      <c r="CZN22" t="s">
        <v>3140</v>
      </c>
      <c r="CZO22" t="s">
        <v>3141</v>
      </c>
      <c r="CZP22" t="s">
        <v>3142</v>
      </c>
      <c r="CZQ22" t="s">
        <v>3143</v>
      </c>
      <c r="CZR22" t="s">
        <v>3144</v>
      </c>
      <c r="CZS22" t="s">
        <v>3145</v>
      </c>
      <c r="CZT22" t="s">
        <v>3146</v>
      </c>
      <c r="CZU22" t="s">
        <v>3147</v>
      </c>
      <c r="CZV22" t="s">
        <v>3148</v>
      </c>
      <c r="CZW22" t="s">
        <v>3149</v>
      </c>
      <c r="CZX22" t="s">
        <v>3150</v>
      </c>
      <c r="CZY22" t="s">
        <v>3151</v>
      </c>
      <c r="CZZ22" t="s">
        <v>3152</v>
      </c>
      <c r="DAA22" t="s">
        <v>3153</v>
      </c>
      <c r="DAB22" t="s">
        <v>3154</v>
      </c>
      <c r="DAC22" t="s">
        <v>3155</v>
      </c>
      <c r="DAD22" t="s">
        <v>3156</v>
      </c>
      <c r="DAE22" t="s">
        <v>3157</v>
      </c>
      <c r="DAF22" t="s">
        <v>3158</v>
      </c>
      <c r="DAG22" t="s">
        <v>3159</v>
      </c>
      <c r="DAH22" t="s">
        <v>3160</v>
      </c>
      <c r="DAI22" t="s">
        <v>3161</v>
      </c>
      <c r="DAJ22" t="s">
        <v>3162</v>
      </c>
      <c r="DAK22" t="s">
        <v>3163</v>
      </c>
      <c r="DAL22" t="s">
        <v>3164</v>
      </c>
      <c r="DAM22" t="s">
        <v>3165</v>
      </c>
      <c r="DAN22" t="s">
        <v>3166</v>
      </c>
      <c r="DAO22" t="s">
        <v>3167</v>
      </c>
      <c r="DAP22" t="s">
        <v>3168</v>
      </c>
      <c r="DAQ22" t="s">
        <v>3169</v>
      </c>
      <c r="DAR22" t="s">
        <v>3170</v>
      </c>
      <c r="DAS22" t="s">
        <v>3171</v>
      </c>
      <c r="DAT22" t="s">
        <v>3172</v>
      </c>
      <c r="DAU22" t="s">
        <v>3173</v>
      </c>
      <c r="DAV22" t="s">
        <v>3174</v>
      </c>
      <c r="DAW22" t="s">
        <v>3175</v>
      </c>
      <c r="DAX22" t="s">
        <v>3176</v>
      </c>
      <c r="DAY22" t="s">
        <v>3177</v>
      </c>
      <c r="DAZ22" t="s">
        <v>3178</v>
      </c>
      <c r="DBA22" t="s">
        <v>3179</v>
      </c>
      <c r="DBB22" t="s">
        <v>3180</v>
      </c>
      <c r="DBC22" t="s">
        <v>3181</v>
      </c>
      <c r="DBD22" t="s">
        <v>3182</v>
      </c>
      <c r="DBE22" t="s">
        <v>3183</v>
      </c>
      <c r="DBF22" t="s">
        <v>3184</v>
      </c>
      <c r="DBG22" t="s">
        <v>3185</v>
      </c>
      <c r="DBH22" t="s">
        <v>3186</v>
      </c>
      <c r="DBI22" t="s">
        <v>3187</v>
      </c>
      <c r="DBJ22" t="s">
        <v>3188</v>
      </c>
      <c r="DBK22" t="s">
        <v>3189</v>
      </c>
      <c r="DBL22" t="s">
        <v>3190</v>
      </c>
      <c r="DBM22" t="s">
        <v>3191</v>
      </c>
      <c r="DBN22" t="s">
        <v>3192</v>
      </c>
      <c r="DBO22" t="s">
        <v>3193</v>
      </c>
      <c r="DBP22" t="s">
        <v>3194</v>
      </c>
      <c r="DBQ22" t="s">
        <v>3195</v>
      </c>
      <c r="DBR22" t="s">
        <v>3196</v>
      </c>
      <c r="DBS22" t="s">
        <v>3197</v>
      </c>
      <c r="DBT22" t="s">
        <v>3198</v>
      </c>
      <c r="DBU22" t="s">
        <v>3199</v>
      </c>
      <c r="DBV22" t="s">
        <v>3200</v>
      </c>
      <c r="DBW22" t="s">
        <v>3201</v>
      </c>
      <c r="DBX22" t="s">
        <v>3202</v>
      </c>
      <c r="DBY22" t="s">
        <v>3203</v>
      </c>
      <c r="DBZ22" t="s">
        <v>3204</v>
      </c>
      <c r="DCA22" t="s">
        <v>3205</v>
      </c>
      <c r="DCB22" t="s">
        <v>3206</v>
      </c>
      <c r="DCC22" t="s">
        <v>3207</v>
      </c>
      <c r="DCD22" t="s">
        <v>3208</v>
      </c>
      <c r="DCE22" t="s">
        <v>3209</v>
      </c>
      <c r="DCF22" t="s">
        <v>3210</v>
      </c>
      <c r="DCG22" t="s">
        <v>3211</v>
      </c>
      <c r="DCH22" t="s">
        <v>3212</v>
      </c>
      <c r="DCI22" t="s">
        <v>3213</v>
      </c>
      <c r="DCJ22" t="s">
        <v>3214</v>
      </c>
      <c r="DCK22" t="s">
        <v>3215</v>
      </c>
      <c r="DCL22" t="s">
        <v>3216</v>
      </c>
      <c r="DCM22" t="s">
        <v>3217</v>
      </c>
      <c r="DCN22" t="s">
        <v>3218</v>
      </c>
      <c r="DCO22" t="s">
        <v>3219</v>
      </c>
      <c r="DCP22" t="s">
        <v>3220</v>
      </c>
      <c r="DCQ22" t="s">
        <v>3221</v>
      </c>
      <c r="DCR22" t="s">
        <v>3222</v>
      </c>
      <c r="DCS22" t="s">
        <v>3223</v>
      </c>
      <c r="DCT22" t="s">
        <v>3224</v>
      </c>
      <c r="DCU22" t="s">
        <v>3225</v>
      </c>
      <c r="DCV22" t="s">
        <v>3226</v>
      </c>
      <c r="DCW22" t="s">
        <v>3227</v>
      </c>
      <c r="DCX22" t="s">
        <v>3228</v>
      </c>
      <c r="DCY22" t="s">
        <v>3229</v>
      </c>
      <c r="DCZ22" t="s">
        <v>3230</v>
      </c>
      <c r="DDA22" t="s">
        <v>3231</v>
      </c>
      <c r="DDB22" t="s">
        <v>3232</v>
      </c>
      <c r="DDC22" t="s">
        <v>3233</v>
      </c>
      <c r="DDD22" t="s">
        <v>3234</v>
      </c>
      <c r="DDE22" t="s">
        <v>3235</v>
      </c>
      <c r="DDF22" t="s">
        <v>3236</v>
      </c>
      <c r="DDG22" t="s">
        <v>3237</v>
      </c>
      <c r="DDH22" t="s">
        <v>3238</v>
      </c>
      <c r="DDI22" t="s">
        <v>3239</v>
      </c>
      <c r="DDJ22" t="s">
        <v>3240</v>
      </c>
      <c r="DDK22" t="s">
        <v>3241</v>
      </c>
      <c r="DDL22" t="s">
        <v>3242</v>
      </c>
      <c r="DDM22" t="s">
        <v>3243</v>
      </c>
      <c r="DDN22" t="s">
        <v>3244</v>
      </c>
      <c r="DDO22" t="s">
        <v>3245</v>
      </c>
      <c r="DDP22" t="s">
        <v>3246</v>
      </c>
      <c r="DDQ22" t="s">
        <v>3247</v>
      </c>
      <c r="DDR22" t="s">
        <v>3248</v>
      </c>
      <c r="DDS22" t="s">
        <v>3249</v>
      </c>
      <c r="DDT22" t="s">
        <v>3250</v>
      </c>
      <c r="DDU22" t="s">
        <v>3251</v>
      </c>
      <c r="DDV22" t="s">
        <v>3252</v>
      </c>
      <c r="DDW22" t="s">
        <v>3253</v>
      </c>
      <c r="DDX22" t="s">
        <v>3254</v>
      </c>
      <c r="DDY22" t="s">
        <v>3255</v>
      </c>
      <c r="DDZ22" t="s">
        <v>3256</v>
      </c>
      <c r="DEA22" t="s">
        <v>3257</v>
      </c>
      <c r="DEB22" t="s">
        <v>3258</v>
      </c>
      <c r="DEC22" t="s">
        <v>3259</v>
      </c>
      <c r="DED22" t="s">
        <v>3260</v>
      </c>
      <c r="DEE22" t="s">
        <v>3261</v>
      </c>
      <c r="DEF22" t="s">
        <v>3262</v>
      </c>
      <c r="DEG22" t="s">
        <v>3263</v>
      </c>
      <c r="DEH22" t="s">
        <v>3264</v>
      </c>
      <c r="DEI22" t="s">
        <v>3265</v>
      </c>
      <c r="DEJ22" t="s">
        <v>3266</v>
      </c>
      <c r="DEK22" t="s">
        <v>3267</v>
      </c>
      <c r="DEL22" t="s">
        <v>3268</v>
      </c>
      <c r="DEM22" t="s">
        <v>3269</v>
      </c>
      <c r="DEN22" t="s">
        <v>3270</v>
      </c>
      <c r="DEO22" t="s">
        <v>3271</v>
      </c>
      <c r="DEP22" t="s">
        <v>3272</v>
      </c>
      <c r="DEQ22" t="s">
        <v>3273</v>
      </c>
      <c r="DER22" t="s">
        <v>3274</v>
      </c>
      <c r="DES22" t="s">
        <v>3275</v>
      </c>
      <c r="DET22" t="s">
        <v>3276</v>
      </c>
      <c r="DEU22" t="s">
        <v>3277</v>
      </c>
      <c r="DEV22" t="s">
        <v>3278</v>
      </c>
      <c r="DEW22" t="s">
        <v>3279</v>
      </c>
      <c r="DEX22" t="s">
        <v>3280</v>
      </c>
      <c r="DEY22" t="s">
        <v>3281</v>
      </c>
      <c r="DEZ22" t="s">
        <v>3282</v>
      </c>
      <c r="DFA22" t="s">
        <v>3283</v>
      </c>
      <c r="DFB22" t="s">
        <v>3284</v>
      </c>
      <c r="DFC22" t="s">
        <v>3285</v>
      </c>
      <c r="DFD22" t="s">
        <v>3286</v>
      </c>
      <c r="DFE22" t="s">
        <v>3287</v>
      </c>
      <c r="DFF22" t="s">
        <v>3288</v>
      </c>
      <c r="DFG22" t="s">
        <v>3289</v>
      </c>
      <c r="DFH22" t="s">
        <v>3290</v>
      </c>
      <c r="DFI22" t="s">
        <v>3291</v>
      </c>
      <c r="DFJ22" t="s">
        <v>3292</v>
      </c>
      <c r="DFK22" t="s">
        <v>3293</v>
      </c>
      <c r="DFL22" t="s">
        <v>3294</v>
      </c>
      <c r="DFM22" t="s">
        <v>3295</v>
      </c>
      <c r="DFN22" t="s">
        <v>3296</v>
      </c>
      <c r="DFO22" t="s">
        <v>3297</v>
      </c>
      <c r="DFP22" t="s">
        <v>3298</v>
      </c>
      <c r="DFQ22" t="s">
        <v>3299</v>
      </c>
      <c r="DFR22" t="s">
        <v>3300</v>
      </c>
      <c r="DFS22" t="s">
        <v>3301</v>
      </c>
      <c r="DFT22" t="s">
        <v>3302</v>
      </c>
      <c r="DFU22" t="s">
        <v>3303</v>
      </c>
      <c r="DFV22" t="s">
        <v>3304</v>
      </c>
      <c r="DFW22" t="s">
        <v>3305</v>
      </c>
      <c r="DFX22" t="s">
        <v>3306</v>
      </c>
      <c r="DFY22" t="s">
        <v>3307</v>
      </c>
      <c r="DFZ22" t="s">
        <v>3308</v>
      </c>
      <c r="DGA22" t="s">
        <v>3309</v>
      </c>
      <c r="DGB22" t="s">
        <v>3310</v>
      </c>
      <c r="DGC22" t="s">
        <v>3311</v>
      </c>
      <c r="DGD22" t="s">
        <v>3312</v>
      </c>
      <c r="DGE22" t="s">
        <v>3313</v>
      </c>
      <c r="DGF22" t="s">
        <v>3314</v>
      </c>
      <c r="DGG22" t="s">
        <v>3315</v>
      </c>
      <c r="DGH22" t="s">
        <v>3316</v>
      </c>
      <c r="DGI22" t="s">
        <v>3317</v>
      </c>
      <c r="DGJ22" t="s">
        <v>3318</v>
      </c>
      <c r="DGK22" t="s">
        <v>3319</v>
      </c>
      <c r="DGL22" t="s">
        <v>3320</v>
      </c>
      <c r="DGM22" t="s">
        <v>3321</v>
      </c>
      <c r="DGN22" t="s">
        <v>3322</v>
      </c>
      <c r="DGO22" t="s">
        <v>3323</v>
      </c>
      <c r="DGP22" t="s">
        <v>3324</v>
      </c>
      <c r="DGQ22" t="s">
        <v>3325</v>
      </c>
      <c r="DGR22" t="s">
        <v>3326</v>
      </c>
      <c r="DGS22" t="s">
        <v>3327</v>
      </c>
      <c r="DGT22" t="s">
        <v>3328</v>
      </c>
      <c r="DGU22" t="s">
        <v>3329</v>
      </c>
      <c r="DGV22" t="s">
        <v>3330</v>
      </c>
      <c r="DGW22" t="s">
        <v>3331</v>
      </c>
      <c r="DGX22" t="s">
        <v>3332</v>
      </c>
      <c r="DGY22" t="s">
        <v>3333</v>
      </c>
      <c r="DGZ22" t="s">
        <v>3334</v>
      </c>
      <c r="DHA22" t="s">
        <v>3335</v>
      </c>
      <c r="DHB22" t="s">
        <v>3336</v>
      </c>
      <c r="DHC22" t="s">
        <v>3337</v>
      </c>
      <c r="DHD22" t="s">
        <v>3338</v>
      </c>
      <c r="DHE22" t="s">
        <v>3339</v>
      </c>
      <c r="DHF22" t="s">
        <v>3340</v>
      </c>
      <c r="DHG22" t="s">
        <v>3341</v>
      </c>
      <c r="DHH22" t="s">
        <v>3342</v>
      </c>
      <c r="DHI22" t="s">
        <v>3343</v>
      </c>
      <c r="DHJ22" t="s">
        <v>3344</v>
      </c>
      <c r="DHK22" t="s">
        <v>3345</v>
      </c>
      <c r="DHL22" t="s">
        <v>3346</v>
      </c>
      <c r="DHM22" t="s">
        <v>3347</v>
      </c>
      <c r="DHN22" t="s">
        <v>3348</v>
      </c>
      <c r="DHO22" t="s">
        <v>3349</v>
      </c>
      <c r="DHP22" t="s">
        <v>3350</v>
      </c>
      <c r="DHQ22" t="s">
        <v>3351</v>
      </c>
      <c r="DHR22" t="s">
        <v>3352</v>
      </c>
      <c r="DHS22" t="s">
        <v>3353</v>
      </c>
      <c r="DHT22" t="s">
        <v>3354</v>
      </c>
      <c r="DHU22" t="s">
        <v>3355</v>
      </c>
      <c r="DHV22" t="s">
        <v>3356</v>
      </c>
      <c r="DHW22" t="s">
        <v>3357</v>
      </c>
      <c r="DHX22" t="s">
        <v>3358</v>
      </c>
      <c r="DHY22" t="s">
        <v>3359</v>
      </c>
      <c r="DHZ22" t="s">
        <v>3360</v>
      </c>
      <c r="DIA22" t="s">
        <v>3361</v>
      </c>
      <c r="DIB22" t="s">
        <v>3362</v>
      </c>
      <c r="DIC22" t="s">
        <v>3363</v>
      </c>
      <c r="DID22" t="s">
        <v>3364</v>
      </c>
      <c r="DIE22" t="s">
        <v>3365</v>
      </c>
      <c r="DIF22" t="s">
        <v>3366</v>
      </c>
      <c r="DIG22" t="s">
        <v>3367</v>
      </c>
      <c r="DIH22" t="s">
        <v>3368</v>
      </c>
      <c r="DII22" t="s">
        <v>3369</v>
      </c>
      <c r="DIJ22" t="s">
        <v>3370</v>
      </c>
      <c r="DIK22" t="s">
        <v>3371</v>
      </c>
      <c r="DIL22" t="s">
        <v>3372</v>
      </c>
      <c r="DIM22" t="s">
        <v>3373</v>
      </c>
      <c r="DIN22" t="s">
        <v>3374</v>
      </c>
      <c r="DIO22" t="s">
        <v>3375</v>
      </c>
      <c r="DIP22" t="s">
        <v>3376</v>
      </c>
      <c r="DIQ22" t="s">
        <v>3377</v>
      </c>
      <c r="DIR22" t="s">
        <v>3378</v>
      </c>
      <c r="DIS22" t="s">
        <v>3379</v>
      </c>
      <c r="DIT22" t="s">
        <v>3380</v>
      </c>
      <c r="DIU22" t="s">
        <v>3381</v>
      </c>
      <c r="DIV22" t="s">
        <v>3382</v>
      </c>
      <c r="DIW22" t="s">
        <v>3383</v>
      </c>
      <c r="DIX22" t="s">
        <v>3384</v>
      </c>
      <c r="DIY22" t="s">
        <v>3385</v>
      </c>
      <c r="DIZ22" t="s">
        <v>3386</v>
      </c>
      <c r="DJA22" t="s">
        <v>3387</v>
      </c>
      <c r="DJB22" t="s">
        <v>3388</v>
      </c>
      <c r="DJC22" t="s">
        <v>3389</v>
      </c>
      <c r="DJD22" t="s">
        <v>3390</v>
      </c>
      <c r="DJE22" t="s">
        <v>3391</v>
      </c>
      <c r="DJF22" t="s">
        <v>3392</v>
      </c>
      <c r="DJG22" t="s">
        <v>3393</v>
      </c>
      <c r="DJH22" t="s">
        <v>3394</v>
      </c>
      <c r="DJI22" t="s">
        <v>3395</v>
      </c>
      <c r="DJJ22" t="s">
        <v>3396</v>
      </c>
      <c r="DJK22" t="s">
        <v>3397</v>
      </c>
      <c r="DJL22" t="s">
        <v>3398</v>
      </c>
      <c r="DJM22" t="s">
        <v>3399</v>
      </c>
      <c r="DJN22" t="s">
        <v>3400</v>
      </c>
      <c r="DJO22" t="s">
        <v>3401</v>
      </c>
      <c r="DJP22" t="s">
        <v>3402</v>
      </c>
      <c r="DJQ22" t="s">
        <v>3403</v>
      </c>
      <c r="DJR22" t="s">
        <v>3404</v>
      </c>
      <c r="DJS22" t="s">
        <v>3405</v>
      </c>
      <c r="DJT22" t="s">
        <v>3406</v>
      </c>
      <c r="DJU22" t="s">
        <v>3407</v>
      </c>
      <c r="DJV22" t="s">
        <v>3408</v>
      </c>
      <c r="DJW22" t="s">
        <v>3409</v>
      </c>
      <c r="DJX22" t="s">
        <v>3410</v>
      </c>
      <c r="DJY22" t="s">
        <v>3411</v>
      </c>
      <c r="DJZ22" t="s">
        <v>3412</v>
      </c>
      <c r="DKA22" t="s">
        <v>3413</v>
      </c>
      <c r="DKB22" t="s">
        <v>3414</v>
      </c>
      <c r="DKC22" t="s">
        <v>3415</v>
      </c>
      <c r="DKD22" t="s">
        <v>3416</v>
      </c>
      <c r="DKE22" t="s">
        <v>3417</v>
      </c>
      <c r="DKF22" t="s">
        <v>3418</v>
      </c>
      <c r="DKG22" t="s">
        <v>3419</v>
      </c>
      <c r="DKH22" t="s">
        <v>3420</v>
      </c>
      <c r="DKI22" t="s">
        <v>3421</v>
      </c>
      <c r="DKJ22" t="s">
        <v>3422</v>
      </c>
      <c r="DKK22" t="s">
        <v>3423</v>
      </c>
      <c r="DKL22" t="s">
        <v>3424</v>
      </c>
      <c r="DKM22" t="s">
        <v>3425</v>
      </c>
      <c r="DKN22" t="s">
        <v>3426</v>
      </c>
      <c r="DKO22" t="s">
        <v>3427</v>
      </c>
      <c r="DKP22" t="s">
        <v>3428</v>
      </c>
      <c r="DKQ22" t="s">
        <v>3429</v>
      </c>
      <c r="DKR22" t="s">
        <v>3430</v>
      </c>
      <c r="DKS22" t="s">
        <v>3431</v>
      </c>
      <c r="DKT22" t="s">
        <v>3432</v>
      </c>
      <c r="DKU22" t="s">
        <v>3433</v>
      </c>
      <c r="DKV22" t="s">
        <v>3434</v>
      </c>
      <c r="DKW22" t="s">
        <v>3435</v>
      </c>
      <c r="DKX22" t="s">
        <v>3436</v>
      </c>
      <c r="DKY22" t="s">
        <v>3437</v>
      </c>
      <c r="DKZ22" t="s">
        <v>3438</v>
      </c>
      <c r="DLA22" t="s">
        <v>3439</v>
      </c>
      <c r="DLB22" t="s">
        <v>3440</v>
      </c>
      <c r="DLC22" t="s">
        <v>3441</v>
      </c>
      <c r="DLD22" t="s">
        <v>3442</v>
      </c>
      <c r="DLE22" t="s">
        <v>3443</v>
      </c>
      <c r="DLF22" t="s">
        <v>3444</v>
      </c>
      <c r="DLG22" t="s">
        <v>3445</v>
      </c>
      <c r="DLH22" t="s">
        <v>3446</v>
      </c>
      <c r="DLI22" t="s">
        <v>3447</v>
      </c>
      <c r="DLJ22" t="s">
        <v>3448</v>
      </c>
      <c r="DLK22" t="s">
        <v>3449</v>
      </c>
      <c r="DLL22" t="s">
        <v>3450</v>
      </c>
      <c r="DLM22" t="s">
        <v>3451</v>
      </c>
      <c r="DLN22" t="s">
        <v>3452</v>
      </c>
      <c r="DLO22" t="s">
        <v>3453</v>
      </c>
      <c r="DLP22" t="s">
        <v>3454</v>
      </c>
      <c r="DLQ22" t="s">
        <v>3455</v>
      </c>
      <c r="DLR22" t="s">
        <v>3456</v>
      </c>
      <c r="DLS22" t="s">
        <v>3457</v>
      </c>
      <c r="DLT22" t="s">
        <v>3458</v>
      </c>
      <c r="DLU22" t="s">
        <v>3459</v>
      </c>
      <c r="DLV22" t="s">
        <v>3460</v>
      </c>
      <c r="DLW22" t="s">
        <v>3461</v>
      </c>
      <c r="DLX22" t="s">
        <v>3462</v>
      </c>
      <c r="DLY22" t="s">
        <v>3463</v>
      </c>
      <c r="DLZ22" t="s">
        <v>3464</v>
      </c>
      <c r="DMA22" t="s">
        <v>3465</v>
      </c>
      <c r="DMB22" t="s">
        <v>3466</v>
      </c>
      <c r="DMC22" t="s">
        <v>3467</v>
      </c>
      <c r="DMD22" t="s">
        <v>3468</v>
      </c>
      <c r="DME22" t="s">
        <v>3469</v>
      </c>
      <c r="DMF22" t="s">
        <v>3470</v>
      </c>
      <c r="DMG22" t="s">
        <v>3471</v>
      </c>
      <c r="DMH22" t="s">
        <v>3472</v>
      </c>
      <c r="DMI22" t="s">
        <v>3473</v>
      </c>
      <c r="DMJ22" t="s">
        <v>3474</v>
      </c>
      <c r="DMK22" t="s">
        <v>3475</v>
      </c>
      <c r="DML22" t="s">
        <v>3476</v>
      </c>
      <c r="DMM22" t="s">
        <v>3477</v>
      </c>
      <c r="DMN22" t="s">
        <v>3478</v>
      </c>
      <c r="DMO22" t="s">
        <v>3479</v>
      </c>
      <c r="DMP22" t="s">
        <v>3480</v>
      </c>
      <c r="DMQ22" t="s">
        <v>3481</v>
      </c>
      <c r="DMR22" t="s">
        <v>3482</v>
      </c>
      <c r="DMS22" t="s">
        <v>3483</v>
      </c>
      <c r="DMT22" t="s">
        <v>3484</v>
      </c>
      <c r="DMU22" t="s">
        <v>3485</v>
      </c>
      <c r="DMV22" t="s">
        <v>3486</v>
      </c>
      <c r="DMW22" t="s">
        <v>3487</v>
      </c>
      <c r="DMX22" t="s">
        <v>3488</v>
      </c>
      <c r="DMY22" t="s">
        <v>3489</v>
      </c>
      <c r="DMZ22" t="s">
        <v>3490</v>
      </c>
      <c r="DNA22" t="s">
        <v>3491</v>
      </c>
      <c r="DNB22" t="s">
        <v>3492</v>
      </c>
      <c r="DNC22" t="s">
        <v>3493</v>
      </c>
      <c r="DND22" t="s">
        <v>3494</v>
      </c>
      <c r="DNE22" t="s">
        <v>3495</v>
      </c>
      <c r="DNF22" t="s">
        <v>3496</v>
      </c>
      <c r="DNG22" t="s">
        <v>3497</v>
      </c>
      <c r="DNH22" t="s">
        <v>3498</v>
      </c>
      <c r="DNI22" t="s">
        <v>3499</v>
      </c>
      <c r="DNJ22" t="s">
        <v>3500</v>
      </c>
      <c r="DNK22" t="s">
        <v>3501</v>
      </c>
      <c r="DNL22" t="s">
        <v>3502</v>
      </c>
      <c r="DNM22" t="s">
        <v>3503</v>
      </c>
      <c r="DNN22" t="s">
        <v>3504</v>
      </c>
      <c r="DNO22" t="s">
        <v>3505</v>
      </c>
      <c r="DNP22" t="s">
        <v>3506</v>
      </c>
      <c r="DNQ22" t="s">
        <v>3507</v>
      </c>
      <c r="DNR22" t="s">
        <v>3508</v>
      </c>
      <c r="DNS22" t="s">
        <v>3509</v>
      </c>
      <c r="DNT22" t="s">
        <v>3510</v>
      </c>
      <c r="DNU22" t="s">
        <v>3511</v>
      </c>
      <c r="DNV22" t="s">
        <v>3512</v>
      </c>
      <c r="DNW22" t="s">
        <v>3513</v>
      </c>
      <c r="DNX22" t="s">
        <v>3514</v>
      </c>
      <c r="DNY22" t="s">
        <v>3515</v>
      </c>
      <c r="DNZ22" t="s">
        <v>3516</v>
      </c>
      <c r="DOA22" t="s">
        <v>3517</v>
      </c>
      <c r="DOB22" t="s">
        <v>3518</v>
      </c>
      <c r="DOC22" t="s">
        <v>3519</v>
      </c>
      <c r="DOD22" t="s">
        <v>3520</v>
      </c>
      <c r="DOE22" t="s">
        <v>3521</v>
      </c>
      <c r="DOF22" t="s">
        <v>3522</v>
      </c>
      <c r="DOG22" t="s">
        <v>3523</v>
      </c>
      <c r="DOH22" t="s">
        <v>3524</v>
      </c>
      <c r="DOI22" t="s">
        <v>3525</v>
      </c>
      <c r="DOJ22" t="s">
        <v>3526</v>
      </c>
      <c r="DOK22" t="s">
        <v>3527</v>
      </c>
      <c r="DOL22" t="s">
        <v>3528</v>
      </c>
      <c r="DOM22" t="s">
        <v>3529</v>
      </c>
      <c r="DON22" t="s">
        <v>3530</v>
      </c>
      <c r="DOO22" t="s">
        <v>3531</v>
      </c>
      <c r="DOP22" t="s">
        <v>3532</v>
      </c>
      <c r="DOQ22" t="s">
        <v>3533</v>
      </c>
      <c r="DOR22" t="s">
        <v>3534</v>
      </c>
      <c r="DOS22" t="s">
        <v>3535</v>
      </c>
      <c r="DOT22" t="s">
        <v>3536</v>
      </c>
      <c r="DOU22" t="s">
        <v>3537</v>
      </c>
      <c r="DOV22" t="s">
        <v>3538</v>
      </c>
      <c r="DOW22" t="s">
        <v>3539</v>
      </c>
      <c r="DOX22" t="s">
        <v>3540</v>
      </c>
      <c r="DOY22" t="s">
        <v>3541</v>
      </c>
      <c r="DOZ22" t="s">
        <v>3542</v>
      </c>
      <c r="DPA22" t="s">
        <v>3543</v>
      </c>
      <c r="DPB22" t="s">
        <v>3544</v>
      </c>
      <c r="DPC22" t="s">
        <v>3545</v>
      </c>
      <c r="DPD22" t="s">
        <v>3546</v>
      </c>
      <c r="DPE22" t="s">
        <v>3547</v>
      </c>
      <c r="DPF22" t="s">
        <v>3548</v>
      </c>
      <c r="DPG22" t="s">
        <v>3549</v>
      </c>
      <c r="DPH22" t="s">
        <v>3550</v>
      </c>
      <c r="DPI22" t="s">
        <v>3551</v>
      </c>
      <c r="DPJ22" t="s">
        <v>3552</v>
      </c>
      <c r="DPK22" t="s">
        <v>3553</v>
      </c>
      <c r="DPL22" t="s">
        <v>3554</v>
      </c>
      <c r="DPM22" t="s">
        <v>3555</v>
      </c>
      <c r="DPN22" t="s">
        <v>3556</v>
      </c>
      <c r="DPO22" t="s">
        <v>3557</v>
      </c>
      <c r="DPP22" t="s">
        <v>3558</v>
      </c>
      <c r="DPQ22" t="s">
        <v>3559</v>
      </c>
      <c r="DPR22" t="s">
        <v>3560</v>
      </c>
      <c r="DPS22" t="s">
        <v>3561</v>
      </c>
      <c r="DPT22" t="s">
        <v>3562</v>
      </c>
      <c r="DPU22" t="s">
        <v>3563</v>
      </c>
      <c r="DPV22" t="s">
        <v>3564</v>
      </c>
      <c r="DPW22" t="s">
        <v>3565</v>
      </c>
      <c r="DPX22" t="s">
        <v>3566</v>
      </c>
      <c r="DPY22" t="s">
        <v>3567</v>
      </c>
      <c r="DPZ22" t="s">
        <v>3568</v>
      </c>
      <c r="DQA22" t="s">
        <v>3569</v>
      </c>
      <c r="DQB22" t="s">
        <v>3570</v>
      </c>
      <c r="DQC22" t="s">
        <v>3571</v>
      </c>
      <c r="DQD22" t="s">
        <v>3572</v>
      </c>
      <c r="DQE22" t="s">
        <v>3573</v>
      </c>
      <c r="DQF22" t="s">
        <v>3574</v>
      </c>
      <c r="DQG22" t="s">
        <v>3575</v>
      </c>
      <c r="DQH22" t="s">
        <v>3576</v>
      </c>
      <c r="DQI22" t="s">
        <v>3577</v>
      </c>
      <c r="DQJ22" t="s">
        <v>3578</v>
      </c>
      <c r="DQK22" t="s">
        <v>3579</v>
      </c>
      <c r="DQL22" t="s">
        <v>3580</v>
      </c>
      <c r="DQM22" t="s">
        <v>3581</v>
      </c>
      <c r="DQN22" t="s">
        <v>3582</v>
      </c>
      <c r="DQO22" t="s">
        <v>3583</v>
      </c>
      <c r="DQP22" t="s">
        <v>3584</v>
      </c>
      <c r="DQQ22" t="s">
        <v>3585</v>
      </c>
      <c r="DQR22" t="s">
        <v>3586</v>
      </c>
      <c r="DQS22" t="s">
        <v>3587</v>
      </c>
      <c r="DQT22" t="s">
        <v>3588</v>
      </c>
      <c r="DQU22" t="s">
        <v>3589</v>
      </c>
      <c r="DQV22" t="s">
        <v>3590</v>
      </c>
      <c r="DQW22" t="s">
        <v>3591</v>
      </c>
      <c r="DQX22" t="s">
        <v>3592</v>
      </c>
      <c r="DQY22" t="s">
        <v>3593</v>
      </c>
      <c r="DQZ22" t="s">
        <v>3594</v>
      </c>
      <c r="DRA22" t="s">
        <v>3595</v>
      </c>
      <c r="DRB22" t="s">
        <v>3596</v>
      </c>
      <c r="DRC22" t="s">
        <v>3597</v>
      </c>
      <c r="DRD22" t="s">
        <v>3598</v>
      </c>
      <c r="DRE22" t="s">
        <v>3599</v>
      </c>
      <c r="DRF22" t="s">
        <v>3600</v>
      </c>
      <c r="DRG22" t="s">
        <v>3601</v>
      </c>
      <c r="DRH22" t="s">
        <v>3602</v>
      </c>
      <c r="DRI22" t="s">
        <v>3603</v>
      </c>
      <c r="DRJ22" t="s">
        <v>3604</v>
      </c>
      <c r="DRK22" t="s">
        <v>3605</v>
      </c>
      <c r="DRL22" t="s">
        <v>3606</v>
      </c>
      <c r="DRM22" t="s">
        <v>3607</v>
      </c>
      <c r="DRN22" t="s">
        <v>3608</v>
      </c>
      <c r="DRO22" t="s">
        <v>3609</v>
      </c>
      <c r="DRP22" t="s">
        <v>3610</v>
      </c>
      <c r="DRQ22" t="s">
        <v>3611</v>
      </c>
      <c r="DRR22" t="s">
        <v>3612</v>
      </c>
      <c r="DRS22" t="s">
        <v>3613</v>
      </c>
      <c r="DRT22" t="s">
        <v>3614</v>
      </c>
      <c r="DRU22" t="s">
        <v>3615</v>
      </c>
      <c r="DRV22" t="s">
        <v>3616</v>
      </c>
      <c r="DRW22" t="s">
        <v>3617</v>
      </c>
      <c r="DRX22" t="s">
        <v>3618</v>
      </c>
      <c r="DRY22" t="s">
        <v>3619</v>
      </c>
      <c r="DRZ22" t="s">
        <v>3620</v>
      </c>
      <c r="DSA22" t="s">
        <v>3621</v>
      </c>
      <c r="DSB22" t="s">
        <v>3622</v>
      </c>
      <c r="DSC22" t="s">
        <v>3623</v>
      </c>
      <c r="DSD22" t="s">
        <v>3624</v>
      </c>
      <c r="DSE22" t="s">
        <v>3625</v>
      </c>
      <c r="DSF22" t="s">
        <v>3626</v>
      </c>
      <c r="DSG22" t="s">
        <v>3627</v>
      </c>
      <c r="DSH22" t="s">
        <v>3628</v>
      </c>
      <c r="DSI22" t="s">
        <v>3629</v>
      </c>
      <c r="DSJ22" t="s">
        <v>3630</v>
      </c>
      <c r="DSK22" t="s">
        <v>3631</v>
      </c>
      <c r="DSL22" t="s">
        <v>3632</v>
      </c>
      <c r="DSM22" t="s">
        <v>3633</v>
      </c>
      <c r="DSN22" t="s">
        <v>3634</v>
      </c>
      <c r="DSO22" t="s">
        <v>3635</v>
      </c>
      <c r="DSP22" t="s">
        <v>3636</v>
      </c>
      <c r="DSQ22" t="s">
        <v>3637</v>
      </c>
      <c r="DSR22" t="s">
        <v>3638</v>
      </c>
      <c r="DSS22" t="s">
        <v>3639</v>
      </c>
      <c r="DST22" t="s">
        <v>3640</v>
      </c>
      <c r="DSU22" t="s">
        <v>3641</v>
      </c>
      <c r="DSV22" t="s">
        <v>3642</v>
      </c>
      <c r="DSW22" t="s">
        <v>3643</v>
      </c>
      <c r="DSX22" t="s">
        <v>3644</v>
      </c>
      <c r="DSY22" t="s">
        <v>3645</v>
      </c>
      <c r="DSZ22" t="s">
        <v>3646</v>
      </c>
      <c r="DTA22" t="s">
        <v>3647</v>
      </c>
      <c r="DTB22" t="s">
        <v>3648</v>
      </c>
      <c r="DTC22" t="s">
        <v>3649</v>
      </c>
      <c r="DTD22" t="s">
        <v>3650</v>
      </c>
      <c r="DTE22" t="s">
        <v>3651</v>
      </c>
      <c r="DTF22" t="s">
        <v>3652</v>
      </c>
      <c r="DTG22" t="s">
        <v>3653</v>
      </c>
      <c r="DTH22" t="s">
        <v>3654</v>
      </c>
      <c r="DTI22" t="s">
        <v>3655</v>
      </c>
      <c r="DTJ22" t="s">
        <v>3656</v>
      </c>
      <c r="DTK22" t="s">
        <v>3657</v>
      </c>
      <c r="DTL22" t="s">
        <v>3658</v>
      </c>
      <c r="DTM22" t="s">
        <v>3659</v>
      </c>
      <c r="DTN22" t="s">
        <v>3660</v>
      </c>
      <c r="DTO22" t="s">
        <v>3661</v>
      </c>
      <c r="DTP22" t="s">
        <v>3662</v>
      </c>
      <c r="DTQ22" t="s">
        <v>3663</v>
      </c>
      <c r="DTR22" t="s">
        <v>3664</v>
      </c>
      <c r="DTS22" t="s">
        <v>3665</v>
      </c>
      <c r="DTT22" t="s">
        <v>3666</v>
      </c>
      <c r="DTU22" t="s">
        <v>3667</v>
      </c>
      <c r="DTV22" t="s">
        <v>3668</v>
      </c>
      <c r="DTW22" t="s">
        <v>3669</v>
      </c>
      <c r="DTX22" t="s">
        <v>3670</v>
      </c>
      <c r="DTY22" t="s">
        <v>3671</v>
      </c>
      <c r="DTZ22" t="s">
        <v>3672</v>
      </c>
      <c r="DUA22" t="s">
        <v>3673</v>
      </c>
      <c r="DUB22" t="s">
        <v>3674</v>
      </c>
      <c r="DUC22" t="s">
        <v>3675</v>
      </c>
      <c r="DUD22" t="s">
        <v>3676</v>
      </c>
      <c r="DUE22" t="s">
        <v>3677</v>
      </c>
      <c r="DUF22" t="s">
        <v>3678</v>
      </c>
      <c r="DUG22" t="s">
        <v>3679</v>
      </c>
      <c r="DUH22" t="s">
        <v>3680</v>
      </c>
      <c r="DUI22" t="s">
        <v>3681</v>
      </c>
      <c r="DUJ22" t="s">
        <v>3682</v>
      </c>
      <c r="DUK22" t="s">
        <v>3683</v>
      </c>
      <c r="DUL22" t="s">
        <v>3684</v>
      </c>
      <c r="DUM22" t="s">
        <v>3685</v>
      </c>
      <c r="DUN22" t="s">
        <v>3686</v>
      </c>
      <c r="DUO22" t="s">
        <v>3687</v>
      </c>
      <c r="DUP22" t="s">
        <v>3688</v>
      </c>
      <c r="DUQ22" t="s">
        <v>3689</v>
      </c>
      <c r="DUR22" t="s">
        <v>3690</v>
      </c>
      <c r="DUS22" t="s">
        <v>3691</v>
      </c>
      <c r="DUT22" t="s">
        <v>3692</v>
      </c>
      <c r="DUU22" t="s">
        <v>3693</v>
      </c>
      <c r="DUV22" t="s">
        <v>3694</v>
      </c>
      <c r="DUW22" t="s">
        <v>3695</v>
      </c>
      <c r="DUX22" t="s">
        <v>3696</v>
      </c>
      <c r="DUY22" t="s">
        <v>3697</v>
      </c>
      <c r="DUZ22" t="s">
        <v>3698</v>
      </c>
      <c r="DVA22" t="s">
        <v>3699</v>
      </c>
      <c r="DVB22" t="s">
        <v>3700</v>
      </c>
      <c r="DVC22" t="s">
        <v>3701</v>
      </c>
      <c r="DVD22" t="s">
        <v>3702</v>
      </c>
      <c r="DVE22" t="s">
        <v>3703</v>
      </c>
      <c r="DVF22" t="s">
        <v>3704</v>
      </c>
      <c r="DVG22" t="s">
        <v>3705</v>
      </c>
      <c r="DVH22" t="s">
        <v>3706</v>
      </c>
      <c r="DVI22" t="s">
        <v>3707</v>
      </c>
      <c r="DVJ22" t="s">
        <v>3708</v>
      </c>
      <c r="DVK22" t="s">
        <v>3709</v>
      </c>
      <c r="DVL22" t="s">
        <v>3710</v>
      </c>
      <c r="DVM22" t="s">
        <v>3711</v>
      </c>
      <c r="DVN22" t="s">
        <v>3712</v>
      </c>
      <c r="DVO22" t="s">
        <v>3713</v>
      </c>
      <c r="DVP22" t="s">
        <v>3714</v>
      </c>
      <c r="DVQ22" t="s">
        <v>3715</v>
      </c>
      <c r="DVR22" t="s">
        <v>3716</v>
      </c>
      <c r="DVS22" t="s">
        <v>3717</v>
      </c>
      <c r="DVT22" t="s">
        <v>3718</v>
      </c>
      <c r="DVU22" t="s">
        <v>3719</v>
      </c>
      <c r="DVV22" t="s">
        <v>3720</v>
      </c>
      <c r="DVW22" t="s">
        <v>3721</v>
      </c>
      <c r="DVX22" t="s">
        <v>3722</v>
      </c>
      <c r="DVY22" t="s">
        <v>3723</v>
      </c>
      <c r="DVZ22" t="s">
        <v>3724</v>
      </c>
      <c r="DWA22" t="s">
        <v>3725</v>
      </c>
      <c r="DWB22" t="s">
        <v>3726</v>
      </c>
      <c r="DWC22" t="s">
        <v>3727</v>
      </c>
      <c r="DWD22" t="s">
        <v>3728</v>
      </c>
      <c r="DWE22" t="s">
        <v>3729</v>
      </c>
      <c r="DWF22" t="s">
        <v>3730</v>
      </c>
      <c r="DWG22" t="s">
        <v>3731</v>
      </c>
      <c r="DWH22" t="s">
        <v>3732</v>
      </c>
      <c r="DWI22" t="s">
        <v>3733</v>
      </c>
      <c r="DWJ22" t="s">
        <v>3734</v>
      </c>
      <c r="DWK22" t="s">
        <v>3735</v>
      </c>
      <c r="DWL22" t="s">
        <v>3736</v>
      </c>
      <c r="DWM22" t="s">
        <v>3737</v>
      </c>
      <c r="DWN22" t="s">
        <v>3738</v>
      </c>
      <c r="DWO22" t="s">
        <v>3739</v>
      </c>
      <c r="DWP22" t="s">
        <v>3740</v>
      </c>
      <c r="DWQ22" t="s">
        <v>3741</v>
      </c>
      <c r="DWR22" t="s">
        <v>3742</v>
      </c>
      <c r="DWS22" t="s">
        <v>3743</v>
      </c>
      <c r="DWT22" t="s">
        <v>3744</v>
      </c>
      <c r="DWU22" t="s">
        <v>3745</v>
      </c>
      <c r="DWV22" t="s">
        <v>3746</v>
      </c>
      <c r="DWW22" t="s">
        <v>3747</v>
      </c>
      <c r="DWX22" t="s">
        <v>3748</v>
      </c>
      <c r="DWY22" t="s">
        <v>3749</v>
      </c>
      <c r="DWZ22" t="s">
        <v>3750</v>
      </c>
      <c r="DXA22" t="s">
        <v>3751</v>
      </c>
      <c r="DXB22" t="s">
        <v>3752</v>
      </c>
      <c r="DXC22" t="s">
        <v>3753</v>
      </c>
      <c r="DXD22" t="s">
        <v>3754</v>
      </c>
      <c r="DXE22" t="s">
        <v>3755</v>
      </c>
      <c r="DXF22" t="s">
        <v>3756</v>
      </c>
      <c r="DXG22" t="s">
        <v>3757</v>
      </c>
      <c r="DXH22" t="s">
        <v>3758</v>
      </c>
      <c r="DXI22" t="s">
        <v>3759</v>
      </c>
      <c r="DXJ22" t="s">
        <v>3760</v>
      </c>
      <c r="DXK22" t="s">
        <v>3761</v>
      </c>
      <c r="DXL22" t="s">
        <v>3762</v>
      </c>
      <c r="DXM22" t="s">
        <v>3763</v>
      </c>
      <c r="DXN22" t="s">
        <v>3764</v>
      </c>
      <c r="DXO22" t="s">
        <v>3765</v>
      </c>
      <c r="DXP22" t="s">
        <v>3766</v>
      </c>
      <c r="DXQ22" t="s">
        <v>3767</v>
      </c>
      <c r="DXR22" t="s">
        <v>3768</v>
      </c>
      <c r="DXS22" t="s">
        <v>3769</v>
      </c>
      <c r="DXT22" t="s">
        <v>3770</v>
      </c>
      <c r="DXU22" t="s">
        <v>3771</v>
      </c>
      <c r="DXV22" t="s">
        <v>3772</v>
      </c>
      <c r="DXW22" t="s">
        <v>3773</v>
      </c>
      <c r="DXX22" t="s">
        <v>3774</v>
      </c>
      <c r="DXY22" t="s">
        <v>3775</v>
      </c>
      <c r="DXZ22" t="s">
        <v>3776</v>
      </c>
      <c r="DYA22" t="s">
        <v>3777</v>
      </c>
      <c r="DYB22" t="s">
        <v>3778</v>
      </c>
      <c r="DYC22" t="s">
        <v>3779</v>
      </c>
      <c r="DYD22" t="s">
        <v>3780</v>
      </c>
      <c r="DYE22" t="s">
        <v>3781</v>
      </c>
      <c r="DYF22" t="s">
        <v>3782</v>
      </c>
      <c r="DYG22" t="s">
        <v>3783</v>
      </c>
      <c r="DYH22" t="s">
        <v>3784</v>
      </c>
      <c r="DYI22" t="s">
        <v>3785</v>
      </c>
      <c r="DYJ22" t="s">
        <v>3786</v>
      </c>
      <c r="DYK22" t="s">
        <v>3787</v>
      </c>
      <c r="DYL22" t="s">
        <v>3788</v>
      </c>
      <c r="DYM22" t="s">
        <v>3789</v>
      </c>
      <c r="DYN22" t="s">
        <v>3790</v>
      </c>
      <c r="DYO22" t="s">
        <v>3791</v>
      </c>
      <c r="DYP22" t="s">
        <v>3792</v>
      </c>
      <c r="DYQ22" t="s">
        <v>3793</v>
      </c>
      <c r="DYR22" t="s">
        <v>3794</v>
      </c>
      <c r="DYS22" t="s">
        <v>3795</v>
      </c>
      <c r="DYT22" t="s">
        <v>3796</v>
      </c>
      <c r="DYU22" t="s">
        <v>3797</v>
      </c>
      <c r="DYV22" t="s">
        <v>3798</v>
      </c>
      <c r="DYW22" t="s">
        <v>3799</v>
      </c>
      <c r="DYX22" t="s">
        <v>3800</v>
      </c>
      <c r="DYY22" t="s">
        <v>3801</v>
      </c>
      <c r="DYZ22" t="s">
        <v>3802</v>
      </c>
      <c r="DZA22" t="s">
        <v>3803</v>
      </c>
      <c r="DZB22" t="s">
        <v>3804</v>
      </c>
      <c r="DZC22" t="s">
        <v>3805</v>
      </c>
      <c r="DZD22" t="s">
        <v>3806</v>
      </c>
      <c r="DZE22" t="s">
        <v>3807</v>
      </c>
      <c r="DZF22" t="s">
        <v>3808</v>
      </c>
      <c r="DZG22" t="s">
        <v>3809</v>
      </c>
      <c r="DZH22" t="s">
        <v>3810</v>
      </c>
      <c r="DZI22" t="s">
        <v>3811</v>
      </c>
      <c r="DZJ22" t="s">
        <v>3812</v>
      </c>
      <c r="DZK22" t="s">
        <v>3813</v>
      </c>
      <c r="DZL22" t="s">
        <v>3814</v>
      </c>
      <c r="DZM22" t="s">
        <v>3815</v>
      </c>
      <c r="DZN22" t="s">
        <v>3816</v>
      </c>
      <c r="DZO22" t="s">
        <v>3817</v>
      </c>
      <c r="DZP22" t="s">
        <v>3818</v>
      </c>
      <c r="DZQ22" t="s">
        <v>3819</v>
      </c>
      <c r="DZR22" t="s">
        <v>3820</v>
      </c>
      <c r="DZS22" t="s">
        <v>3821</v>
      </c>
      <c r="DZT22" t="s">
        <v>3822</v>
      </c>
      <c r="DZU22" t="s">
        <v>3823</v>
      </c>
      <c r="DZV22" t="s">
        <v>3824</v>
      </c>
      <c r="DZW22" t="s">
        <v>3825</v>
      </c>
      <c r="DZX22" t="s">
        <v>3826</v>
      </c>
      <c r="DZY22" t="s">
        <v>3827</v>
      </c>
      <c r="DZZ22" t="s">
        <v>3828</v>
      </c>
      <c r="EAA22" t="s">
        <v>3829</v>
      </c>
      <c r="EAB22" t="s">
        <v>3830</v>
      </c>
      <c r="EAC22" t="s">
        <v>3831</v>
      </c>
      <c r="EAD22" t="s">
        <v>3832</v>
      </c>
      <c r="EAE22" t="s">
        <v>3833</v>
      </c>
      <c r="EAF22" t="s">
        <v>3834</v>
      </c>
      <c r="EAG22" t="s">
        <v>3835</v>
      </c>
      <c r="EAH22" t="s">
        <v>3836</v>
      </c>
      <c r="EAI22" t="s">
        <v>3837</v>
      </c>
      <c r="EAJ22" t="s">
        <v>3838</v>
      </c>
      <c r="EAK22" t="s">
        <v>3839</v>
      </c>
      <c r="EAL22" t="s">
        <v>3840</v>
      </c>
      <c r="EAM22" t="s">
        <v>3841</v>
      </c>
      <c r="EAN22" t="s">
        <v>3842</v>
      </c>
      <c r="EAO22" t="s">
        <v>3843</v>
      </c>
      <c r="EAP22" t="s">
        <v>3844</v>
      </c>
      <c r="EAQ22" t="s">
        <v>3845</v>
      </c>
      <c r="EAR22" t="s">
        <v>3846</v>
      </c>
      <c r="EAS22" t="s">
        <v>3847</v>
      </c>
      <c r="EAT22" t="s">
        <v>3848</v>
      </c>
      <c r="EAU22" t="s">
        <v>3849</v>
      </c>
      <c r="EAV22" t="s">
        <v>3850</v>
      </c>
      <c r="EAW22" t="s">
        <v>3851</v>
      </c>
      <c r="EAX22" t="s">
        <v>3852</v>
      </c>
      <c r="EAY22" t="s">
        <v>3853</v>
      </c>
      <c r="EAZ22" t="s">
        <v>3854</v>
      </c>
      <c r="EBA22" t="s">
        <v>3855</v>
      </c>
      <c r="EBB22" t="s">
        <v>3856</v>
      </c>
      <c r="EBC22" t="s">
        <v>3857</v>
      </c>
      <c r="EBD22" t="s">
        <v>3858</v>
      </c>
      <c r="EBE22" t="s">
        <v>3859</v>
      </c>
      <c r="EBF22" t="s">
        <v>3860</v>
      </c>
      <c r="EBG22" t="s">
        <v>3861</v>
      </c>
      <c r="EBH22" t="s">
        <v>3862</v>
      </c>
      <c r="EBI22" t="s">
        <v>3863</v>
      </c>
      <c r="EBJ22" t="s">
        <v>3864</v>
      </c>
      <c r="EBK22" t="s">
        <v>3865</v>
      </c>
      <c r="EBL22" t="s">
        <v>3866</v>
      </c>
      <c r="EBM22" t="s">
        <v>3867</v>
      </c>
      <c r="EBN22" t="s">
        <v>3868</v>
      </c>
      <c r="EBO22" t="s">
        <v>3869</v>
      </c>
      <c r="EBP22" t="s">
        <v>3870</v>
      </c>
      <c r="EBQ22" t="s">
        <v>3871</v>
      </c>
      <c r="EBR22" t="s">
        <v>3872</v>
      </c>
      <c r="EBS22" t="s">
        <v>3873</v>
      </c>
      <c r="EBT22" t="s">
        <v>3874</v>
      </c>
      <c r="EBU22" t="s">
        <v>3875</v>
      </c>
      <c r="EBV22" t="s">
        <v>3876</v>
      </c>
      <c r="EBW22" t="s">
        <v>3877</v>
      </c>
      <c r="EBX22" t="s">
        <v>3878</v>
      </c>
      <c r="EBY22" t="s">
        <v>3879</v>
      </c>
      <c r="EBZ22" t="s">
        <v>3880</v>
      </c>
      <c r="ECA22" t="s">
        <v>3881</v>
      </c>
      <c r="ECB22" t="s">
        <v>3882</v>
      </c>
      <c r="ECC22" t="s">
        <v>3883</v>
      </c>
      <c r="ECD22" t="s">
        <v>3884</v>
      </c>
      <c r="ECE22" t="s">
        <v>3885</v>
      </c>
      <c r="ECF22" t="s">
        <v>3886</v>
      </c>
      <c r="ECG22" t="s">
        <v>3887</v>
      </c>
      <c r="ECH22" t="s">
        <v>3888</v>
      </c>
      <c r="ECI22" t="s">
        <v>3889</v>
      </c>
      <c r="ECJ22" t="s">
        <v>3890</v>
      </c>
      <c r="ECK22" t="s">
        <v>3891</v>
      </c>
      <c r="ECL22" t="s">
        <v>3892</v>
      </c>
      <c r="ECM22" t="s">
        <v>3893</v>
      </c>
      <c r="ECN22" t="s">
        <v>3894</v>
      </c>
      <c r="ECO22" t="s">
        <v>3895</v>
      </c>
      <c r="ECP22" t="s">
        <v>3896</v>
      </c>
      <c r="ECQ22" t="s">
        <v>3897</v>
      </c>
      <c r="ECR22" t="s">
        <v>3898</v>
      </c>
      <c r="ECS22" t="s">
        <v>3899</v>
      </c>
      <c r="ECT22" t="s">
        <v>3900</v>
      </c>
      <c r="ECU22" t="s">
        <v>3901</v>
      </c>
      <c r="ECV22" t="s">
        <v>3902</v>
      </c>
      <c r="ECW22" t="s">
        <v>3903</v>
      </c>
      <c r="ECX22" t="s">
        <v>3904</v>
      </c>
      <c r="ECY22" t="s">
        <v>3905</v>
      </c>
      <c r="ECZ22" t="s">
        <v>3906</v>
      </c>
      <c r="EDA22" t="s">
        <v>3907</v>
      </c>
      <c r="EDB22" t="s">
        <v>3908</v>
      </c>
      <c r="EDC22" t="s">
        <v>3909</v>
      </c>
      <c r="EDD22" t="s">
        <v>3910</v>
      </c>
      <c r="EDE22" t="s">
        <v>3911</v>
      </c>
      <c r="EDF22" t="s">
        <v>3912</v>
      </c>
      <c r="EDG22" t="s">
        <v>3913</v>
      </c>
      <c r="EDH22" t="s">
        <v>3914</v>
      </c>
      <c r="EDI22" t="s">
        <v>3915</v>
      </c>
      <c r="EDJ22" t="s">
        <v>3916</v>
      </c>
      <c r="EDK22" t="s">
        <v>3917</v>
      </c>
      <c r="EDL22" t="s">
        <v>3918</v>
      </c>
      <c r="EDM22" t="s">
        <v>3919</v>
      </c>
      <c r="EDN22" t="s">
        <v>3920</v>
      </c>
      <c r="EDO22" t="s">
        <v>3921</v>
      </c>
      <c r="EDP22" t="s">
        <v>3922</v>
      </c>
      <c r="EDQ22" t="s">
        <v>3923</v>
      </c>
      <c r="EDR22" t="s">
        <v>3924</v>
      </c>
      <c r="EDS22" t="s">
        <v>3925</v>
      </c>
      <c r="EDT22" t="s">
        <v>3926</v>
      </c>
      <c r="EDU22" t="s">
        <v>3927</v>
      </c>
      <c r="EDV22" t="s">
        <v>3928</v>
      </c>
      <c r="EDW22" t="s">
        <v>3929</v>
      </c>
      <c r="EDX22" t="s">
        <v>3930</v>
      </c>
      <c r="EDY22" t="s">
        <v>3931</v>
      </c>
      <c r="EDZ22" t="s">
        <v>3932</v>
      </c>
      <c r="EEA22" t="s">
        <v>3933</v>
      </c>
      <c r="EEB22" t="s">
        <v>3934</v>
      </c>
      <c r="EEC22" t="s">
        <v>3935</v>
      </c>
      <c r="EED22" t="s">
        <v>3936</v>
      </c>
      <c r="EEE22" t="s">
        <v>3937</v>
      </c>
      <c r="EEF22" t="s">
        <v>3938</v>
      </c>
      <c r="EEG22" t="s">
        <v>3939</v>
      </c>
      <c r="EEH22" t="s">
        <v>3940</v>
      </c>
      <c r="EEI22" t="s">
        <v>3941</v>
      </c>
      <c r="EEJ22" t="s">
        <v>3942</v>
      </c>
      <c r="EEK22" t="s">
        <v>3943</v>
      </c>
      <c r="EEL22" t="s">
        <v>3944</v>
      </c>
      <c r="EEM22" t="s">
        <v>3945</v>
      </c>
      <c r="EEN22" t="s">
        <v>3946</v>
      </c>
      <c r="EEO22" t="s">
        <v>3947</v>
      </c>
      <c r="EEP22" t="s">
        <v>3948</v>
      </c>
      <c r="EEQ22" t="s">
        <v>3949</v>
      </c>
      <c r="EER22" t="s">
        <v>3950</v>
      </c>
      <c r="EES22" t="s">
        <v>3951</v>
      </c>
      <c r="EET22" t="s">
        <v>3952</v>
      </c>
      <c r="EEU22" t="s">
        <v>3953</v>
      </c>
      <c r="EEV22" t="s">
        <v>3954</v>
      </c>
      <c r="EEW22" t="s">
        <v>3955</v>
      </c>
      <c r="EEX22" t="s">
        <v>3956</v>
      </c>
      <c r="EEY22" t="s">
        <v>3957</v>
      </c>
      <c r="EEZ22" t="s">
        <v>3958</v>
      </c>
      <c r="EFA22" t="s">
        <v>3959</v>
      </c>
      <c r="EFB22" t="s">
        <v>3960</v>
      </c>
      <c r="EFC22" t="s">
        <v>3961</v>
      </c>
      <c r="EFD22" t="s">
        <v>3962</v>
      </c>
      <c r="EFE22" t="s">
        <v>3963</v>
      </c>
      <c r="EFF22" t="s">
        <v>3964</v>
      </c>
      <c r="EFG22" t="s">
        <v>3965</v>
      </c>
      <c r="EFH22" t="s">
        <v>3966</v>
      </c>
      <c r="EFI22" t="s">
        <v>3967</v>
      </c>
      <c r="EFJ22" t="s">
        <v>3968</v>
      </c>
      <c r="EFK22" t="s">
        <v>3969</v>
      </c>
      <c r="EFL22" t="s">
        <v>3970</v>
      </c>
      <c r="EFM22" t="s">
        <v>3971</v>
      </c>
      <c r="EFN22" t="s">
        <v>3972</v>
      </c>
      <c r="EFO22" t="s">
        <v>3973</v>
      </c>
      <c r="EFP22" t="s">
        <v>3974</v>
      </c>
      <c r="EFQ22" t="s">
        <v>3975</v>
      </c>
      <c r="EFR22" t="s">
        <v>3976</v>
      </c>
      <c r="EFS22" t="s">
        <v>3977</v>
      </c>
      <c r="EFT22" t="s">
        <v>3978</v>
      </c>
      <c r="EFU22" t="s">
        <v>3979</v>
      </c>
      <c r="EFV22" t="s">
        <v>3980</v>
      </c>
      <c r="EFW22" t="s">
        <v>3981</v>
      </c>
      <c r="EFX22" t="s">
        <v>3982</v>
      </c>
      <c r="EFY22" t="s">
        <v>3983</v>
      </c>
      <c r="EFZ22" t="s">
        <v>3984</v>
      </c>
      <c r="EGA22" t="s">
        <v>3985</v>
      </c>
      <c r="EGB22" t="s">
        <v>3986</v>
      </c>
      <c r="EGC22" t="s">
        <v>3987</v>
      </c>
      <c r="EGD22" t="s">
        <v>3988</v>
      </c>
      <c r="EGE22" t="s">
        <v>3989</v>
      </c>
      <c r="EGF22" t="s">
        <v>3990</v>
      </c>
      <c r="EGG22" t="s">
        <v>3991</v>
      </c>
      <c r="EGH22" t="s">
        <v>3992</v>
      </c>
      <c r="EGI22" t="s">
        <v>3993</v>
      </c>
      <c r="EGJ22" t="s">
        <v>3994</v>
      </c>
      <c r="EGK22" t="s">
        <v>3995</v>
      </c>
      <c r="EGL22" t="s">
        <v>3996</v>
      </c>
      <c r="EGM22" t="s">
        <v>3997</v>
      </c>
      <c r="EGN22" t="s">
        <v>3998</v>
      </c>
      <c r="EGO22" t="s">
        <v>3999</v>
      </c>
      <c r="EGP22" t="s">
        <v>4000</v>
      </c>
      <c r="EGQ22" t="s">
        <v>4001</v>
      </c>
      <c r="EGR22" t="s">
        <v>4002</v>
      </c>
      <c r="EGS22" t="s">
        <v>4003</v>
      </c>
      <c r="EGT22" t="s">
        <v>4004</v>
      </c>
      <c r="EGU22" t="s">
        <v>4005</v>
      </c>
      <c r="EGV22" t="s">
        <v>4006</v>
      </c>
      <c r="EGW22" t="s">
        <v>4007</v>
      </c>
      <c r="EGX22" t="s">
        <v>4008</v>
      </c>
      <c r="EGY22" t="s">
        <v>4009</v>
      </c>
      <c r="EGZ22" t="s">
        <v>4010</v>
      </c>
      <c r="EHA22" t="s">
        <v>4011</v>
      </c>
      <c r="EHB22" t="s">
        <v>4012</v>
      </c>
      <c r="EHC22" t="s">
        <v>4013</v>
      </c>
      <c r="EHD22" t="s">
        <v>4014</v>
      </c>
      <c r="EHE22" t="s">
        <v>4015</v>
      </c>
      <c r="EHF22" t="s">
        <v>4016</v>
      </c>
      <c r="EHG22" t="s">
        <v>4017</v>
      </c>
      <c r="EHH22" t="s">
        <v>4018</v>
      </c>
      <c r="EHI22" t="s">
        <v>4019</v>
      </c>
      <c r="EHJ22" t="s">
        <v>4020</v>
      </c>
      <c r="EHK22" t="s">
        <v>4021</v>
      </c>
      <c r="EHL22" t="s">
        <v>4022</v>
      </c>
      <c r="EHM22" t="s">
        <v>4023</v>
      </c>
      <c r="EHN22" t="s">
        <v>4024</v>
      </c>
      <c r="EHO22" t="s">
        <v>4025</v>
      </c>
      <c r="EHP22" t="s">
        <v>4026</v>
      </c>
      <c r="EHQ22" t="s">
        <v>4027</v>
      </c>
      <c r="EHR22" t="s">
        <v>4028</v>
      </c>
      <c r="EHS22" t="s">
        <v>4029</v>
      </c>
      <c r="EHT22" t="s">
        <v>4030</v>
      </c>
      <c r="EHU22" t="s">
        <v>4031</v>
      </c>
      <c r="EHV22" t="s">
        <v>4032</v>
      </c>
      <c r="EHW22" t="s">
        <v>4033</v>
      </c>
      <c r="EHX22" t="s">
        <v>4034</v>
      </c>
      <c r="EHY22" t="s">
        <v>4035</v>
      </c>
      <c r="EHZ22" t="s">
        <v>4036</v>
      </c>
      <c r="EIA22" t="s">
        <v>4037</v>
      </c>
      <c r="EIB22" t="s">
        <v>4038</v>
      </c>
      <c r="EIC22" t="s">
        <v>4039</v>
      </c>
      <c r="EID22" t="s">
        <v>4040</v>
      </c>
      <c r="EIE22" t="s">
        <v>4041</v>
      </c>
      <c r="EIF22" t="s">
        <v>4042</v>
      </c>
      <c r="EIG22" t="s">
        <v>4043</v>
      </c>
      <c r="EIH22" t="s">
        <v>4044</v>
      </c>
      <c r="EII22" t="s">
        <v>4045</v>
      </c>
      <c r="EIJ22" t="s">
        <v>4046</v>
      </c>
      <c r="EIK22" t="s">
        <v>4047</v>
      </c>
      <c r="EIL22" t="s">
        <v>4048</v>
      </c>
      <c r="EIM22" t="s">
        <v>4049</v>
      </c>
      <c r="EIN22" t="s">
        <v>4050</v>
      </c>
      <c r="EIO22" t="s">
        <v>4051</v>
      </c>
      <c r="EIP22" t="s">
        <v>4052</v>
      </c>
      <c r="EIQ22" t="s">
        <v>4053</v>
      </c>
      <c r="EIR22" t="s">
        <v>4054</v>
      </c>
      <c r="EIS22" t="s">
        <v>4055</v>
      </c>
      <c r="EIT22" t="s">
        <v>4056</v>
      </c>
      <c r="EIU22" t="s">
        <v>4057</v>
      </c>
      <c r="EIV22" t="s">
        <v>4058</v>
      </c>
      <c r="EIW22" t="s">
        <v>4059</v>
      </c>
      <c r="EIX22" t="s">
        <v>4060</v>
      </c>
      <c r="EIY22" t="s">
        <v>4061</v>
      </c>
      <c r="EIZ22" t="s">
        <v>4062</v>
      </c>
      <c r="EJA22" t="s">
        <v>4063</v>
      </c>
      <c r="EJB22" t="s">
        <v>4064</v>
      </c>
      <c r="EJC22" t="s">
        <v>4065</v>
      </c>
      <c r="EJD22" t="s">
        <v>4066</v>
      </c>
      <c r="EJE22" t="s">
        <v>4067</v>
      </c>
      <c r="EJF22" t="s">
        <v>4068</v>
      </c>
      <c r="EJG22" t="s">
        <v>4069</v>
      </c>
      <c r="EJH22" t="s">
        <v>4070</v>
      </c>
      <c r="EJI22" t="s">
        <v>4071</v>
      </c>
      <c r="EJJ22" t="s">
        <v>4072</v>
      </c>
      <c r="EJK22" t="s">
        <v>4073</v>
      </c>
      <c r="EJL22" t="s">
        <v>4074</v>
      </c>
      <c r="EJM22" t="s">
        <v>4075</v>
      </c>
      <c r="EJN22" t="s">
        <v>4076</v>
      </c>
      <c r="EJO22" t="s">
        <v>4077</v>
      </c>
      <c r="EJP22" t="s">
        <v>4078</v>
      </c>
      <c r="EJQ22" t="s">
        <v>4079</v>
      </c>
      <c r="EJR22" t="s">
        <v>4080</v>
      </c>
      <c r="EJS22" t="s">
        <v>4081</v>
      </c>
      <c r="EJT22" t="s">
        <v>4082</v>
      </c>
      <c r="EJU22" t="s">
        <v>4083</v>
      </c>
      <c r="EJV22" t="s">
        <v>4084</v>
      </c>
      <c r="EJW22" t="s">
        <v>4085</v>
      </c>
      <c r="EJX22" t="s">
        <v>4086</v>
      </c>
      <c r="EJY22" t="s">
        <v>4087</v>
      </c>
      <c r="EJZ22" t="s">
        <v>4088</v>
      </c>
      <c r="EKA22" t="s">
        <v>4089</v>
      </c>
      <c r="EKB22" t="s">
        <v>4090</v>
      </c>
      <c r="EKC22" t="s">
        <v>4091</v>
      </c>
      <c r="EKD22" t="s">
        <v>4092</v>
      </c>
      <c r="EKE22" t="s">
        <v>4093</v>
      </c>
      <c r="EKF22" t="s">
        <v>4094</v>
      </c>
      <c r="EKG22" t="s">
        <v>4095</v>
      </c>
      <c r="EKH22" t="s">
        <v>4096</v>
      </c>
      <c r="EKI22" t="s">
        <v>4097</v>
      </c>
      <c r="EKJ22" t="s">
        <v>4098</v>
      </c>
      <c r="EKK22" t="s">
        <v>4099</v>
      </c>
      <c r="EKL22" t="s">
        <v>4100</v>
      </c>
      <c r="EKM22" t="s">
        <v>4101</v>
      </c>
      <c r="EKN22" t="s">
        <v>4102</v>
      </c>
      <c r="EKO22" t="s">
        <v>4103</v>
      </c>
      <c r="EKP22" t="s">
        <v>4104</v>
      </c>
      <c r="EKQ22" t="s">
        <v>4105</v>
      </c>
      <c r="EKR22" t="s">
        <v>4106</v>
      </c>
      <c r="EKS22" t="s">
        <v>4107</v>
      </c>
      <c r="EKT22" t="s">
        <v>4108</v>
      </c>
      <c r="EKU22" t="s">
        <v>4109</v>
      </c>
      <c r="EKV22" t="s">
        <v>4110</v>
      </c>
      <c r="EKW22" t="s">
        <v>4111</v>
      </c>
      <c r="EKX22" t="s">
        <v>4112</v>
      </c>
      <c r="EKY22" t="s">
        <v>4113</v>
      </c>
      <c r="EKZ22" t="s">
        <v>4114</v>
      </c>
      <c r="ELA22" t="s">
        <v>4115</v>
      </c>
      <c r="ELB22" t="s">
        <v>4116</v>
      </c>
      <c r="ELC22" t="s">
        <v>4117</v>
      </c>
      <c r="ELD22" t="s">
        <v>4118</v>
      </c>
      <c r="ELE22" t="s">
        <v>4119</v>
      </c>
      <c r="ELF22" t="s">
        <v>4120</v>
      </c>
      <c r="ELG22" t="s">
        <v>4121</v>
      </c>
      <c r="ELH22" t="s">
        <v>4122</v>
      </c>
      <c r="ELI22" t="s">
        <v>4123</v>
      </c>
      <c r="ELJ22" t="s">
        <v>4124</v>
      </c>
      <c r="ELK22" t="s">
        <v>4125</v>
      </c>
      <c r="ELL22" t="s">
        <v>4126</v>
      </c>
      <c r="ELM22" t="s">
        <v>4127</v>
      </c>
      <c r="ELN22" t="s">
        <v>4128</v>
      </c>
      <c r="ELO22" t="s">
        <v>4129</v>
      </c>
      <c r="ELP22" t="s">
        <v>4130</v>
      </c>
      <c r="ELQ22" t="s">
        <v>4131</v>
      </c>
      <c r="ELR22" t="s">
        <v>4132</v>
      </c>
      <c r="ELS22" t="s">
        <v>4133</v>
      </c>
      <c r="ELT22" t="s">
        <v>4134</v>
      </c>
      <c r="ELU22" t="s">
        <v>4135</v>
      </c>
      <c r="ELV22" t="s">
        <v>4136</v>
      </c>
      <c r="ELW22" t="s">
        <v>4137</v>
      </c>
      <c r="ELX22" t="s">
        <v>4138</v>
      </c>
      <c r="ELY22" t="s">
        <v>4139</v>
      </c>
      <c r="ELZ22" t="s">
        <v>4140</v>
      </c>
      <c r="EMA22" t="s">
        <v>4141</v>
      </c>
      <c r="EMB22" t="s">
        <v>4142</v>
      </c>
      <c r="EMC22" t="s">
        <v>4143</v>
      </c>
      <c r="EMD22" t="s">
        <v>4144</v>
      </c>
      <c r="EME22" t="s">
        <v>4145</v>
      </c>
      <c r="EMF22" t="s">
        <v>4146</v>
      </c>
      <c r="EMG22" t="s">
        <v>4147</v>
      </c>
      <c r="EMH22" t="s">
        <v>4148</v>
      </c>
      <c r="EMI22" t="s">
        <v>4149</v>
      </c>
      <c r="EMJ22" t="s">
        <v>4150</v>
      </c>
      <c r="EMK22" t="s">
        <v>4151</v>
      </c>
      <c r="EML22" t="s">
        <v>4152</v>
      </c>
      <c r="EMM22" t="s">
        <v>4153</v>
      </c>
      <c r="EMN22" t="s">
        <v>4154</v>
      </c>
      <c r="EMO22" t="s">
        <v>4155</v>
      </c>
      <c r="EMP22" t="s">
        <v>4156</v>
      </c>
      <c r="EMQ22" t="s">
        <v>4157</v>
      </c>
      <c r="EMR22" t="s">
        <v>4158</v>
      </c>
      <c r="EMS22" t="s">
        <v>4159</v>
      </c>
      <c r="EMT22" t="s">
        <v>4160</v>
      </c>
      <c r="EMU22" t="s">
        <v>4161</v>
      </c>
      <c r="EMV22" t="s">
        <v>4162</v>
      </c>
      <c r="EMW22" t="s">
        <v>4163</v>
      </c>
      <c r="EMX22" t="s">
        <v>4164</v>
      </c>
      <c r="EMY22" t="s">
        <v>4165</v>
      </c>
      <c r="EMZ22" t="s">
        <v>4166</v>
      </c>
      <c r="ENA22" t="s">
        <v>4167</v>
      </c>
      <c r="ENB22" t="s">
        <v>4168</v>
      </c>
      <c r="ENC22" t="s">
        <v>4169</v>
      </c>
      <c r="END22" t="s">
        <v>4170</v>
      </c>
      <c r="ENE22" t="s">
        <v>4171</v>
      </c>
      <c r="ENF22" t="s">
        <v>4172</v>
      </c>
      <c r="ENG22" t="s">
        <v>4173</v>
      </c>
      <c r="ENH22" t="s">
        <v>4174</v>
      </c>
      <c r="ENI22" t="s">
        <v>4175</v>
      </c>
      <c r="ENJ22" t="s">
        <v>4176</v>
      </c>
      <c r="ENK22" t="s">
        <v>4177</v>
      </c>
      <c r="ENL22" t="s">
        <v>4178</v>
      </c>
      <c r="ENM22" t="s">
        <v>4179</v>
      </c>
      <c r="ENN22" t="s">
        <v>4180</v>
      </c>
      <c r="ENO22" t="s">
        <v>4181</v>
      </c>
      <c r="ENP22" t="s">
        <v>4182</v>
      </c>
      <c r="ENQ22" t="s">
        <v>4183</v>
      </c>
      <c r="ENR22" t="s">
        <v>4184</v>
      </c>
      <c r="ENS22" t="s">
        <v>4185</v>
      </c>
      <c r="ENT22" t="s">
        <v>4186</v>
      </c>
      <c r="ENU22" t="s">
        <v>4187</v>
      </c>
      <c r="ENV22" t="s">
        <v>4188</v>
      </c>
      <c r="ENW22" t="s">
        <v>4189</v>
      </c>
      <c r="ENX22" t="s">
        <v>4190</v>
      </c>
      <c r="ENY22" t="s">
        <v>4191</v>
      </c>
      <c r="ENZ22" t="s">
        <v>4192</v>
      </c>
      <c r="EOA22" t="s">
        <v>4193</v>
      </c>
      <c r="EOB22" t="s">
        <v>4194</v>
      </c>
      <c r="EOC22" t="s">
        <v>4195</v>
      </c>
      <c r="EOD22" t="s">
        <v>4196</v>
      </c>
      <c r="EOE22" t="s">
        <v>4197</v>
      </c>
      <c r="EOF22" t="s">
        <v>4198</v>
      </c>
      <c r="EOG22" t="s">
        <v>4199</v>
      </c>
      <c r="EOH22" t="s">
        <v>4200</v>
      </c>
      <c r="EOI22" t="s">
        <v>4201</v>
      </c>
      <c r="EOJ22" t="s">
        <v>4202</v>
      </c>
      <c r="EOK22" t="s">
        <v>4203</v>
      </c>
      <c r="EOL22" t="s">
        <v>4204</v>
      </c>
      <c r="EOM22" t="s">
        <v>4205</v>
      </c>
      <c r="EON22" t="s">
        <v>4206</v>
      </c>
      <c r="EOO22" t="s">
        <v>4207</v>
      </c>
      <c r="EOP22" t="s">
        <v>4208</v>
      </c>
      <c r="EOQ22" t="s">
        <v>4209</v>
      </c>
      <c r="EOR22" t="s">
        <v>4210</v>
      </c>
      <c r="EOS22" t="s">
        <v>4211</v>
      </c>
      <c r="EOT22" t="s">
        <v>4212</v>
      </c>
      <c r="EOU22" t="s">
        <v>4213</v>
      </c>
      <c r="EOV22" t="s">
        <v>4214</v>
      </c>
      <c r="EOW22" t="s">
        <v>4215</v>
      </c>
      <c r="EOX22" t="s">
        <v>4216</v>
      </c>
      <c r="EOY22" t="s">
        <v>4217</v>
      </c>
      <c r="EOZ22" t="s">
        <v>4218</v>
      </c>
      <c r="EPA22" t="s">
        <v>4219</v>
      </c>
      <c r="EPB22" t="s">
        <v>4220</v>
      </c>
      <c r="EPC22" t="s">
        <v>4221</v>
      </c>
      <c r="EPD22" t="s">
        <v>4222</v>
      </c>
      <c r="EPE22" t="s">
        <v>4223</v>
      </c>
      <c r="EPF22" t="s">
        <v>4224</v>
      </c>
      <c r="EPG22" t="s">
        <v>4225</v>
      </c>
      <c r="EPH22" t="s">
        <v>4226</v>
      </c>
      <c r="EPI22" t="s">
        <v>4227</v>
      </c>
      <c r="EPJ22" t="s">
        <v>4228</v>
      </c>
      <c r="EPK22" t="s">
        <v>4229</v>
      </c>
      <c r="EPL22" t="s">
        <v>4230</v>
      </c>
      <c r="EPM22" t="s">
        <v>4231</v>
      </c>
      <c r="EPN22" t="s">
        <v>4232</v>
      </c>
      <c r="EPO22" t="s">
        <v>4233</v>
      </c>
      <c r="EPP22" t="s">
        <v>4234</v>
      </c>
      <c r="EPQ22" t="s">
        <v>4235</v>
      </c>
      <c r="EPR22" t="s">
        <v>4236</v>
      </c>
      <c r="EPS22" t="s">
        <v>4237</v>
      </c>
      <c r="EPT22" t="s">
        <v>4238</v>
      </c>
      <c r="EPU22" t="s">
        <v>4239</v>
      </c>
      <c r="EPV22" t="s">
        <v>4240</v>
      </c>
      <c r="EPW22" t="s">
        <v>4241</v>
      </c>
      <c r="EPX22" t="s">
        <v>4242</v>
      </c>
      <c r="EPY22" t="s">
        <v>4243</v>
      </c>
      <c r="EPZ22" t="s">
        <v>4244</v>
      </c>
      <c r="EQA22" t="s">
        <v>4245</v>
      </c>
      <c r="EQB22" t="s">
        <v>4246</v>
      </c>
      <c r="EQC22" t="s">
        <v>4247</v>
      </c>
      <c r="EQD22" t="s">
        <v>4248</v>
      </c>
      <c r="EQE22" t="s">
        <v>4249</v>
      </c>
      <c r="EQF22" t="s">
        <v>4250</v>
      </c>
      <c r="EQG22" t="s">
        <v>4251</v>
      </c>
      <c r="EQH22" t="s">
        <v>4252</v>
      </c>
      <c r="EQI22" t="s">
        <v>4253</v>
      </c>
      <c r="EQJ22" t="s">
        <v>4254</v>
      </c>
      <c r="EQK22" t="s">
        <v>4255</v>
      </c>
      <c r="EQL22" t="s">
        <v>4256</v>
      </c>
      <c r="EQM22" t="s">
        <v>4257</v>
      </c>
      <c r="EQN22" t="s">
        <v>4258</v>
      </c>
      <c r="EQO22" t="s">
        <v>4259</v>
      </c>
      <c r="EQP22" t="s">
        <v>4260</v>
      </c>
      <c r="EQQ22" t="s">
        <v>4261</v>
      </c>
      <c r="EQR22" t="s">
        <v>4262</v>
      </c>
      <c r="EQS22" t="s">
        <v>4263</v>
      </c>
      <c r="EQT22" t="s">
        <v>4264</v>
      </c>
      <c r="EQU22" t="s">
        <v>4265</v>
      </c>
      <c r="EQV22" t="s">
        <v>4266</v>
      </c>
      <c r="EQW22" t="s">
        <v>4267</v>
      </c>
      <c r="EQX22" t="s">
        <v>4268</v>
      </c>
      <c r="EQY22" t="s">
        <v>4269</v>
      </c>
      <c r="EQZ22" t="s">
        <v>4270</v>
      </c>
      <c r="ERA22" t="s">
        <v>4271</v>
      </c>
      <c r="ERB22" t="s">
        <v>4272</v>
      </c>
      <c r="ERC22" t="s">
        <v>4273</v>
      </c>
      <c r="ERD22" t="s">
        <v>4274</v>
      </c>
      <c r="ERE22" t="s">
        <v>4275</v>
      </c>
      <c r="ERF22" t="s">
        <v>4276</v>
      </c>
      <c r="ERG22" t="s">
        <v>4277</v>
      </c>
      <c r="ERH22" t="s">
        <v>4278</v>
      </c>
      <c r="ERI22" t="s">
        <v>4279</v>
      </c>
      <c r="ERJ22" t="s">
        <v>4280</v>
      </c>
      <c r="ERK22" t="s">
        <v>4281</v>
      </c>
      <c r="ERL22" t="s">
        <v>4282</v>
      </c>
      <c r="ERM22" t="s">
        <v>4283</v>
      </c>
      <c r="ERN22" t="s">
        <v>4284</v>
      </c>
      <c r="ERO22" t="s">
        <v>4285</v>
      </c>
      <c r="ERP22" t="s">
        <v>4286</v>
      </c>
      <c r="ERQ22" t="s">
        <v>4287</v>
      </c>
      <c r="ERR22" t="s">
        <v>4288</v>
      </c>
      <c r="ERS22" t="s">
        <v>4289</v>
      </c>
      <c r="ERT22" t="s">
        <v>4290</v>
      </c>
      <c r="ERU22" t="s">
        <v>4291</v>
      </c>
      <c r="ERV22" t="s">
        <v>4292</v>
      </c>
      <c r="ERW22" t="s">
        <v>4293</v>
      </c>
      <c r="ERX22" t="s">
        <v>4294</v>
      </c>
      <c r="ERY22" t="s">
        <v>4295</v>
      </c>
      <c r="ERZ22" t="s">
        <v>4296</v>
      </c>
      <c r="ESA22" t="s">
        <v>4297</v>
      </c>
      <c r="ESB22" t="s">
        <v>4298</v>
      </c>
      <c r="ESC22" t="s">
        <v>4299</v>
      </c>
      <c r="ESD22" t="s">
        <v>4300</v>
      </c>
      <c r="ESE22" t="s">
        <v>4301</v>
      </c>
      <c r="ESF22" t="s">
        <v>4302</v>
      </c>
      <c r="ESG22" t="s">
        <v>4303</v>
      </c>
      <c r="ESH22" t="s">
        <v>4304</v>
      </c>
      <c r="ESI22" t="s">
        <v>4305</v>
      </c>
      <c r="ESJ22" t="s">
        <v>4306</v>
      </c>
      <c r="ESK22" t="s">
        <v>4307</v>
      </c>
      <c r="ESL22" t="s">
        <v>4308</v>
      </c>
      <c r="ESM22" t="s">
        <v>4309</v>
      </c>
      <c r="ESN22" t="s">
        <v>4310</v>
      </c>
      <c r="ESO22" t="s">
        <v>4311</v>
      </c>
      <c r="ESP22" t="s">
        <v>4312</v>
      </c>
      <c r="ESQ22" t="s">
        <v>4313</v>
      </c>
      <c r="ESR22" t="s">
        <v>4314</v>
      </c>
      <c r="ESS22" t="s">
        <v>4315</v>
      </c>
      <c r="EST22" t="s">
        <v>4316</v>
      </c>
      <c r="ESU22" t="s">
        <v>4317</v>
      </c>
      <c r="ESV22" t="s">
        <v>4318</v>
      </c>
      <c r="ESW22" t="s">
        <v>4319</v>
      </c>
      <c r="ESX22" t="s">
        <v>4320</v>
      </c>
      <c r="ESY22" t="s">
        <v>4321</v>
      </c>
      <c r="ESZ22" t="s">
        <v>4322</v>
      </c>
      <c r="ETA22" t="s">
        <v>4323</v>
      </c>
      <c r="ETB22" t="s">
        <v>4324</v>
      </c>
      <c r="ETC22" t="s">
        <v>4325</v>
      </c>
      <c r="ETD22" t="s">
        <v>4326</v>
      </c>
      <c r="ETE22" t="s">
        <v>4327</v>
      </c>
      <c r="ETF22" t="s">
        <v>4328</v>
      </c>
      <c r="ETG22" t="s">
        <v>4329</v>
      </c>
      <c r="ETH22" t="s">
        <v>4330</v>
      </c>
      <c r="ETI22" t="s">
        <v>4331</v>
      </c>
      <c r="ETJ22" t="s">
        <v>4332</v>
      </c>
      <c r="ETK22" t="s">
        <v>4333</v>
      </c>
      <c r="ETL22" t="s">
        <v>4334</v>
      </c>
      <c r="ETM22" t="s">
        <v>4335</v>
      </c>
      <c r="ETN22" t="s">
        <v>4336</v>
      </c>
      <c r="ETO22" t="s">
        <v>4337</v>
      </c>
      <c r="ETP22" t="s">
        <v>4338</v>
      </c>
      <c r="ETQ22" t="s">
        <v>4339</v>
      </c>
      <c r="ETR22" t="s">
        <v>4340</v>
      </c>
      <c r="ETS22" t="s">
        <v>4341</v>
      </c>
      <c r="ETT22" t="s">
        <v>4342</v>
      </c>
      <c r="ETU22" t="s">
        <v>4343</v>
      </c>
      <c r="ETV22" t="s">
        <v>4344</v>
      </c>
      <c r="ETW22" t="s">
        <v>4345</v>
      </c>
      <c r="ETX22" t="s">
        <v>4346</v>
      </c>
      <c r="ETY22" t="s">
        <v>4347</v>
      </c>
      <c r="ETZ22" t="s">
        <v>4348</v>
      </c>
      <c r="EUA22" t="s">
        <v>4349</v>
      </c>
      <c r="EUB22" t="s">
        <v>4350</v>
      </c>
      <c r="EUC22" t="s">
        <v>4351</v>
      </c>
      <c r="EUD22" t="s">
        <v>4352</v>
      </c>
      <c r="EUE22" t="s">
        <v>4353</v>
      </c>
      <c r="EUF22" t="s">
        <v>4354</v>
      </c>
      <c r="EUG22" t="s">
        <v>4355</v>
      </c>
      <c r="EUH22" t="s">
        <v>4356</v>
      </c>
      <c r="EUI22" t="s">
        <v>4357</v>
      </c>
      <c r="EUJ22" t="s">
        <v>4358</v>
      </c>
      <c r="EUK22" t="s">
        <v>4359</v>
      </c>
      <c r="EUL22" t="s">
        <v>4360</v>
      </c>
      <c r="EUM22" t="s">
        <v>4361</v>
      </c>
      <c r="EUN22" t="s">
        <v>4362</v>
      </c>
      <c r="EUO22" t="s">
        <v>4363</v>
      </c>
      <c r="EUP22" t="s">
        <v>4364</v>
      </c>
      <c r="EUQ22" t="s">
        <v>4365</v>
      </c>
      <c r="EUR22" t="s">
        <v>4366</v>
      </c>
      <c r="EUS22" t="s">
        <v>4367</v>
      </c>
      <c r="EUT22" t="s">
        <v>4368</v>
      </c>
      <c r="EUU22" t="s">
        <v>4369</v>
      </c>
      <c r="EUV22" t="s">
        <v>4370</v>
      </c>
      <c r="EUW22" t="s">
        <v>4371</v>
      </c>
      <c r="EUX22" t="s">
        <v>4372</v>
      </c>
      <c r="EUY22" t="s">
        <v>4373</v>
      </c>
      <c r="EUZ22" t="s">
        <v>4374</v>
      </c>
      <c r="EVA22" t="s">
        <v>4375</v>
      </c>
      <c r="EVB22" t="s">
        <v>4376</v>
      </c>
      <c r="EVC22" t="s">
        <v>4377</v>
      </c>
      <c r="EVD22" t="s">
        <v>4378</v>
      </c>
      <c r="EVE22" t="s">
        <v>4379</v>
      </c>
      <c r="EVF22" t="s">
        <v>4380</v>
      </c>
      <c r="EVG22" t="s">
        <v>4381</v>
      </c>
      <c r="EVH22" t="s">
        <v>4382</v>
      </c>
      <c r="EVI22" t="s">
        <v>4383</v>
      </c>
      <c r="EVJ22" t="s">
        <v>4384</v>
      </c>
      <c r="EVK22" t="s">
        <v>4385</v>
      </c>
      <c r="EVL22" t="s">
        <v>4386</v>
      </c>
      <c r="EVM22" t="s">
        <v>4387</v>
      </c>
      <c r="EVN22" t="s">
        <v>4388</v>
      </c>
      <c r="EVO22" t="s">
        <v>4389</v>
      </c>
      <c r="EVP22" t="s">
        <v>4390</v>
      </c>
      <c r="EVQ22" t="s">
        <v>4391</v>
      </c>
      <c r="EVR22" t="s">
        <v>4392</v>
      </c>
      <c r="EVS22" t="s">
        <v>4393</v>
      </c>
      <c r="EVT22" t="s">
        <v>4394</v>
      </c>
      <c r="EVU22" t="s">
        <v>4395</v>
      </c>
      <c r="EVV22" t="s">
        <v>4396</v>
      </c>
      <c r="EVW22" t="s">
        <v>4397</v>
      </c>
      <c r="EVX22" t="s">
        <v>4398</v>
      </c>
      <c r="EVY22" t="s">
        <v>4399</v>
      </c>
      <c r="EVZ22" t="s">
        <v>4400</v>
      </c>
      <c r="EWA22" t="s">
        <v>4401</v>
      </c>
      <c r="EWB22" t="s">
        <v>4402</v>
      </c>
      <c r="EWC22" t="s">
        <v>4403</v>
      </c>
      <c r="EWD22" t="s">
        <v>4404</v>
      </c>
      <c r="EWE22" t="s">
        <v>4405</v>
      </c>
      <c r="EWF22" t="s">
        <v>4406</v>
      </c>
      <c r="EWG22" t="s">
        <v>4407</v>
      </c>
      <c r="EWH22" t="s">
        <v>4408</v>
      </c>
      <c r="EWI22" t="s">
        <v>4409</v>
      </c>
      <c r="EWJ22" t="s">
        <v>4410</v>
      </c>
      <c r="EWK22" t="s">
        <v>4411</v>
      </c>
      <c r="EWL22" t="s">
        <v>4412</v>
      </c>
      <c r="EWM22" t="s">
        <v>4413</v>
      </c>
      <c r="EWN22" t="s">
        <v>4414</v>
      </c>
      <c r="EWO22" t="s">
        <v>4415</v>
      </c>
      <c r="EWP22" t="s">
        <v>4416</v>
      </c>
      <c r="EWQ22" t="s">
        <v>4417</v>
      </c>
      <c r="EWR22" t="s">
        <v>4418</v>
      </c>
      <c r="EWS22" t="s">
        <v>4419</v>
      </c>
      <c r="EWT22" t="s">
        <v>4420</v>
      </c>
      <c r="EWU22" t="s">
        <v>4421</v>
      </c>
      <c r="EWV22" t="s">
        <v>4422</v>
      </c>
      <c r="EWW22" t="s">
        <v>4423</v>
      </c>
      <c r="EWX22" t="s">
        <v>4424</v>
      </c>
      <c r="EWY22" t="s">
        <v>4425</v>
      </c>
      <c r="EWZ22" t="s">
        <v>4426</v>
      </c>
      <c r="EXA22" t="s">
        <v>4427</v>
      </c>
      <c r="EXB22" t="s">
        <v>4428</v>
      </c>
      <c r="EXC22" t="s">
        <v>4429</v>
      </c>
      <c r="EXD22" t="s">
        <v>4430</v>
      </c>
      <c r="EXE22" t="s">
        <v>4431</v>
      </c>
      <c r="EXF22" t="s">
        <v>4432</v>
      </c>
      <c r="EXG22" t="s">
        <v>4433</v>
      </c>
      <c r="EXH22" t="s">
        <v>4434</v>
      </c>
      <c r="EXI22" t="s">
        <v>4435</v>
      </c>
      <c r="EXJ22" t="s">
        <v>4436</v>
      </c>
      <c r="EXK22" t="s">
        <v>4437</v>
      </c>
      <c r="EXL22" t="s">
        <v>4438</v>
      </c>
      <c r="EXM22" t="s">
        <v>4439</v>
      </c>
      <c r="EXN22" t="s">
        <v>4440</v>
      </c>
      <c r="EXO22" t="s">
        <v>4441</v>
      </c>
      <c r="EXP22" t="s">
        <v>4442</v>
      </c>
      <c r="EXQ22" t="s">
        <v>4443</v>
      </c>
      <c r="EXR22" t="s">
        <v>4444</v>
      </c>
      <c r="EXS22" t="s">
        <v>4445</v>
      </c>
      <c r="EXT22" t="s">
        <v>4446</v>
      </c>
      <c r="EXU22" t="s">
        <v>4447</v>
      </c>
      <c r="EXV22" t="s">
        <v>4448</v>
      </c>
      <c r="EXW22" t="s">
        <v>4449</v>
      </c>
      <c r="EXX22" t="s">
        <v>4450</v>
      </c>
      <c r="EXY22" t="s">
        <v>4451</v>
      </c>
      <c r="EXZ22" t="s">
        <v>4452</v>
      </c>
      <c r="EYA22" t="s">
        <v>4453</v>
      </c>
      <c r="EYB22" t="s">
        <v>4454</v>
      </c>
      <c r="EYC22" t="s">
        <v>4455</v>
      </c>
      <c r="EYD22" t="s">
        <v>4456</v>
      </c>
      <c r="EYE22" t="s">
        <v>4457</v>
      </c>
      <c r="EYF22" t="s">
        <v>4458</v>
      </c>
      <c r="EYG22" t="s">
        <v>4459</v>
      </c>
      <c r="EYH22" t="s">
        <v>4460</v>
      </c>
      <c r="EYI22" t="s">
        <v>4461</v>
      </c>
      <c r="EYJ22" t="s">
        <v>4462</v>
      </c>
      <c r="EYK22" t="s">
        <v>4463</v>
      </c>
      <c r="EYL22" t="s">
        <v>4464</v>
      </c>
      <c r="EYM22" t="s">
        <v>4465</v>
      </c>
      <c r="EYN22" t="s">
        <v>4466</v>
      </c>
      <c r="EYO22" t="s">
        <v>4467</v>
      </c>
      <c r="EYP22" t="s">
        <v>4468</v>
      </c>
      <c r="EYQ22" t="s">
        <v>4469</v>
      </c>
      <c r="EYR22" t="s">
        <v>4470</v>
      </c>
      <c r="EYS22" t="s">
        <v>4471</v>
      </c>
      <c r="EYT22" t="s">
        <v>4472</v>
      </c>
      <c r="EYU22" t="s">
        <v>4473</v>
      </c>
      <c r="EYV22" t="s">
        <v>4474</v>
      </c>
      <c r="EYW22" t="s">
        <v>4475</v>
      </c>
      <c r="EYX22" t="s">
        <v>4476</v>
      </c>
      <c r="EYY22" t="s">
        <v>4477</v>
      </c>
      <c r="EYZ22" t="s">
        <v>4478</v>
      </c>
      <c r="EZA22" t="s">
        <v>4479</v>
      </c>
      <c r="EZB22" t="s">
        <v>4480</v>
      </c>
      <c r="EZC22" t="s">
        <v>4481</v>
      </c>
      <c r="EZD22" t="s">
        <v>4482</v>
      </c>
      <c r="EZE22" t="s">
        <v>4483</v>
      </c>
      <c r="EZF22" t="s">
        <v>4484</v>
      </c>
      <c r="EZG22" t="s">
        <v>4485</v>
      </c>
      <c r="EZH22" t="s">
        <v>4486</v>
      </c>
      <c r="EZI22" t="s">
        <v>4487</v>
      </c>
      <c r="EZJ22" t="s">
        <v>4488</v>
      </c>
      <c r="EZK22" t="s">
        <v>4489</v>
      </c>
      <c r="EZL22" t="s">
        <v>4490</v>
      </c>
      <c r="EZM22" t="s">
        <v>4491</v>
      </c>
      <c r="EZN22" t="s">
        <v>4492</v>
      </c>
      <c r="EZO22" t="s">
        <v>4493</v>
      </c>
      <c r="EZP22" t="s">
        <v>4494</v>
      </c>
      <c r="EZQ22" t="s">
        <v>4495</v>
      </c>
      <c r="EZR22" t="s">
        <v>4496</v>
      </c>
      <c r="EZS22" t="s">
        <v>4497</v>
      </c>
      <c r="EZT22" t="s">
        <v>4498</v>
      </c>
      <c r="EZU22" t="s">
        <v>4499</v>
      </c>
      <c r="EZV22" t="s">
        <v>4500</v>
      </c>
      <c r="EZW22" t="s">
        <v>4501</v>
      </c>
      <c r="EZX22" t="s">
        <v>4502</v>
      </c>
      <c r="EZY22" t="s">
        <v>4503</v>
      </c>
      <c r="EZZ22" t="s">
        <v>4504</v>
      </c>
      <c r="FAA22" t="s">
        <v>4505</v>
      </c>
      <c r="FAB22" t="s">
        <v>4506</v>
      </c>
      <c r="FAC22" t="s">
        <v>4507</v>
      </c>
      <c r="FAD22" t="s">
        <v>4508</v>
      </c>
      <c r="FAE22" t="s">
        <v>4509</v>
      </c>
      <c r="FAF22" t="s">
        <v>4510</v>
      </c>
      <c r="FAG22" t="s">
        <v>4511</v>
      </c>
      <c r="FAH22" t="s">
        <v>4512</v>
      </c>
      <c r="FAI22" t="s">
        <v>4513</v>
      </c>
      <c r="FAJ22" t="s">
        <v>4514</v>
      </c>
      <c r="FAK22" t="s">
        <v>4515</v>
      </c>
      <c r="FAL22" t="s">
        <v>4516</v>
      </c>
      <c r="FAM22" t="s">
        <v>4517</v>
      </c>
      <c r="FAN22" t="s">
        <v>4518</v>
      </c>
      <c r="FAO22" t="s">
        <v>4519</v>
      </c>
      <c r="FAP22" t="s">
        <v>4520</v>
      </c>
      <c r="FAQ22" t="s">
        <v>4521</v>
      </c>
      <c r="FAR22" t="s">
        <v>4522</v>
      </c>
      <c r="FAS22" t="s">
        <v>4523</v>
      </c>
      <c r="FAT22" t="s">
        <v>4524</v>
      </c>
      <c r="FAU22" t="s">
        <v>4525</v>
      </c>
      <c r="FAV22" t="s">
        <v>4526</v>
      </c>
      <c r="FAW22" t="s">
        <v>4527</v>
      </c>
      <c r="FAX22" t="s">
        <v>4528</v>
      </c>
      <c r="FAY22" t="s">
        <v>4529</v>
      </c>
      <c r="FAZ22" t="s">
        <v>4530</v>
      </c>
      <c r="FBA22" t="s">
        <v>4531</v>
      </c>
      <c r="FBB22" t="s">
        <v>4532</v>
      </c>
      <c r="FBC22" t="s">
        <v>4533</v>
      </c>
      <c r="FBD22" t="s">
        <v>4534</v>
      </c>
      <c r="FBE22" t="s">
        <v>4535</v>
      </c>
      <c r="FBF22" t="s">
        <v>4536</v>
      </c>
      <c r="FBG22" t="s">
        <v>4537</v>
      </c>
      <c r="FBH22" t="s">
        <v>4538</v>
      </c>
      <c r="FBI22" t="s">
        <v>4539</v>
      </c>
      <c r="FBJ22" t="s">
        <v>4540</v>
      </c>
      <c r="FBK22" t="s">
        <v>4541</v>
      </c>
      <c r="FBL22" t="s">
        <v>4542</v>
      </c>
      <c r="FBM22" t="s">
        <v>4543</v>
      </c>
      <c r="FBN22" t="s">
        <v>4544</v>
      </c>
      <c r="FBO22" t="s">
        <v>4545</v>
      </c>
      <c r="FBP22" t="s">
        <v>4546</v>
      </c>
      <c r="FBQ22" t="s">
        <v>4547</v>
      </c>
      <c r="FBR22" t="s">
        <v>4548</v>
      </c>
      <c r="FBS22" t="s">
        <v>4549</v>
      </c>
      <c r="FBT22" t="s">
        <v>4550</v>
      </c>
      <c r="FBU22" t="s">
        <v>4551</v>
      </c>
      <c r="FBV22" t="s">
        <v>4552</v>
      </c>
      <c r="FBW22" t="s">
        <v>4553</v>
      </c>
      <c r="FBX22" t="s">
        <v>4554</v>
      </c>
      <c r="FBY22" t="s">
        <v>4555</v>
      </c>
      <c r="FBZ22" t="s">
        <v>4556</v>
      </c>
      <c r="FCA22" t="s">
        <v>4557</v>
      </c>
      <c r="FCB22" t="s">
        <v>4558</v>
      </c>
      <c r="FCC22" t="s">
        <v>4559</v>
      </c>
      <c r="FCD22" t="s">
        <v>4560</v>
      </c>
      <c r="FCE22" t="s">
        <v>4561</v>
      </c>
      <c r="FCF22" t="s">
        <v>4562</v>
      </c>
      <c r="FCG22" t="s">
        <v>4563</v>
      </c>
      <c r="FCH22" t="s">
        <v>4564</v>
      </c>
      <c r="FCI22" t="s">
        <v>4565</v>
      </c>
      <c r="FCJ22" t="s">
        <v>4566</v>
      </c>
      <c r="FCK22" t="s">
        <v>4567</v>
      </c>
      <c r="FCL22" t="s">
        <v>4568</v>
      </c>
      <c r="FCM22" t="s">
        <v>4569</v>
      </c>
      <c r="FCN22" t="s">
        <v>4570</v>
      </c>
      <c r="FCO22" t="s">
        <v>4571</v>
      </c>
      <c r="FCP22" t="s">
        <v>4572</v>
      </c>
      <c r="FCQ22" t="s">
        <v>4573</v>
      </c>
      <c r="FCR22" t="s">
        <v>4574</v>
      </c>
      <c r="FCS22" t="s">
        <v>4575</v>
      </c>
      <c r="FCT22" t="s">
        <v>4576</v>
      </c>
      <c r="FCU22" t="s">
        <v>4577</v>
      </c>
      <c r="FCV22" t="s">
        <v>4578</v>
      </c>
      <c r="FCW22" t="s">
        <v>4579</v>
      </c>
      <c r="FCX22" t="s">
        <v>4580</v>
      </c>
      <c r="FCY22" t="s">
        <v>4581</v>
      </c>
      <c r="FCZ22" t="s">
        <v>4582</v>
      </c>
      <c r="FDA22" t="s">
        <v>4583</v>
      </c>
      <c r="FDB22" t="s">
        <v>4584</v>
      </c>
      <c r="FDC22" t="s">
        <v>4585</v>
      </c>
      <c r="FDD22" t="s">
        <v>4586</v>
      </c>
      <c r="FDE22" t="s">
        <v>4587</v>
      </c>
      <c r="FDF22" t="s">
        <v>4588</v>
      </c>
      <c r="FDG22" t="s">
        <v>4589</v>
      </c>
      <c r="FDH22" t="s">
        <v>4590</v>
      </c>
      <c r="FDI22" t="s">
        <v>4591</v>
      </c>
      <c r="FDJ22" t="s">
        <v>4592</v>
      </c>
      <c r="FDK22" t="s">
        <v>4593</v>
      </c>
      <c r="FDL22" t="s">
        <v>4594</v>
      </c>
      <c r="FDM22" t="s">
        <v>4595</v>
      </c>
      <c r="FDN22" t="s">
        <v>4596</v>
      </c>
      <c r="FDO22" t="s">
        <v>4597</v>
      </c>
      <c r="FDP22" t="s">
        <v>4598</v>
      </c>
      <c r="FDQ22" t="s">
        <v>4599</v>
      </c>
      <c r="FDR22" t="s">
        <v>4600</v>
      </c>
      <c r="FDS22" t="s">
        <v>4601</v>
      </c>
      <c r="FDT22" t="s">
        <v>4602</v>
      </c>
      <c r="FDU22" t="s">
        <v>4603</v>
      </c>
      <c r="FDV22" t="s">
        <v>4604</v>
      </c>
      <c r="FDW22" t="s">
        <v>4605</v>
      </c>
      <c r="FDX22" t="s">
        <v>4606</v>
      </c>
      <c r="FDY22" t="s">
        <v>4607</v>
      </c>
      <c r="FDZ22" t="s">
        <v>4608</v>
      </c>
      <c r="FEA22" t="s">
        <v>4609</v>
      </c>
      <c r="FEB22" t="s">
        <v>4610</v>
      </c>
      <c r="FEC22" t="s">
        <v>4611</v>
      </c>
      <c r="FED22" t="s">
        <v>4612</v>
      </c>
      <c r="FEE22" t="s">
        <v>4613</v>
      </c>
      <c r="FEF22" t="s">
        <v>4614</v>
      </c>
      <c r="FEG22" t="s">
        <v>4615</v>
      </c>
      <c r="FEH22" t="s">
        <v>4616</v>
      </c>
      <c r="FEI22" t="s">
        <v>4617</v>
      </c>
      <c r="FEJ22" t="s">
        <v>4618</v>
      </c>
      <c r="FEK22" t="s">
        <v>4619</v>
      </c>
      <c r="FEL22" t="s">
        <v>4620</v>
      </c>
      <c r="FEM22" t="s">
        <v>4621</v>
      </c>
      <c r="FEN22" t="s">
        <v>4622</v>
      </c>
      <c r="FEO22" t="s">
        <v>4623</v>
      </c>
      <c r="FEP22" t="s">
        <v>4624</v>
      </c>
      <c r="FEQ22" t="s">
        <v>4625</v>
      </c>
      <c r="FER22" t="s">
        <v>4626</v>
      </c>
      <c r="FES22" t="s">
        <v>4627</v>
      </c>
      <c r="FET22" t="s">
        <v>4628</v>
      </c>
      <c r="FEU22" t="s">
        <v>4629</v>
      </c>
      <c r="FEV22" t="s">
        <v>4630</v>
      </c>
      <c r="FEW22" t="s">
        <v>4631</v>
      </c>
      <c r="FEX22" t="s">
        <v>4632</v>
      </c>
      <c r="FEY22" t="s">
        <v>4633</v>
      </c>
      <c r="FEZ22" t="s">
        <v>4634</v>
      </c>
      <c r="FFA22" t="s">
        <v>4635</v>
      </c>
      <c r="FFB22" t="s">
        <v>4636</v>
      </c>
      <c r="FFC22" t="s">
        <v>4637</v>
      </c>
      <c r="FFD22" t="s">
        <v>4638</v>
      </c>
      <c r="FFE22" t="s">
        <v>4639</v>
      </c>
      <c r="FFF22" t="s">
        <v>4640</v>
      </c>
      <c r="FFG22" t="s">
        <v>4641</v>
      </c>
      <c r="FFH22" t="s">
        <v>4642</v>
      </c>
      <c r="FFI22" t="s">
        <v>4643</v>
      </c>
      <c r="FFJ22" t="s">
        <v>4644</v>
      </c>
      <c r="FFK22" t="s">
        <v>4645</v>
      </c>
      <c r="FFL22" t="s">
        <v>4646</v>
      </c>
      <c r="FFM22" t="s">
        <v>4647</v>
      </c>
      <c r="FFN22" t="s">
        <v>4648</v>
      </c>
      <c r="FFO22" t="s">
        <v>4649</v>
      </c>
      <c r="FFP22" t="s">
        <v>4650</v>
      </c>
      <c r="FFQ22" t="s">
        <v>4651</v>
      </c>
      <c r="FFR22" t="s">
        <v>4652</v>
      </c>
      <c r="FFS22" t="s">
        <v>4653</v>
      </c>
      <c r="FFT22" t="s">
        <v>4654</v>
      </c>
      <c r="FFU22" t="s">
        <v>4655</v>
      </c>
      <c r="FFV22" t="s">
        <v>4656</v>
      </c>
      <c r="FFW22" t="s">
        <v>4657</v>
      </c>
      <c r="FFX22" t="s">
        <v>4658</v>
      </c>
      <c r="FFY22" t="s">
        <v>4659</v>
      </c>
      <c r="FFZ22" t="s">
        <v>4660</v>
      </c>
      <c r="FGA22" t="s">
        <v>4661</v>
      </c>
      <c r="FGB22" t="s">
        <v>4662</v>
      </c>
      <c r="FGC22" t="s">
        <v>4663</v>
      </c>
      <c r="FGD22" t="s">
        <v>4664</v>
      </c>
      <c r="FGE22" t="s">
        <v>4665</v>
      </c>
      <c r="FGF22" t="s">
        <v>4666</v>
      </c>
      <c r="FGG22" t="s">
        <v>4667</v>
      </c>
      <c r="FGH22" t="s">
        <v>4668</v>
      </c>
      <c r="FGI22" t="s">
        <v>4669</v>
      </c>
      <c r="FGJ22" t="s">
        <v>4670</v>
      </c>
      <c r="FGK22" t="s">
        <v>4671</v>
      </c>
      <c r="FGL22" t="s">
        <v>4672</v>
      </c>
      <c r="FGM22" t="s">
        <v>4673</v>
      </c>
      <c r="FGN22" t="s">
        <v>4674</v>
      </c>
      <c r="FGO22" t="s">
        <v>4675</v>
      </c>
      <c r="FGP22" t="s">
        <v>4676</v>
      </c>
      <c r="FGQ22" t="s">
        <v>4677</v>
      </c>
      <c r="FGR22" t="s">
        <v>4678</v>
      </c>
      <c r="FGS22" t="s">
        <v>4679</v>
      </c>
      <c r="FGT22" t="s">
        <v>4680</v>
      </c>
      <c r="FGU22" t="s">
        <v>4681</v>
      </c>
      <c r="FGV22" t="s">
        <v>4682</v>
      </c>
      <c r="FGW22" t="s">
        <v>4683</v>
      </c>
      <c r="FGX22" t="s">
        <v>4684</v>
      </c>
      <c r="FGY22" t="s">
        <v>4685</v>
      </c>
      <c r="FGZ22" t="s">
        <v>4686</v>
      </c>
      <c r="FHA22" t="s">
        <v>4687</v>
      </c>
      <c r="FHB22" t="s">
        <v>4688</v>
      </c>
      <c r="FHC22" t="s">
        <v>4689</v>
      </c>
      <c r="FHD22" t="s">
        <v>4690</v>
      </c>
      <c r="FHE22" t="s">
        <v>4691</v>
      </c>
      <c r="FHF22" t="s">
        <v>4692</v>
      </c>
      <c r="FHG22" t="s">
        <v>4693</v>
      </c>
      <c r="FHH22" t="s">
        <v>4694</v>
      </c>
      <c r="FHI22" t="s">
        <v>4695</v>
      </c>
      <c r="FHJ22" t="s">
        <v>4696</v>
      </c>
      <c r="FHK22" t="s">
        <v>4697</v>
      </c>
      <c r="FHL22" t="s">
        <v>4698</v>
      </c>
      <c r="FHM22" t="s">
        <v>4699</v>
      </c>
      <c r="FHN22" t="s">
        <v>4700</v>
      </c>
      <c r="FHO22" t="s">
        <v>4701</v>
      </c>
      <c r="FHP22" t="s">
        <v>4702</v>
      </c>
      <c r="FHQ22" t="s">
        <v>4703</v>
      </c>
      <c r="FHR22" t="s">
        <v>4704</v>
      </c>
      <c r="FHS22" t="s">
        <v>4705</v>
      </c>
      <c r="FHT22" t="s">
        <v>4706</v>
      </c>
      <c r="FHU22" t="s">
        <v>4707</v>
      </c>
      <c r="FHV22" t="s">
        <v>4708</v>
      </c>
      <c r="FHW22" t="s">
        <v>4709</v>
      </c>
      <c r="FHX22" t="s">
        <v>4710</v>
      </c>
      <c r="FHY22" t="s">
        <v>4711</v>
      </c>
      <c r="FHZ22" t="s">
        <v>4712</v>
      </c>
      <c r="FIA22" t="s">
        <v>4713</v>
      </c>
      <c r="FIB22" t="s">
        <v>4714</v>
      </c>
      <c r="FIC22" t="s">
        <v>4715</v>
      </c>
      <c r="FID22" t="s">
        <v>4716</v>
      </c>
      <c r="FIE22" t="s">
        <v>4717</v>
      </c>
      <c r="FIF22" t="s">
        <v>4718</v>
      </c>
      <c r="FIG22" t="s">
        <v>4719</v>
      </c>
      <c r="FIH22" t="s">
        <v>4720</v>
      </c>
      <c r="FII22" t="s">
        <v>4721</v>
      </c>
      <c r="FIJ22" t="s">
        <v>4722</v>
      </c>
      <c r="FIK22" t="s">
        <v>4723</v>
      </c>
      <c r="FIL22" t="s">
        <v>4724</v>
      </c>
      <c r="FIM22" t="s">
        <v>4725</v>
      </c>
      <c r="FIN22" t="s">
        <v>4726</v>
      </c>
      <c r="FIO22" t="s">
        <v>4727</v>
      </c>
      <c r="FIP22" t="s">
        <v>4728</v>
      </c>
      <c r="FIQ22" t="s">
        <v>4729</v>
      </c>
      <c r="FIR22" t="s">
        <v>4730</v>
      </c>
      <c r="FIS22" t="s">
        <v>4731</v>
      </c>
      <c r="FIT22" t="s">
        <v>4732</v>
      </c>
      <c r="FIU22" t="s">
        <v>4733</v>
      </c>
      <c r="FIV22" t="s">
        <v>4734</v>
      </c>
      <c r="FIW22" t="s">
        <v>4735</v>
      </c>
      <c r="FIX22" t="s">
        <v>4736</v>
      </c>
      <c r="FIY22" t="s">
        <v>4737</v>
      </c>
      <c r="FIZ22" t="s">
        <v>4738</v>
      </c>
      <c r="FJA22" t="s">
        <v>4739</v>
      </c>
      <c r="FJB22" t="s">
        <v>4740</v>
      </c>
      <c r="FJC22" t="s">
        <v>4741</v>
      </c>
      <c r="FJD22" t="s">
        <v>4742</v>
      </c>
      <c r="FJE22" t="s">
        <v>4743</v>
      </c>
      <c r="FJF22" t="s">
        <v>4744</v>
      </c>
      <c r="FJG22" t="s">
        <v>4745</v>
      </c>
      <c r="FJH22" t="s">
        <v>4746</v>
      </c>
      <c r="FJI22" t="s">
        <v>4747</v>
      </c>
      <c r="FJJ22" t="s">
        <v>4748</v>
      </c>
      <c r="FJK22" t="s">
        <v>4749</v>
      </c>
      <c r="FJL22" t="s">
        <v>4750</v>
      </c>
      <c r="FJM22" t="s">
        <v>4751</v>
      </c>
      <c r="FJN22" t="s">
        <v>4752</v>
      </c>
      <c r="FJO22" t="s">
        <v>4753</v>
      </c>
      <c r="FJP22" t="s">
        <v>4754</v>
      </c>
      <c r="FJQ22" t="s">
        <v>4755</v>
      </c>
      <c r="FJR22" t="s">
        <v>4756</v>
      </c>
      <c r="FJS22" t="s">
        <v>4757</v>
      </c>
      <c r="FJT22" t="s">
        <v>4758</v>
      </c>
      <c r="FJU22" t="s">
        <v>4759</v>
      </c>
      <c r="FJV22" t="s">
        <v>4760</v>
      </c>
      <c r="FJW22" t="s">
        <v>4761</v>
      </c>
      <c r="FJX22" t="s">
        <v>4762</v>
      </c>
      <c r="FJY22" t="s">
        <v>4763</v>
      </c>
      <c r="FJZ22" t="s">
        <v>4764</v>
      </c>
      <c r="FKA22" t="s">
        <v>4765</v>
      </c>
      <c r="FKB22" t="s">
        <v>4766</v>
      </c>
      <c r="FKC22" t="s">
        <v>4767</v>
      </c>
      <c r="FKD22" t="s">
        <v>4768</v>
      </c>
      <c r="FKE22" t="s">
        <v>4769</v>
      </c>
      <c r="FKF22" t="s">
        <v>4770</v>
      </c>
      <c r="FKG22" t="s">
        <v>4771</v>
      </c>
      <c r="FKH22" t="s">
        <v>4772</v>
      </c>
      <c r="FKI22" t="s">
        <v>4773</v>
      </c>
      <c r="FKJ22" t="s">
        <v>4774</v>
      </c>
      <c r="FKK22" t="s">
        <v>4775</v>
      </c>
      <c r="FKL22" t="s">
        <v>4776</v>
      </c>
      <c r="FKM22" t="s">
        <v>4777</v>
      </c>
      <c r="FKN22" t="s">
        <v>4778</v>
      </c>
      <c r="FKO22" t="s">
        <v>4779</v>
      </c>
      <c r="FKP22" t="s">
        <v>4780</v>
      </c>
      <c r="FKQ22" t="s">
        <v>4781</v>
      </c>
      <c r="FKR22" t="s">
        <v>4782</v>
      </c>
      <c r="FKS22" t="s">
        <v>4783</v>
      </c>
      <c r="FKT22" t="s">
        <v>4784</v>
      </c>
      <c r="FKU22" t="s">
        <v>4785</v>
      </c>
      <c r="FKV22" t="s">
        <v>4786</v>
      </c>
      <c r="FKW22" t="s">
        <v>4787</v>
      </c>
      <c r="FKX22" t="s">
        <v>4788</v>
      </c>
      <c r="FKY22" t="s">
        <v>4789</v>
      </c>
      <c r="FKZ22" t="s">
        <v>4790</v>
      </c>
      <c r="FLA22" t="s">
        <v>4791</v>
      </c>
      <c r="FLB22" t="s">
        <v>4792</v>
      </c>
      <c r="FLC22" t="s">
        <v>4793</v>
      </c>
      <c r="FLD22" t="s">
        <v>4794</v>
      </c>
      <c r="FLE22" t="s">
        <v>4795</v>
      </c>
      <c r="FLF22" t="s">
        <v>4796</v>
      </c>
      <c r="FLG22" t="s">
        <v>4797</v>
      </c>
      <c r="FLH22" t="s">
        <v>4798</v>
      </c>
      <c r="FLI22" t="s">
        <v>4799</v>
      </c>
      <c r="FLJ22" t="s">
        <v>4800</v>
      </c>
      <c r="FLK22" t="s">
        <v>4801</v>
      </c>
      <c r="FLL22" t="s">
        <v>4802</v>
      </c>
      <c r="FLM22" t="s">
        <v>4803</v>
      </c>
      <c r="FLN22" t="s">
        <v>4804</v>
      </c>
      <c r="FLO22" t="s">
        <v>4805</v>
      </c>
      <c r="FLP22" t="s">
        <v>4806</v>
      </c>
      <c r="FLQ22" t="s">
        <v>4807</v>
      </c>
      <c r="FLR22" t="s">
        <v>4808</v>
      </c>
      <c r="FLS22" t="s">
        <v>4809</v>
      </c>
      <c r="FLT22" t="s">
        <v>4810</v>
      </c>
      <c r="FLU22" t="s">
        <v>4811</v>
      </c>
      <c r="FLV22" t="s">
        <v>4812</v>
      </c>
      <c r="FLW22" t="s">
        <v>4813</v>
      </c>
      <c r="FLX22" t="s">
        <v>4814</v>
      </c>
      <c r="FLY22" t="s">
        <v>4815</v>
      </c>
      <c r="FLZ22" t="s">
        <v>4816</v>
      </c>
      <c r="FMA22" t="s">
        <v>4817</v>
      </c>
      <c r="FMB22" t="s">
        <v>4818</v>
      </c>
      <c r="FMC22" t="s">
        <v>4819</v>
      </c>
      <c r="FMD22" t="s">
        <v>4820</v>
      </c>
      <c r="FME22" t="s">
        <v>4821</v>
      </c>
      <c r="FMF22" t="s">
        <v>4822</v>
      </c>
      <c r="FMG22" t="s">
        <v>4823</v>
      </c>
      <c r="FMH22" t="s">
        <v>4824</v>
      </c>
      <c r="FMI22" t="s">
        <v>4825</v>
      </c>
      <c r="FMJ22" t="s">
        <v>4826</v>
      </c>
      <c r="FMK22" t="s">
        <v>4827</v>
      </c>
      <c r="FML22" t="s">
        <v>4828</v>
      </c>
      <c r="FMM22" t="s">
        <v>4829</v>
      </c>
      <c r="FMN22" t="s">
        <v>4830</v>
      </c>
      <c r="FMO22" t="s">
        <v>4831</v>
      </c>
      <c r="FMP22" t="s">
        <v>4832</v>
      </c>
      <c r="FMQ22" t="s">
        <v>4833</v>
      </c>
      <c r="FMR22" t="s">
        <v>4834</v>
      </c>
      <c r="FMS22" t="s">
        <v>4835</v>
      </c>
      <c r="FMT22" t="s">
        <v>4836</v>
      </c>
      <c r="FMU22" t="s">
        <v>4837</v>
      </c>
      <c r="FMV22" t="s">
        <v>4838</v>
      </c>
      <c r="FMW22" t="s">
        <v>4839</v>
      </c>
      <c r="FMX22" t="s">
        <v>4840</v>
      </c>
      <c r="FMY22" t="s">
        <v>4841</v>
      </c>
      <c r="FMZ22" t="s">
        <v>4842</v>
      </c>
      <c r="FNA22" t="s">
        <v>4843</v>
      </c>
      <c r="FNB22" t="s">
        <v>4844</v>
      </c>
      <c r="FNC22" t="s">
        <v>4845</v>
      </c>
      <c r="FND22" t="s">
        <v>4846</v>
      </c>
      <c r="FNE22" t="s">
        <v>4847</v>
      </c>
      <c r="FNF22" t="s">
        <v>4848</v>
      </c>
      <c r="FNG22" t="s">
        <v>4849</v>
      </c>
      <c r="FNH22" t="s">
        <v>4850</v>
      </c>
      <c r="FNI22" t="s">
        <v>4851</v>
      </c>
      <c r="FNJ22" t="s">
        <v>4852</v>
      </c>
      <c r="FNK22" t="s">
        <v>4853</v>
      </c>
      <c r="FNL22" t="s">
        <v>4854</v>
      </c>
      <c r="FNM22" t="s">
        <v>4855</v>
      </c>
      <c r="FNN22" t="s">
        <v>4856</v>
      </c>
      <c r="FNO22" t="s">
        <v>4857</v>
      </c>
      <c r="FNP22" t="s">
        <v>4858</v>
      </c>
      <c r="FNQ22" t="s">
        <v>4859</v>
      </c>
      <c r="FNR22" t="s">
        <v>4860</v>
      </c>
      <c r="FNS22" t="s">
        <v>4861</v>
      </c>
      <c r="FNT22" t="s">
        <v>4862</v>
      </c>
      <c r="FNU22" t="s">
        <v>4863</v>
      </c>
      <c r="FNV22" t="s">
        <v>4864</v>
      </c>
      <c r="FNW22" t="s">
        <v>4865</v>
      </c>
      <c r="FNX22" t="s">
        <v>4866</v>
      </c>
      <c r="FNY22" t="s">
        <v>4867</v>
      </c>
      <c r="FNZ22" t="s">
        <v>4868</v>
      </c>
      <c r="FOA22" t="s">
        <v>4869</v>
      </c>
      <c r="FOB22" t="s">
        <v>4870</v>
      </c>
      <c r="FOC22" t="s">
        <v>4871</v>
      </c>
      <c r="FOD22" t="s">
        <v>4872</v>
      </c>
      <c r="FOE22" t="s">
        <v>4873</v>
      </c>
      <c r="FOF22" t="s">
        <v>4874</v>
      </c>
      <c r="FOG22" t="s">
        <v>4875</v>
      </c>
      <c r="FOH22" t="s">
        <v>4876</v>
      </c>
      <c r="FOI22" t="s">
        <v>4877</v>
      </c>
      <c r="FOJ22" t="s">
        <v>4878</v>
      </c>
      <c r="FOK22" t="s">
        <v>4879</v>
      </c>
      <c r="FOL22" t="s">
        <v>4880</v>
      </c>
      <c r="FOM22" t="s">
        <v>4881</v>
      </c>
      <c r="FON22" t="s">
        <v>4882</v>
      </c>
      <c r="FOO22" t="s">
        <v>4883</v>
      </c>
      <c r="FOP22" t="s">
        <v>4884</v>
      </c>
      <c r="FOQ22" t="s">
        <v>4885</v>
      </c>
      <c r="FOR22" t="s">
        <v>4886</v>
      </c>
      <c r="FOS22" t="s">
        <v>4887</v>
      </c>
      <c r="FOT22" t="s">
        <v>4888</v>
      </c>
      <c r="FOU22" t="s">
        <v>4889</v>
      </c>
      <c r="FOV22" t="s">
        <v>4890</v>
      </c>
      <c r="FOW22" t="s">
        <v>4891</v>
      </c>
      <c r="FOX22" t="s">
        <v>4892</v>
      </c>
      <c r="FOY22" t="s">
        <v>4893</v>
      </c>
      <c r="FOZ22" t="s">
        <v>4894</v>
      </c>
      <c r="FPA22" t="s">
        <v>4895</v>
      </c>
      <c r="FPB22" t="s">
        <v>4896</v>
      </c>
      <c r="FPC22" t="s">
        <v>4897</v>
      </c>
      <c r="FPD22" t="s">
        <v>4898</v>
      </c>
      <c r="FPE22" t="s">
        <v>4899</v>
      </c>
      <c r="FPF22" t="s">
        <v>4900</v>
      </c>
      <c r="FPG22" t="s">
        <v>4901</v>
      </c>
      <c r="FPH22" t="s">
        <v>4902</v>
      </c>
      <c r="FPI22" t="s">
        <v>4903</v>
      </c>
      <c r="FPJ22" t="s">
        <v>4904</v>
      </c>
      <c r="FPK22" t="s">
        <v>4905</v>
      </c>
      <c r="FPL22" t="s">
        <v>4906</v>
      </c>
      <c r="FPM22" t="s">
        <v>4907</v>
      </c>
      <c r="FPN22" t="s">
        <v>4908</v>
      </c>
      <c r="FPO22" t="s">
        <v>4909</v>
      </c>
      <c r="FPP22" t="s">
        <v>4910</v>
      </c>
      <c r="FPQ22" t="s">
        <v>4911</v>
      </c>
      <c r="FPR22" t="s">
        <v>4912</v>
      </c>
      <c r="FPS22" t="s">
        <v>4913</v>
      </c>
      <c r="FPT22" t="s">
        <v>4914</v>
      </c>
      <c r="FPU22" t="s">
        <v>4915</v>
      </c>
      <c r="FPV22" t="s">
        <v>4916</v>
      </c>
      <c r="FPW22" t="s">
        <v>4917</v>
      </c>
      <c r="FPX22" t="s">
        <v>4918</v>
      </c>
      <c r="FPY22" t="s">
        <v>4919</v>
      </c>
      <c r="FPZ22" t="s">
        <v>4920</v>
      </c>
      <c r="FQA22" t="s">
        <v>4921</v>
      </c>
      <c r="FQB22" t="s">
        <v>4922</v>
      </c>
      <c r="FQC22" t="s">
        <v>4923</v>
      </c>
      <c r="FQD22" t="s">
        <v>4924</v>
      </c>
      <c r="FQE22" t="s">
        <v>4925</v>
      </c>
      <c r="FQF22" t="s">
        <v>4926</v>
      </c>
      <c r="FQG22" t="s">
        <v>4927</v>
      </c>
      <c r="FQH22" t="s">
        <v>4928</v>
      </c>
      <c r="FQI22" t="s">
        <v>4929</v>
      </c>
      <c r="FQJ22" t="s">
        <v>4930</v>
      </c>
      <c r="FQK22" t="s">
        <v>4931</v>
      </c>
      <c r="FQL22" t="s">
        <v>4932</v>
      </c>
      <c r="FQM22" t="s">
        <v>4933</v>
      </c>
      <c r="FQN22" t="s">
        <v>4934</v>
      </c>
      <c r="FQO22" t="s">
        <v>4935</v>
      </c>
      <c r="FQP22" t="s">
        <v>4936</v>
      </c>
      <c r="FQQ22" t="s">
        <v>4937</v>
      </c>
      <c r="FQR22" t="s">
        <v>4938</v>
      </c>
      <c r="FQS22" t="s">
        <v>4939</v>
      </c>
      <c r="FQT22" t="s">
        <v>4940</v>
      </c>
      <c r="FQU22" t="s">
        <v>4941</v>
      </c>
      <c r="FQV22" t="s">
        <v>4942</v>
      </c>
      <c r="FQW22" t="s">
        <v>4943</v>
      </c>
      <c r="FQX22" t="s">
        <v>4944</v>
      </c>
      <c r="FQY22" t="s">
        <v>4945</v>
      </c>
      <c r="FQZ22" t="s">
        <v>4946</v>
      </c>
      <c r="FRA22" t="s">
        <v>4947</v>
      </c>
      <c r="FRB22" t="s">
        <v>4948</v>
      </c>
      <c r="FRC22" t="s">
        <v>4949</v>
      </c>
      <c r="FRD22" t="s">
        <v>4950</v>
      </c>
      <c r="FRE22" t="s">
        <v>4951</v>
      </c>
      <c r="FRF22" t="s">
        <v>4952</v>
      </c>
      <c r="FRG22" t="s">
        <v>4953</v>
      </c>
      <c r="FRH22" t="s">
        <v>4954</v>
      </c>
      <c r="FRI22" t="s">
        <v>4955</v>
      </c>
      <c r="FRJ22" t="s">
        <v>4956</v>
      </c>
      <c r="FRK22" t="s">
        <v>4957</v>
      </c>
      <c r="FRL22" t="s">
        <v>4958</v>
      </c>
      <c r="FRM22" t="s">
        <v>4959</v>
      </c>
      <c r="FRN22" t="s">
        <v>4960</v>
      </c>
      <c r="FRO22" t="s">
        <v>4961</v>
      </c>
      <c r="FRP22" t="s">
        <v>4962</v>
      </c>
      <c r="FRQ22" t="s">
        <v>4963</v>
      </c>
      <c r="FRR22" t="s">
        <v>4964</v>
      </c>
      <c r="FRS22" t="s">
        <v>4965</v>
      </c>
      <c r="FRT22" t="s">
        <v>4966</v>
      </c>
      <c r="FRU22" t="s">
        <v>4967</v>
      </c>
      <c r="FRV22" t="s">
        <v>4968</v>
      </c>
      <c r="FRW22" t="s">
        <v>4969</v>
      </c>
      <c r="FRX22" t="s">
        <v>4970</v>
      </c>
      <c r="FRY22" t="s">
        <v>4971</v>
      </c>
      <c r="FRZ22" t="s">
        <v>4972</v>
      </c>
      <c r="FSA22" t="s">
        <v>4973</v>
      </c>
      <c r="FSB22" t="s">
        <v>4974</v>
      </c>
      <c r="FSC22" t="s">
        <v>4975</v>
      </c>
      <c r="FSD22" t="s">
        <v>4976</v>
      </c>
      <c r="FSE22" t="s">
        <v>4977</v>
      </c>
      <c r="FSF22" t="s">
        <v>4978</v>
      </c>
      <c r="FSG22" t="s">
        <v>4979</v>
      </c>
      <c r="FSH22" t="s">
        <v>4980</v>
      </c>
      <c r="FSI22" t="s">
        <v>4981</v>
      </c>
      <c r="FSJ22" t="s">
        <v>4982</v>
      </c>
      <c r="FSK22" t="s">
        <v>4983</v>
      </c>
      <c r="FSL22" t="s">
        <v>4984</v>
      </c>
      <c r="FSM22" t="s">
        <v>4985</v>
      </c>
      <c r="FSN22" t="s">
        <v>4986</v>
      </c>
      <c r="FSO22" t="s">
        <v>4987</v>
      </c>
      <c r="FSP22" t="s">
        <v>4988</v>
      </c>
      <c r="FSQ22" t="s">
        <v>4989</v>
      </c>
      <c r="FSR22" t="s">
        <v>4990</v>
      </c>
      <c r="FSS22" t="s">
        <v>4991</v>
      </c>
      <c r="FST22" t="s">
        <v>4992</v>
      </c>
      <c r="FSU22" t="s">
        <v>4993</v>
      </c>
      <c r="FSV22" t="s">
        <v>4994</v>
      </c>
      <c r="FSW22" t="s">
        <v>4995</v>
      </c>
      <c r="FSX22" t="s">
        <v>4996</v>
      </c>
      <c r="FSY22" t="s">
        <v>4997</v>
      </c>
      <c r="FSZ22" t="s">
        <v>4998</v>
      </c>
      <c r="FTA22" t="s">
        <v>4999</v>
      </c>
      <c r="FTB22" t="s">
        <v>5000</v>
      </c>
      <c r="FTC22" t="s">
        <v>5001</v>
      </c>
      <c r="FTD22" t="s">
        <v>5002</v>
      </c>
      <c r="FTE22" t="s">
        <v>5003</v>
      </c>
      <c r="FTF22" t="s">
        <v>5004</v>
      </c>
      <c r="FTG22" t="s">
        <v>5005</v>
      </c>
      <c r="FTH22" t="s">
        <v>5006</v>
      </c>
      <c r="FTI22" t="s">
        <v>5007</v>
      </c>
      <c r="FTJ22" t="s">
        <v>5008</v>
      </c>
      <c r="FTK22" t="s">
        <v>5009</v>
      </c>
      <c r="FTL22" t="s">
        <v>5010</v>
      </c>
      <c r="FTM22" t="s">
        <v>5011</v>
      </c>
      <c r="FTN22" t="s">
        <v>5012</v>
      </c>
      <c r="FTO22" t="s">
        <v>5013</v>
      </c>
      <c r="FTP22" t="s">
        <v>5014</v>
      </c>
      <c r="FTQ22" t="s">
        <v>5015</v>
      </c>
      <c r="FTR22" t="s">
        <v>5016</v>
      </c>
      <c r="FTS22" t="s">
        <v>5017</v>
      </c>
      <c r="FTT22" t="s">
        <v>5018</v>
      </c>
      <c r="FTU22" t="s">
        <v>5019</v>
      </c>
      <c r="FTV22" t="s">
        <v>5020</v>
      </c>
      <c r="FTW22" t="s">
        <v>5021</v>
      </c>
      <c r="FTX22" t="s">
        <v>5022</v>
      </c>
      <c r="FTY22" t="s">
        <v>5023</v>
      </c>
      <c r="FTZ22" t="s">
        <v>5024</v>
      </c>
      <c r="FUA22" t="s">
        <v>5025</v>
      </c>
      <c r="FUB22" t="s">
        <v>5026</v>
      </c>
      <c r="FUC22" t="s">
        <v>5027</v>
      </c>
      <c r="FUD22" t="s">
        <v>5028</v>
      </c>
      <c r="FUE22" t="s">
        <v>5029</v>
      </c>
      <c r="FUF22" t="s">
        <v>5030</v>
      </c>
      <c r="FUG22" t="s">
        <v>5031</v>
      </c>
      <c r="FUH22" t="s">
        <v>5032</v>
      </c>
      <c r="FUI22" t="s">
        <v>5033</v>
      </c>
      <c r="FUJ22" t="s">
        <v>5034</v>
      </c>
      <c r="FUK22" t="s">
        <v>5035</v>
      </c>
      <c r="FUL22" t="s">
        <v>5036</v>
      </c>
      <c r="FUM22" t="s">
        <v>5037</v>
      </c>
      <c r="FUN22" t="s">
        <v>5038</v>
      </c>
      <c r="FUO22" t="s">
        <v>5039</v>
      </c>
      <c r="FUP22" t="s">
        <v>5040</v>
      </c>
      <c r="FUQ22" t="s">
        <v>5041</v>
      </c>
      <c r="FUR22" t="s">
        <v>5042</v>
      </c>
      <c r="FUS22" t="s">
        <v>5043</v>
      </c>
      <c r="FUT22" t="s">
        <v>5044</v>
      </c>
      <c r="FUU22" t="s">
        <v>5045</v>
      </c>
      <c r="FUV22" t="s">
        <v>5046</v>
      </c>
      <c r="FUW22" t="s">
        <v>5047</v>
      </c>
      <c r="FUX22" t="s">
        <v>5048</v>
      </c>
      <c r="FUY22" t="s">
        <v>5049</v>
      </c>
      <c r="FUZ22" t="s">
        <v>5050</v>
      </c>
      <c r="FVA22" t="s">
        <v>5051</v>
      </c>
      <c r="FVB22" t="s">
        <v>5052</v>
      </c>
      <c r="FVC22" t="s">
        <v>5053</v>
      </c>
      <c r="FVD22" t="s">
        <v>5054</v>
      </c>
      <c r="FVE22" t="s">
        <v>5055</v>
      </c>
      <c r="FVF22" t="s">
        <v>5056</v>
      </c>
      <c r="FVG22" t="s">
        <v>5057</v>
      </c>
      <c r="FVH22" t="s">
        <v>5058</v>
      </c>
      <c r="FVI22" t="s">
        <v>5059</v>
      </c>
      <c r="FVJ22" t="s">
        <v>5060</v>
      </c>
      <c r="FVK22" t="s">
        <v>5061</v>
      </c>
      <c r="FVL22" t="s">
        <v>5062</v>
      </c>
      <c r="FVM22" t="s">
        <v>5063</v>
      </c>
      <c r="FVN22" t="s">
        <v>5064</v>
      </c>
      <c r="FVO22" t="s">
        <v>5065</v>
      </c>
      <c r="FVP22" t="s">
        <v>5066</v>
      </c>
      <c r="FVQ22" t="s">
        <v>5067</v>
      </c>
      <c r="FVR22" t="s">
        <v>5068</v>
      </c>
      <c r="FVS22" t="s">
        <v>5069</v>
      </c>
      <c r="FVT22" t="s">
        <v>5070</v>
      </c>
      <c r="FVU22" t="s">
        <v>5071</v>
      </c>
      <c r="FVV22" t="s">
        <v>5072</v>
      </c>
      <c r="FVW22" t="s">
        <v>5073</v>
      </c>
      <c r="FVX22" t="s">
        <v>5074</v>
      </c>
      <c r="FVY22" t="s">
        <v>5075</v>
      </c>
      <c r="FVZ22" t="s">
        <v>5076</v>
      </c>
      <c r="FWA22" t="s">
        <v>5077</v>
      </c>
      <c r="FWB22" t="s">
        <v>5078</v>
      </c>
      <c r="FWC22" t="s">
        <v>5079</v>
      </c>
      <c r="FWD22" t="s">
        <v>5080</v>
      </c>
      <c r="FWE22" t="s">
        <v>5081</v>
      </c>
      <c r="FWF22" t="s">
        <v>5082</v>
      </c>
      <c r="FWG22" t="s">
        <v>5083</v>
      </c>
      <c r="FWH22" t="s">
        <v>5084</v>
      </c>
      <c r="FWI22" t="s">
        <v>5085</v>
      </c>
      <c r="FWJ22" t="s">
        <v>5086</v>
      </c>
      <c r="FWK22" t="s">
        <v>5087</v>
      </c>
      <c r="FWL22" t="s">
        <v>5088</v>
      </c>
      <c r="FWM22" t="s">
        <v>5089</v>
      </c>
      <c r="FWN22" t="s">
        <v>5090</v>
      </c>
      <c r="FWO22" t="s">
        <v>5091</v>
      </c>
      <c r="FWP22" t="s">
        <v>5092</v>
      </c>
      <c r="FWQ22" t="s">
        <v>5093</v>
      </c>
      <c r="FWR22" t="s">
        <v>5094</v>
      </c>
      <c r="FWS22" t="s">
        <v>5095</v>
      </c>
      <c r="FWT22" t="s">
        <v>5096</v>
      </c>
      <c r="FWU22" t="s">
        <v>5097</v>
      </c>
      <c r="FWV22" t="s">
        <v>5098</v>
      </c>
      <c r="FWW22" t="s">
        <v>5099</v>
      </c>
      <c r="FWX22" t="s">
        <v>5100</v>
      </c>
      <c r="FWY22" t="s">
        <v>5101</v>
      </c>
      <c r="FWZ22" t="s">
        <v>5102</v>
      </c>
      <c r="FXA22" t="s">
        <v>5103</v>
      </c>
      <c r="FXB22" t="s">
        <v>5104</v>
      </c>
      <c r="FXC22" t="s">
        <v>5105</v>
      </c>
      <c r="FXD22" t="s">
        <v>5106</v>
      </c>
      <c r="FXE22" t="s">
        <v>5107</v>
      </c>
      <c r="FXF22" t="s">
        <v>5108</v>
      </c>
      <c r="FXG22" t="s">
        <v>5109</v>
      </c>
      <c r="FXH22" t="s">
        <v>5110</v>
      </c>
      <c r="FXI22" t="s">
        <v>5111</v>
      </c>
      <c r="FXJ22" t="s">
        <v>5112</v>
      </c>
      <c r="FXK22" t="s">
        <v>5113</v>
      </c>
      <c r="FXL22" t="s">
        <v>5114</v>
      </c>
      <c r="FXM22" t="s">
        <v>5115</v>
      </c>
      <c r="FXN22" t="s">
        <v>5116</v>
      </c>
      <c r="FXO22" t="s">
        <v>5117</v>
      </c>
      <c r="FXP22" t="s">
        <v>5118</v>
      </c>
      <c r="FXQ22" t="s">
        <v>5119</v>
      </c>
      <c r="FXR22" t="s">
        <v>5120</v>
      </c>
      <c r="FXS22" t="s">
        <v>5121</v>
      </c>
      <c r="FXT22" t="s">
        <v>5122</v>
      </c>
      <c r="FXU22" t="s">
        <v>5123</v>
      </c>
      <c r="FXV22" t="s">
        <v>5124</v>
      </c>
      <c r="FXW22" t="s">
        <v>5125</v>
      </c>
      <c r="FXX22" t="s">
        <v>5126</v>
      </c>
      <c r="FXY22" t="s">
        <v>5127</v>
      </c>
      <c r="FXZ22" t="s">
        <v>5128</v>
      </c>
      <c r="FYA22" t="s">
        <v>5129</v>
      </c>
      <c r="FYB22" t="s">
        <v>5130</v>
      </c>
      <c r="FYC22" t="s">
        <v>5131</v>
      </c>
      <c r="FYD22" t="s">
        <v>5132</v>
      </c>
      <c r="FYE22" t="s">
        <v>5133</v>
      </c>
      <c r="FYF22" t="s">
        <v>5134</v>
      </c>
      <c r="FYG22" t="s">
        <v>5135</v>
      </c>
      <c r="FYH22" t="s">
        <v>5136</v>
      </c>
      <c r="FYI22" t="s">
        <v>5137</v>
      </c>
      <c r="FYJ22" t="s">
        <v>5138</v>
      </c>
      <c r="FYK22" t="s">
        <v>5139</v>
      </c>
      <c r="FYL22" t="s">
        <v>5140</v>
      </c>
      <c r="FYM22" t="s">
        <v>5141</v>
      </c>
      <c r="FYN22" t="s">
        <v>5142</v>
      </c>
      <c r="FYO22" t="s">
        <v>5143</v>
      </c>
      <c r="FYP22" t="s">
        <v>5144</v>
      </c>
      <c r="FYQ22" t="s">
        <v>5145</v>
      </c>
      <c r="FYR22" t="s">
        <v>5146</v>
      </c>
      <c r="FYS22" t="s">
        <v>5147</v>
      </c>
      <c r="FYT22" t="s">
        <v>5148</v>
      </c>
      <c r="FYU22" t="s">
        <v>5149</v>
      </c>
      <c r="FYV22" t="s">
        <v>5150</v>
      </c>
      <c r="FYW22" t="s">
        <v>5151</v>
      </c>
      <c r="FYX22" t="s">
        <v>5152</v>
      </c>
      <c r="FYY22" t="s">
        <v>5153</v>
      </c>
      <c r="FYZ22" t="s">
        <v>5154</v>
      </c>
      <c r="FZA22" t="s">
        <v>5155</v>
      </c>
      <c r="FZB22" t="s">
        <v>5156</v>
      </c>
      <c r="FZC22" t="s">
        <v>5157</v>
      </c>
      <c r="FZD22" t="s">
        <v>5158</v>
      </c>
      <c r="FZE22" t="s">
        <v>5159</v>
      </c>
      <c r="FZF22" t="s">
        <v>5160</v>
      </c>
      <c r="FZG22" t="s">
        <v>5161</v>
      </c>
      <c r="FZH22" t="s">
        <v>5162</v>
      </c>
      <c r="FZI22" t="s">
        <v>5163</v>
      </c>
      <c r="FZJ22" t="s">
        <v>5164</v>
      </c>
      <c r="FZK22" t="s">
        <v>5165</v>
      </c>
      <c r="FZL22" t="s">
        <v>5166</v>
      </c>
      <c r="FZM22" t="s">
        <v>5167</v>
      </c>
      <c r="FZN22" t="s">
        <v>5168</v>
      </c>
      <c r="FZO22" t="s">
        <v>5169</v>
      </c>
      <c r="FZP22" t="s">
        <v>5170</v>
      </c>
      <c r="FZQ22" t="s">
        <v>5171</v>
      </c>
      <c r="FZR22" t="s">
        <v>5172</v>
      </c>
      <c r="FZS22" t="s">
        <v>5173</v>
      </c>
      <c r="FZT22" t="s">
        <v>5174</v>
      </c>
      <c r="FZU22" t="s">
        <v>5175</v>
      </c>
      <c r="FZV22" t="s">
        <v>5176</v>
      </c>
      <c r="FZW22" t="s">
        <v>5177</v>
      </c>
      <c r="FZX22" t="s">
        <v>5178</v>
      </c>
      <c r="FZY22" t="s">
        <v>5179</v>
      </c>
      <c r="FZZ22" t="s">
        <v>5180</v>
      </c>
      <c r="GAA22" t="s">
        <v>5181</v>
      </c>
      <c r="GAB22" t="s">
        <v>5182</v>
      </c>
      <c r="GAC22" t="s">
        <v>5183</v>
      </c>
      <c r="GAD22" t="s">
        <v>5184</v>
      </c>
      <c r="GAE22" t="s">
        <v>5185</v>
      </c>
      <c r="GAF22" t="s">
        <v>5186</v>
      </c>
      <c r="GAG22" t="s">
        <v>5187</v>
      </c>
      <c r="GAH22" t="s">
        <v>5188</v>
      </c>
      <c r="GAI22" t="s">
        <v>5189</v>
      </c>
      <c r="GAJ22" t="s">
        <v>5190</v>
      </c>
      <c r="GAK22" t="s">
        <v>5191</v>
      </c>
      <c r="GAL22" t="s">
        <v>5192</v>
      </c>
      <c r="GAM22" t="s">
        <v>5193</v>
      </c>
      <c r="GAN22" t="s">
        <v>5194</v>
      </c>
      <c r="GAO22" t="s">
        <v>5195</v>
      </c>
      <c r="GAP22" t="s">
        <v>5196</v>
      </c>
      <c r="GAQ22" t="s">
        <v>5197</v>
      </c>
      <c r="GAR22" t="s">
        <v>5198</v>
      </c>
      <c r="GAS22" t="s">
        <v>5199</v>
      </c>
      <c r="GAT22" t="s">
        <v>5200</v>
      </c>
      <c r="GAU22" t="s">
        <v>5201</v>
      </c>
      <c r="GAV22" t="s">
        <v>5202</v>
      </c>
      <c r="GAW22" t="s">
        <v>5203</v>
      </c>
      <c r="GAX22" t="s">
        <v>5204</v>
      </c>
      <c r="GAY22" t="s">
        <v>5205</v>
      </c>
      <c r="GAZ22" t="s">
        <v>5206</v>
      </c>
      <c r="GBA22" t="s">
        <v>5207</v>
      </c>
      <c r="GBB22" t="s">
        <v>5208</v>
      </c>
      <c r="GBC22" t="s">
        <v>5209</v>
      </c>
      <c r="GBD22" t="s">
        <v>5210</v>
      </c>
      <c r="GBE22" t="s">
        <v>5211</v>
      </c>
      <c r="GBF22" t="s">
        <v>5212</v>
      </c>
      <c r="GBG22" t="s">
        <v>5213</v>
      </c>
      <c r="GBH22" t="s">
        <v>5214</v>
      </c>
      <c r="GBI22" t="s">
        <v>5215</v>
      </c>
      <c r="GBJ22" t="s">
        <v>5216</v>
      </c>
      <c r="GBK22" t="s">
        <v>5217</v>
      </c>
      <c r="GBL22" t="s">
        <v>5218</v>
      </c>
      <c r="GBM22" t="s">
        <v>5219</v>
      </c>
      <c r="GBN22" t="s">
        <v>5220</v>
      </c>
      <c r="GBO22" t="s">
        <v>5221</v>
      </c>
      <c r="GBP22" t="s">
        <v>5222</v>
      </c>
      <c r="GBQ22" t="s">
        <v>5223</v>
      </c>
      <c r="GBR22" t="s">
        <v>5224</v>
      </c>
      <c r="GBS22" t="s">
        <v>5225</v>
      </c>
      <c r="GBT22" t="s">
        <v>5226</v>
      </c>
      <c r="GBU22" t="s">
        <v>5227</v>
      </c>
      <c r="GBV22" t="s">
        <v>5228</v>
      </c>
      <c r="GBW22" t="s">
        <v>5229</v>
      </c>
      <c r="GBX22" t="s">
        <v>5230</v>
      </c>
      <c r="GBY22" t="s">
        <v>5231</v>
      </c>
      <c r="GBZ22" t="s">
        <v>5232</v>
      </c>
      <c r="GCA22" t="s">
        <v>5233</v>
      </c>
      <c r="GCB22" t="s">
        <v>5234</v>
      </c>
      <c r="GCC22" t="s">
        <v>5235</v>
      </c>
      <c r="GCD22" t="s">
        <v>5236</v>
      </c>
      <c r="GCE22" t="s">
        <v>5237</v>
      </c>
      <c r="GCF22" t="s">
        <v>5238</v>
      </c>
      <c r="GCG22" t="s">
        <v>5239</v>
      </c>
      <c r="GCH22" t="s">
        <v>5240</v>
      </c>
      <c r="GCI22" t="s">
        <v>5241</v>
      </c>
      <c r="GCJ22" t="s">
        <v>5242</v>
      </c>
      <c r="GCK22" t="s">
        <v>5243</v>
      </c>
      <c r="GCL22" t="s">
        <v>5244</v>
      </c>
      <c r="GCM22" t="s">
        <v>5245</v>
      </c>
      <c r="GCN22" t="s">
        <v>5246</v>
      </c>
      <c r="GCO22" t="s">
        <v>5247</v>
      </c>
      <c r="GCP22" t="s">
        <v>5248</v>
      </c>
      <c r="GCQ22" t="s">
        <v>5249</v>
      </c>
      <c r="GCR22" t="s">
        <v>5250</v>
      </c>
      <c r="GCS22" t="s">
        <v>5251</v>
      </c>
      <c r="GCT22" t="s">
        <v>5252</v>
      </c>
      <c r="GCU22" t="s">
        <v>5253</v>
      </c>
      <c r="GCV22" t="s">
        <v>5254</v>
      </c>
      <c r="GCW22" t="s">
        <v>5255</v>
      </c>
      <c r="GCX22" t="s">
        <v>5256</v>
      </c>
      <c r="GCY22" t="s">
        <v>5257</v>
      </c>
      <c r="GCZ22" t="s">
        <v>5258</v>
      </c>
      <c r="GDA22" t="s">
        <v>5259</v>
      </c>
      <c r="GDB22" t="s">
        <v>5260</v>
      </c>
      <c r="GDC22" t="s">
        <v>5261</v>
      </c>
      <c r="GDD22" t="s">
        <v>5262</v>
      </c>
      <c r="GDE22" t="s">
        <v>5263</v>
      </c>
      <c r="GDF22" t="s">
        <v>5264</v>
      </c>
      <c r="GDG22" t="s">
        <v>5265</v>
      </c>
      <c r="GDH22" t="s">
        <v>5266</v>
      </c>
      <c r="GDI22" t="s">
        <v>5267</v>
      </c>
      <c r="GDJ22" t="s">
        <v>5268</v>
      </c>
      <c r="GDK22" t="s">
        <v>5269</v>
      </c>
      <c r="GDL22" t="s">
        <v>5270</v>
      </c>
      <c r="GDM22" t="s">
        <v>5271</v>
      </c>
      <c r="GDN22" t="s">
        <v>5272</v>
      </c>
      <c r="GDO22" t="s">
        <v>5273</v>
      </c>
      <c r="GDP22" t="s">
        <v>5274</v>
      </c>
      <c r="GDQ22" t="s">
        <v>5275</v>
      </c>
      <c r="GDR22" t="s">
        <v>5276</v>
      </c>
      <c r="GDS22" t="s">
        <v>5277</v>
      </c>
      <c r="GDT22" t="s">
        <v>5278</v>
      </c>
      <c r="GDU22" t="s">
        <v>5279</v>
      </c>
      <c r="GDV22" t="s">
        <v>5280</v>
      </c>
      <c r="GDW22" t="s">
        <v>5281</v>
      </c>
      <c r="GDX22" t="s">
        <v>5282</v>
      </c>
      <c r="GDY22" t="s">
        <v>5283</v>
      </c>
      <c r="GDZ22" t="s">
        <v>5284</v>
      </c>
      <c r="GEA22" t="s">
        <v>5285</v>
      </c>
      <c r="GEB22" t="s">
        <v>5286</v>
      </c>
      <c r="GEC22" t="s">
        <v>5287</v>
      </c>
      <c r="GED22" t="s">
        <v>5288</v>
      </c>
      <c r="GEE22" t="s">
        <v>5289</v>
      </c>
      <c r="GEF22" t="s">
        <v>5290</v>
      </c>
      <c r="GEG22" t="s">
        <v>5291</v>
      </c>
      <c r="GEH22" t="s">
        <v>5292</v>
      </c>
      <c r="GEI22" t="s">
        <v>5293</v>
      </c>
      <c r="GEJ22" t="s">
        <v>5294</v>
      </c>
      <c r="GEK22" t="s">
        <v>5295</v>
      </c>
      <c r="GEL22" t="s">
        <v>5296</v>
      </c>
      <c r="GEM22" t="s">
        <v>5297</v>
      </c>
      <c r="GEN22" t="s">
        <v>5298</v>
      </c>
      <c r="GEO22" t="s">
        <v>5299</v>
      </c>
      <c r="GEP22" t="s">
        <v>5300</v>
      </c>
      <c r="GEQ22" t="s">
        <v>5301</v>
      </c>
      <c r="GER22" t="s">
        <v>5302</v>
      </c>
      <c r="GES22" t="s">
        <v>5303</v>
      </c>
      <c r="GET22" t="s">
        <v>5304</v>
      </c>
      <c r="GEU22" t="s">
        <v>5305</v>
      </c>
      <c r="GEV22" t="s">
        <v>5306</v>
      </c>
      <c r="GEW22" t="s">
        <v>5307</v>
      </c>
      <c r="GEX22" t="s">
        <v>5308</v>
      </c>
      <c r="GEY22" t="s">
        <v>5309</v>
      </c>
      <c r="GEZ22" t="s">
        <v>5310</v>
      </c>
      <c r="GFA22" t="s">
        <v>5311</v>
      </c>
      <c r="GFB22" t="s">
        <v>5312</v>
      </c>
      <c r="GFC22" t="s">
        <v>5313</v>
      </c>
      <c r="GFD22" t="s">
        <v>5314</v>
      </c>
      <c r="GFE22" t="s">
        <v>5315</v>
      </c>
      <c r="GFF22" t="s">
        <v>5316</v>
      </c>
      <c r="GFG22" t="s">
        <v>5317</v>
      </c>
      <c r="GFH22" t="s">
        <v>5318</v>
      </c>
      <c r="GFI22" t="s">
        <v>5319</v>
      </c>
      <c r="GFJ22" t="s">
        <v>5320</v>
      </c>
      <c r="GFK22" t="s">
        <v>5321</v>
      </c>
      <c r="GFL22" t="s">
        <v>5322</v>
      </c>
      <c r="GFM22" t="s">
        <v>5323</v>
      </c>
      <c r="GFN22" t="s">
        <v>5324</v>
      </c>
      <c r="GFO22" t="s">
        <v>5325</v>
      </c>
      <c r="GFP22" t="s">
        <v>5326</v>
      </c>
      <c r="GFQ22" t="s">
        <v>5327</v>
      </c>
      <c r="GFR22" t="s">
        <v>5328</v>
      </c>
      <c r="GFS22" t="s">
        <v>5329</v>
      </c>
      <c r="GFT22" t="s">
        <v>5330</v>
      </c>
      <c r="GFU22" t="s">
        <v>5331</v>
      </c>
      <c r="GFV22" t="s">
        <v>5332</v>
      </c>
      <c r="GFW22" t="s">
        <v>5333</v>
      </c>
      <c r="GFX22" t="s">
        <v>5334</v>
      </c>
      <c r="GFY22" t="s">
        <v>5335</v>
      </c>
      <c r="GFZ22" t="s">
        <v>5336</v>
      </c>
      <c r="GGA22" t="s">
        <v>5337</v>
      </c>
      <c r="GGB22" t="s">
        <v>5338</v>
      </c>
      <c r="GGC22" t="s">
        <v>5339</v>
      </c>
      <c r="GGD22" t="s">
        <v>5340</v>
      </c>
      <c r="GGE22" t="s">
        <v>5341</v>
      </c>
      <c r="GGF22" t="s">
        <v>5342</v>
      </c>
      <c r="GGG22" t="s">
        <v>5343</v>
      </c>
      <c r="GGH22" t="s">
        <v>5344</v>
      </c>
      <c r="GGI22" t="s">
        <v>5345</v>
      </c>
      <c r="GGJ22" t="s">
        <v>5346</v>
      </c>
      <c r="GGK22" t="s">
        <v>5347</v>
      </c>
      <c r="GGL22" t="s">
        <v>5348</v>
      </c>
      <c r="GGM22" t="s">
        <v>5349</v>
      </c>
      <c r="GGN22" t="s">
        <v>5350</v>
      </c>
      <c r="GGO22" t="s">
        <v>5351</v>
      </c>
      <c r="GGP22" t="s">
        <v>5352</v>
      </c>
      <c r="GGQ22" t="s">
        <v>5353</v>
      </c>
      <c r="GGR22" t="s">
        <v>5354</v>
      </c>
      <c r="GGS22" t="s">
        <v>5355</v>
      </c>
      <c r="GGT22" t="s">
        <v>5356</v>
      </c>
      <c r="GGU22" t="s">
        <v>5357</v>
      </c>
      <c r="GGV22" t="s">
        <v>5358</v>
      </c>
      <c r="GGW22" t="s">
        <v>5359</v>
      </c>
      <c r="GGX22" t="s">
        <v>5360</v>
      </c>
      <c r="GGY22" t="s">
        <v>5361</v>
      </c>
      <c r="GGZ22" t="s">
        <v>5362</v>
      </c>
      <c r="GHA22" t="s">
        <v>5363</v>
      </c>
      <c r="GHB22" t="s">
        <v>5364</v>
      </c>
      <c r="GHC22" t="s">
        <v>5365</v>
      </c>
      <c r="GHD22" t="s">
        <v>5366</v>
      </c>
      <c r="GHE22" t="s">
        <v>5367</v>
      </c>
      <c r="GHF22" t="s">
        <v>5368</v>
      </c>
      <c r="GHG22" t="s">
        <v>5369</v>
      </c>
      <c r="GHH22" t="s">
        <v>5370</v>
      </c>
      <c r="GHI22" t="s">
        <v>5371</v>
      </c>
      <c r="GHJ22" t="s">
        <v>5372</v>
      </c>
      <c r="GHK22" t="s">
        <v>5373</v>
      </c>
      <c r="GHL22" t="s">
        <v>5374</v>
      </c>
      <c r="GHM22" t="s">
        <v>5375</v>
      </c>
      <c r="GHN22" t="s">
        <v>5376</v>
      </c>
      <c r="GHO22" t="s">
        <v>5377</v>
      </c>
      <c r="GHP22" t="s">
        <v>5378</v>
      </c>
      <c r="GHQ22" t="s">
        <v>5379</v>
      </c>
      <c r="GHR22" t="s">
        <v>5380</v>
      </c>
      <c r="GHS22" t="s">
        <v>5381</v>
      </c>
      <c r="GHT22" t="s">
        <v>5382</v>
      </c>
      <c r="GHU22" t="s">
        <v>5383</v>
      </c>
      <c r="GHV22" t="s">
        <v>5384</v>
      </c>
      <c r="GHW22" t="s">
        <v>5385</v>
      </c>
      <c r="GHX22" t="s">
        <v>5386</v>
      </c>
      <c r="GHY22" t="s">
        <v>5387</v>
      </c>
      <c r="GHZ22" t="s">
        <v>5388</v>
      </c>
      <c r="GIA22" t="s">
        <v>5389</v>
      </c>
      <c r="GIB22" t="s">
        <v>5390</v>
      </c>
      <c r="GIC22" t="s">
        <v>5391</v>
      </c>
      <c r="GID22" t="s">
        <v>5392</v>
      </c>
      <c r="GIE22" t="s">
        <v>5393</v>
      </c>
      <c r="GIF22" t="s">
        <v>5394</v>
      </c>
      <c r="GIG22" t="s">
        <v>5395</v>
      </c>
      <c r="GIH22" t="s">
        <v>5396</v>
      </c>
      <c r="GII22" t="s">
        <v>5397</v>
      </c>
      <c r="GIJ22" t="s">
        <v>5398</v>
      </c>
      <c r="GIK22" t="s">
        <v>5399</v>
      </c>
      <c r="GIL22" t="s">
        <v>5400</v>
      </c>
      <c r="GIM22" t="s">
        <v>5401</v>
      </c>
      <c r="GIN22" t="s">
        <v>5402</v>
      </c>
      <c r="GIO22" t="s">
        <v>5403</v>
      </c>
      <c r="GIP22" t="s">
        <v>5404</v>
      </c>
      <c r="GIQ22" t="s">
        <v>5405</v>
      </c>
      <c r="GIR22" t="s">
        <v>5406</v>
      </c>
      <c r="GIS22" t="s">
        <v>5407</v>
      </c>
      <c r="GIT22" t="s">
        <v>5408</v>
      </c>
      <c r="GIU22" t="s">
        <v>5409</v>
      </c>
      <c r="GIV22" t="s">
        <v>5410</v>
      </c>
      <c r="GIW22" t="s">
        <v>5411</v>
      </c>
      <c r="GIX22" t="s">
        <v>5412</v>
      </c>
      <c r="GIY22" t="s">
        <v>5413</v>
      </c>
      <c r="GIZ22" t="s">
        <v>5414</v>
      </c>
      <c r="GJA22" t="s">
        <v>5415</v>
      </c>
      <c r="GJB22" t="s">
        <v>5416</v>
      </c>
      <c r="GJC22" t="s">
        <v>5417</v>
      </c>
      <c r="GJD22" t="s">
        <v>5418</v>
      </c>
      <c r="GJE22" t="s">
        <v>5419</v>
      </c>
      <c r="GJF22" t="s">
        <v>5420</v>
      </c>
      <c r="GJG22" t="s">
        <v>5421</v>
      </c>
      <c r="GJH22" t="s">
        <v>5422</v>
      </c>
      <c r="GJI22" t="s">
        <v>5423</v>
      </c>
      <c r="GJJ22" t="s">
        <v>5424</v>
      </c>
      <c r="GJK22" t="s">
        <v>5425</v>
      </c>
      <c r="GJL22" t="s">
        <v>5426</v>
      </c>
      <c r="GJM22" t="s">
        <v>5427</v>
      </c>
      <c r="GJN22" t="s">
        <v>5428</v>
      </c>
      <c r="GJO22" t="s">
        <v>5429</v>
      </c>
      <c r="GJP22" t="s">
        <v>5430</v>
      </c>
      <c r="GJQ22" t="s">
        <v>5431</v>
      </c>
      <c r="GJR22" t="s">
        <v>5432</v>
      </c>
      <c r="GJS22" t="s">
        <v>5433</v>
      </c>
      <c r="GJT22" t="s">
        <v>5434</v>
      </c>
      <c r="GJU22" t="s">
        <v>5435</v>
      </c>
      <c r="GJV22" t="s">
        <v>5436</v>
      </c>
      <c r="GJW22" t="s">
        <v>5437</v>
      </c>
      <c r="GJX22" t="s">
        <v>5438</v>
      </c>
      <c r="GJY22" t="s">
        <v>5439</v>
      </c>
      <c r="GJZ22" t="s">
        <v>5440</v>
      </c>
      <c r="GKA22" t="s">
        <v>5441</v>
      </c>
      <c r="GKB22" t="s">
        <v>5442</v>
      </c>
      <c r="GKC22" t="s">
        <v>5443</v>
      </c>
      <c r="GKD22" t="s">
        <v>5444</v>
      </c>
      <c r="GKE22" t="s">
        <v>5445</v>
      </c>
      <c r="GKF22" t="s">
        <v>5446</v>
      </c>
      <c r="GKG22" t="s">
        <v>5447</v>
      </c>
      <c r="GKH22" t="s">
        <v>5448</v>
      </c>
      <c r="GKI22" t="s">
        <v>5449</v>
      </c>
      <c r="GKJ22" t="s">
        <v>5450</v>
      </c>
      <c r="GKK22" t="s">
        <v>5451</v>
      </c>
      <c r="GKL22" t="s">
        <v>5452</v>
      </c>
      <c r="GKM22" t="s">
        <v>5453</v>
      </c>
      <c r="GKN22" t="s">
        <v>5454</v>
      </c>
      <c r="GKO22" t="s">
        <v>5455</v>
      </c>
      <c r="GKP22" t="s">
        <v>5456</v>
      </c>
      <c r="GKQ22" t="s">
        <v>5457</v>
      </c>
      <c r="GKR22" t="s">
        <v>5458</v>
      </c>
      <c r="GKS22" t="s">
        <v>5459</v>
      </c>
      <c r="GKT22" t="s">
        <v>5460</v>
      </c>
      <c r="GKU22" t="s">
        <v>5461</v>
      </c>
      <c r="GKV22" t="s">
        <v>5462</v>
      </c>
      <c r="GKW22" t="s">
        <v>5463</v>
      </c>
      <c r="GKX22" t="s">
        <v>5464</v>
      </c>
      <c r="GKY22" t="s">
        <v>5465</v>
      </c>
      <c r="GKZ22" t="s">
        <v>5466</v>
      </c>
      <c r="GLA22" t="s">
        <v>5467</v>
      </c>
      <c r="GLB22" t="s">
        <v>5468</v>
      </c>
      <c r="GLC22" t="s">
        <v>5469</v>
      </c>
      <c r="GLD22" t="s">
        <v>5470</v>
      </c>
      <c r="GLE22" t="s">
        <v>5471</v>
      </c>
      <c r="GLF22" t="s">
        <v>5472</v>
      </c>
      <c r="GLG22" t="s">
        <v>5473</v>
      </c>
      <c r="GLH22" t="s">
        <v>5474</v>
      </c>
      <c r="GLI22" t="s">
        <v>5475</v>
      </c>
      <c r="GLJ22" t="s">
        <v>5476</v>
      </c>
      <c r="GLK22" t="s">
        <v>5477</v>
      </c>
      <c r="GLL22" t="s">
        <v>5478</v>
      </c>
      <c r="GLM22" t="s">
        <v>5479</v>
      </c>
      <c r="GLN22" t="s">
        <v>5480</v>
      </c>
      <c r="GLO22" t="s">
        <v>5481</v>
      </c>
      <c r="GLP22" t="s">
        <v>5482</v>
      </c>
      <c r="GLQ22" t="s">
        <v>5483</v>
      </c>
      <c r="GLR22" t="s">
        <v>5484</v>
      </c>
      <c r="GLS22" t="s">
        <v>5485</v>
      </c>
      <c r="GLT22" t="s">
        <v>5486</v>
      </c>
      <c r="GLU22" t="s">
        <v>5487</v>
      </c>
      <c r="GLV22" t="s">
        <v>5488</v>
      </c>
      <c r="GLW22" t="s">
        <v>5489</v>
      </c>
      <c r="GLX22" t="s">
        <v>5490</v>
      </c>
      <c r="GLY22" t="s">
        <v>5491</v>
      </c>
      <c r="GLZ22" t="s">
        <v>5492</v>
      </c>
      <c r="GMA22" t="s">
        <v>5493</v>
      </c>
      <c r="GMB22" t="s">
        <v>5494</v>
      </c>
      <c r="GMC22" t="s">
        <v>5495</v>
      </c>
      <c r="GMD22" t="s">
        <v>5496</v>
      </c>
      <c r="GME22" t="s">
        <v>5497</v>
      </c>
      <c r="GMF22" t="s">
        <v>5498</v>
      </c>
      <c r="GMG22" t="s">
        <v>5499</v>
      </c>
      <c r="GMH22" t="s">
        <v>5500</v>
      </c>
      <c r="GMI22" t="s">
        <v>5501</v>
      </c>
      <c r="GMJ22" t="s">
        <v>5502</v>
      </c>
      <c r="GMK22" t="s">
        <v>5503</v>
      </c>
      <c r="GML22" t="s">
        <v>5504</v>
      </c>
      <c r="GMM22" t="s">
        <v>5505</v>
      </c>
      <c r="GMN22" t="s">
        <v>5506</v>
      </c>
      <c r="GMO22" t="s">
        <v>5507</v>
      </c>
      <c r="GMP22" t="s">
        <v>5508</v>
      </c>
      <c r="GMQ22" t="s">
        <v>5509</v>
      </c>
      <c r="GMR22" t="s">
        <v>5510</v>
      </c>
      <c r="GMS22" t="s">
        <v>5511</v>
      </c>
      <c r="GMT22" t="s">
        <v>5512</v>
      </c>
      <c r="GMU22" t="s">
        <v>5513</v>
      </c>
      <c r="GMV22" t="s">
        <v>5514</v>
      </c>
      <c r="GMW22" t="s">
        <v>5515</v>
      </c>
      <c r="GMX22" t="s">
        <v>5516</v>
      </c>
      <c r="GMY22" t="s">
        <v>5517</v>
      </c>
      <c r="GMZ22" t="s">
        <v>5518</v>
      </c>
      <c r="GNA22" t="s">
        <v>5519</v>
      </c>
      <c r="GNB22" t="s">
        <v>5520</v>
      </c>
      <c r="GNC22" t="s">
        <v>5521</v>
      </c>
      <c r="GND22" t="s">
        <v>5522</v>
      </c>
      <c r="GNE22" t="s">
        <v>5523</v>
      </c>
      <c r="GNF22" t="s">
        <v>5524</v>
      </c>
      <c r="GNG22" t="s">
        <v>5525</v>
      </c>
      <c r="GNH22" t="s">
        <v>5526</v>
      </c>
      <c r="GNI22" t="s">
        <v>5527</v>
      </c>
      <c r="GNJ22" t="s">
        <v>5528</v>
      </c>
      <c r="GNK22" t="s">
        <v>5529</v>
      </c>
      <c r="GNL22" t="s">
        <v>5530</v>
      </c>
      <c r="GNM22" t="s">
        <v>5531</v>
      </c>
      <c r="GNN22" t="s">
        <v>5532</v>
      </c>
      <c r="GNO22" t="s">
        <v>5533</v>
      </c>
      <c r="GNP22" t="s">
        <v>5534</v>
      </c>
      <c r="GNQ22" t="s">
        <v>5535</v>
      </c>
      <c r="GNR22" t="s">
        <v>5536</v>
      </c>
      <c r="GNS22" t="s">
        <v>5537</v>
      </c>
      <c r="GNT22" t="s">
        <v>5538</v>
      </c>
      <c r="GNU22" t="s">
        <v>5539</v>
      </c>
      <c r="GNV22" t="s">
        <v>5540</v>
      </c>
      <c r="GNW22" t="s">
        <v>5541</v>
      </c>
      <c r="GNX22" t="s">
        <v>5542</v>
      </c>
      <c r="GNY22" t="s">
        <v>5543</v>
      </c>
      <c r="GNZ22" t="s">
        <v>5544</v>
      </c>
      <c r="GOA22" t="s">
        <v>5545</v>
      </c>
      <c r="GOB22" t="s">
        <v>5546</v>
      </c>
      <c r="GOC22" t="s">
        <v>5547</v>
      </c>
      <c r="GOD22" t="s">
        <v>5548</v>
      </c>
      <c r="GOE22" t="s">
        <v>5549</v>
      </c>
      <c r="GOF22" t="s">
        <v>5550</v>
      </c>
      <c r="GOG22" t="s">
        <v>5551</v>
      </c>
      <c r="GOH22" t="s">
        <v>5552</v>
      </c>
      <c r="GOI22" t="s">
        <v>5553</v>
      </c>
      <c r="GOJ22" t="s">
        <v>5554</v>
      </c>
      <c r="GOK22" t="s">
        <v>5555</v>
      </c>
      <c r="GOL22" t="s">
        <v>5556</v>
      </c>
      <c r="GOM22" t="s">
        <v>5557</v>
      </c>
      <c r="GON22" t="s">
        <v>5558</v>
      </c>
      <c r="GOO22" t="s">
        <v>5559</v>
      </c>
      <c r="GOP22" t="s">
        <v>5560</v>
      </c>
      <c r="GOQ22" t="s">
        <v>5561</v>
      </c>
      <c r="GOR22" t="s">
        <v>5562</v>
      </c>
      <c r="GOS22" t="s">
        <v>5563</v>
      </c>
      <c r="GOT22" t="s">
        <v>5564</v>
      </c>
      <c r="GOU22" t="s">
        <v>5565</v>
      </c>
      <c r="GOV22" t="s">
        <v>5566</v>
      </c>
      <c r="GOW22" t="s">
        <v>5567</v>
      </c>
      <c r="GOX22" t="s">
        <v>5568</v>
      </c>
      <c r="GOY22" t="s">
        <v>5569</v>
      </c>
      <c r="GOZ22" t="s">
        <v>5570</v>
      </c>
      <c r="GPA22" t="s">
        <v>5571</v>
      </c>
      <c r="GPB22" t="s">
        <v>5572</v>
      </c>
      <c r="GPC22" t="s">
        <v>5573</v>
      </c>
      <c r="GPD22" t="s">
        <v>5574</v>
      </c>
      <c r="GPE22" t="s">
        <v>5575</v>
      </c>
      <c r="GPF22" t="s">
        <v>5576</v>
      </c>
      <c r="GPG22" t="s">
        <v>5577</v>
      </c>
      <c r="GPH22" t="s">
        <v>5578</v>
      </c>
      <c r="GPI22" t="s">
        <v>5579</v>
      </c>
      <c r="GPJ22" t="s">
        <v>5580</v>
      </c>
      <c r="GPK22" t="s">
        <v>5581</v>
      </c>
      <c r="GPL22" t="s">
        <v>5582</v>
      </c>
      <c r="GPM22" t="s">
        <v>5583</v>
      </c>
      <c r="GPN22" t="s">
        <v>5584</v>
      </c>
      <c r="GPO22" t="s">
        <v>5585</v>
      </c>
      <c r="GPP22" t="s">
        <v>5586</v>
      </c>
      <c r="GPQ22" t="s">
        <v>5587</v>
      </c>
      <c r="GPR22" t="s">
        <v>5588</v>
      </c>
      <c r="GPS22" t="s">
        <v>5589</v>
      </c>
      <c r="GPT22" t="s">
        <v>5590</v>
      </c>
      <c r="GPU22" t="s">
        <v>5591</v>
      </c>
      <c r="GPV22" t="s">
        <v>5592</v>
      </c>
      <c r="GPW22" t="s">
        <v>5593</v>
      </c>
      <c r="GPX22" t="s">
        <v>5594</v>
      </c>
      <c r="GPY22" t="s">
        <v>5595</v>
      </c>
      <c r="GPZ22" t="s">
        <v>5596</v>
      </c>
      <c r="GQA22" t="s">
        <v>5597</v>
      </c>
      <c r="GQB22" t="s">
        <v>5598</v>
      </c>
      <c r="GQC22" t="s">
        <v>5599</v>
      </c>
      <c r="GQD22" t="s">
        <v>5600</v>
      </c>
      <c r="GQE22" t="s">
        <v>5601</v>
      </c>
      <c r="GQF22" t="s">
        <v>5602</v>
      </c>
      <c r="GQG22" t="s">
        <v>5603</v>
      </c>
      <c r="GQH22" t="s">
        <v>5604</v>
      </c>
      <c r="GQI22" t="s">
        <v>5605</v>
      </c>
      <c r="GQJ22" t="s">
        <v>5606</v>
      </c>
      <c r="GQK22" t="s">
        <v>5607</v>
      </c>
      <c r="GQL22" t="s">
        <v>5608</v>
      </c>
      <c r="GQM22" t="s">
        <v>5609</v>
      </c>
      <c r="GQN22" t="s">
        <v>5610</v>
      </c>
      <c r="GQO22" t="s">
        <v>5611</v>
      </c>
      <c r="GQP22" t="s">
        <v>5612</v>
      </c>
      <c r="GQQ22" t="s">
        <v>5613</v>
      </c>
      <c r="GQR22" t="s">
        <v>5614</v>
      </c>
      <c r="GQS22" t="s">
        <v>5615</v>
      </c>
      <c r="GQT22" t="s">
        <v>5616</v>
      </c>
      <c r="GQU22" t="s">
        <v>5617</v>
      </c>
      <c r="GQV22" t="s">
        <v>5618</v>
      </c>
      <c r="GQW22" t="s">
        <v>5619</v>
      </c>
      <c r="GQX22" t="s">
        <v>5620</v>
      </c>
      <c r="GQY22" t="s">
        <v>5621</v>
      </c>
      <c r="GQZ22" t="s">
        <v>5622</v>
      </c>
      <c r="GRA22" t="s">
        <v>5623</v>
      </c>
      <c r="GRB22" t="s">
        <v>5624</v>
      </c>
      <c r="GRC22" t="s">
        <v>5625</v>
      </c>
      <c r="GRD22" t="s">
        <v>5626</v>
      </c>
      <c r="GRE22" t="s">
        <v>5627</v>
      </c>
      <c r="GRF22" t="s">
        <v>5628</v>
      </c>
      <c r="GRG22" t="s">
        <v>5629</v>
      </c>
      <c r="GRH22" t="s">
        <v>5630</v>
      </c>
      <c r="GRI22" t="s">
        <v>5631</v>
      </c>
      <c r="GRJ22" t="s">
        <v>5632</v>
      </c>
      <c r="GRK22" t="s">
        <v>5633</v>
      </c>
      <c r="GRL22" t="s">
        <v>5634</v>
      </c>
      <c r="GRM22" t="s">
        <v>5635</v>
      </c>
      <c r="GRN22" t="s">
        <v>5636</v>
      </c>
      <c r="GRO22" t="s">
        <v>5637</v>
      </c>
      <c r="GRP22" t="s">
        <v>5638</v>
      </c>
      <c r="GRQ22" t="s">
        <v>5639</v>
      </c>
      <c r="GRR22" t="s">
        <v>5640</v>
      </c>
      <c r="GRS22" t="s">
        <v>5641</v>
      </c>
      <c r="GRT22" t="s">
        <v>5642</v>
      </c>
      <c r="GRU22" t="s">
        <v>5643</v>
      </c>
      <c r="GRV22" t="s">
        <v>5644</v>
      </c>
      <c r="GRW22" t="s">
        <v>5645</v>
      </c>
      <c r="GRX22" t="s">
        <v>5646</v>
      </c>
      <c r="GRY22" t="s">
        <v>5647</v>
      </c>
      <c r="GRZ22" t="s">
        <v>5648</v>
      </c>
      <c r="GSA22" t="s">
        <v>5649</v>
      </c>
      <c r="GSB22" t="s">
        <v>5650</v>
      </c>
      <c r="GSC22" t="s">
        <v>5651</v>
      </c>
      <c r="GSD22" t="s">
        <v>5652</v>
      </c>
      <c r="GSE22" t="s">
        <v>5653</v>
      </c>
      <c r="GSF22" t="s">
        <v>5654</v>
      </c>
      <c r="GSG22" t="s">
        <v>5655</v>
      </c>
      <c r="GSH22" t="s">
        <v>5656</v>
      </c>
      <c r="GSI22" t="s">
        <v>5657</v>
      </c>
      <c r="GSJ22" t="s">
        <v>5658</v>
      </c>
      <c r="GSK22" t="s">
        <v>5659</v>
      </c>
      <c r="GSL22" t="s">
        <v>5660</v>
      </c>
      <c r="GSM22" t="s">
        <v>5661</v>
      </c>
      <c r="GSN22" t="s">
        <v>5662</v>
      </c>
      <c r="GSO22" t="s">
        <v>5663</v>
      </c>
      <c r="GSP22" t="s">
        <v>5664</v>
      </c>
      <c r="GSQ22" t="s">
        <v>5665</v>
      </c>
      <c r="GSR22" t="s">
        <v>5666</v>
      </c>
      <c r="GSS22" t="s">
        <v>5667</v>
      </c>
      <c r="GST22" t="s">
        <v>5668</v>
      </c>
      <c r="GSU22" t="s">
        <v>5669</v>
      </c>
      <c r="GSV22" t="s">
        <v>5670</v>
      </c>
      <c r="GSW22" t="s">
        <v>5671</v>
      </c>
      <c r="GSX22" t="s">
        <v>5672</v>
      </c>
      <c r="GSY22" t="s">
        <v>5673</v>
      </c>
      <c r="GSZ22" t="s">
        <v>5674</v>
      </c>
      <c r="GTA22" t="s">
        <v>5675</v>
      </c>
      <c r="GTB22" t="s">
        <v>5676</v>
      </c>
      <c r="GTC22" t="s">
        <v>5677</v>
      </c>
      <c r="GTD22" t="s">
        <v>5678</v>
      </c>
      <c r="GTE22" t="s">
        <v>5679</v>
      </c>
      <c r="GTF22" t="s">
        <v>5680</v>
      </c>
      <c r="GTG22" t="s">
        <v>5681</v>
      </c>
      <c r="GTH22" t="s">
        <v>5682</v>
      </c>
      <c r="GTI22" t="s">
        <v>5683</v>
      </c>
      <c r="GTJ22" t="s">
        <v>5684</v>
      </c>
      <c r="GTK22" t="s">
        <v>5685</v>
      </c>
      <c r="GTL22" t="s">
        <v>5686</v>
      </c>
      <c r="GTM22" t="s">
        <v>5687</v>
      </c>
      <c r="GTN22" t="s">
        <v>5688</v>
      </c>
      <c r="GTO22" t="s">
        <v>5689</v>
      </c>
      <c r="GTP22" t="s">
        <v>5690</v>
      </c>
      <c r="GTQ22" t="s">
        <v>5691</v>
      </c>
      <c r="GTR22" t="s">
        <v>5692</v>
      </c>
      <c r="GTS22" t="s">
        <v>5693</v>
      </c>
      <c r="GTT22" t="s">
        <v>5694</v>
      </c>
      <c r="GTU22" t="s">
        <v>5695</v>
      </c>
      <c r="GTV22" t="s">
        <v>5696</v>
      </c>
      <c r="GTW22" t="s">
        <v>5697</v>
      </c>
      <c r="GTX22" t="s">
        <v>5698</v>
      </c>
      <c r="GTY22" t="s">
        <v>5699</v>
      </c>
      <c r="GTZ22" t="s">
        <v>5700</v>
      </c>
      <c r="GUA22" t="s">
        <v>5701</v>
      </c>
      <c r="GUB22" t="s">
        <v>5702</v>
      </c>
      <c r="GUC22" t="s">
        <v>5703</v>
      </c>
      <c r="GUD22" t="s">
        <v>5704</v>
      </c>
      <c r="GUE22" t="s">
        <v>5705</v>
      </c>
      <c r="GUF22" t="s">
        <v>5706</v>
      </c>
      <c r="GUG22" t="s">
        <v>5707</v>
      </c>
      <c r="GUH22" t="s">
        <v>5708</v>
      </c>
      <c r="GUI22" t="s">
        <v>5709</v>
      </c>
      <c r="GUJ22" t="s">
        <v>5710</v>
      </c>
      <c r="GUK22" t="s">
        <v>5711</v>
      </c>
      <c r="GUL22" t="s">
        <v>5712</v>
      </c>
      <c r="GUM22" t="s">
        <v>5713</v>
      </c>
      <c r="GUN22" t="s">
        <v>5714</v>
      </c>
      <c r="GUO22" t="s">
        <v>5715</v>
      </c>
      <c r="GUP22" t="s">
        <v>5716</v>
      </c>
      <c r="GUQ22" t="s">
        <v>5717</v>
      </c>
      <c r="GUR22" t="s">
        <v>5718</v>
      </c>
      <c r="GUS22" t="s">
        <v>5719</v>
      </c>
      <c r="GUT22" t="s">
        <v>5720</v>
      </c>
      <c r="GUU22" t="s">
        <v>5721</v>
      </c>
      <c r="GUV22" t="s">
        <v>5722</v>
      </c>
      <c r="GUW22" t="s">
        <v>5723</v>
      </c>
      <c r="GUX22" t="s">
        <v>5724</v>
      </c>
      <c r="GUY22" t="s">
        <v>5725</v>
      </c>
      <c r="GUZ22" t="s">
        <v>5726</v>
      </c>
      <c r="GVA22" t="s">
        <v>5727</v>
      </c>
      <c r="GVB22" t="s">
        <v>5728</v>
      </c>
      <c r="GVC22" t="s">
        <v>5729</v>
      </c>
      <c r="GVD22" t="s">
        <v>5730</v>
      </c>
      <c r="GVE22" t="s">
        <v>5731</v>
      </c>
      <c r="GVF22" t="s">
        <v>5732</v>
      </c>
      <c r="GVG22" t="s">
        <v>5733</v>
      </c>
      <c r="GVH22" t="s">
        <v>5734</v>
      </c>
      <c r="GVI22" t="s">
        <v>5735</v>
      </c>
      <c r="GVJ22" t="s">
        <v>5736</v>
      </c>
      <c r="GVK22" t="s">
        <v>5737</v>
      </c>
      <c r="GVL22" t="s">
        <v>5738</v>
      </c>
      <c r="GVM22" t="s">
        <v>5739</v>
      </c>
      <c r="GVN22" t="s">
        <v>5740</v>
      </c>
      <c r="GVO22" t="s">
        <v>5741</v>
      </c>
      <c r="GVP22" t="s">
        <v>5742</v>
      </c>
      <c r="GVQ22" t="s">
        <v>5743</v>
      </c>
      <c r="GVR22" t="s">
        <v>5744</v>
      </c>
      <c r="GVS22" t="s">
        <v>5745</v>
      </c>
      <c r="GVT22" t="s">
        <v>5746</v>
      </c>
      <c r="GVU22" t="s">
        <v>5747</v>
      </c>
      <c r="GVV22" t="s">
        <v>5748</v>
      </c>
      <c r="GVW22" t="s">
        <v>5749</v>
      </c>
      <c r="GVX22" t="s">
        <v>5750</v>
      </c>
      <c r="GVY22" t="s">
        <v>5751</v>
      </c>
      <c r="GVZ22" t="s">
        <v>5752</v>
      </c>
      <c r="GWA22" t="s">
        <v>5753</v>
      </c>
      <c r="GWB22" t="s">
        <v>5754</v>
      </c>
      <c r="GWC22" t="s">
        <v>5755</v>
      </c>
      <c r="GWD22" t="s">
        <v>5756</v>
      </c>
      <c r="GWE22" t="s">
        <v>5757</v>
      </c>
      <c r="GWF22" t="s">
        <v>5758</v>
      </c>
      <c r="GWG22" t="s">
        <v>5759</v>
      </c>
      <c r="GWH22" t="s">
        <v>5760</v>
      </c>
      <c r="GWI22" t="s">
        <v>5761</v>
      </c>
      <c r="GWJ22" t="s">
        <v>5762</v>
      </c>
      <c r="GWK22" t="s">
        <v>5763</v>
      </c>
      <c r="GWL22" t="s">
        <v>5764</v>
      </c>
      <c r="GWM22" t="s">
        <v>5765</v>
      </c>
      <c r="GWN22" t="s">
        <v>5766</v>
      </c>
      <c r="GWO22" t="s">
        <v>5767</v>
      </c>
      <c r="GWP22" t="s">
        <v>5768</v>
      </c>
      <c r="GWQ22" t="s">
        <v>5769</v>
      </c>
      <c r="GWR22" t="s">
        <v>5770</v>
      </c>
      <c r="GWS22" t="s">
        <v>5771</v>
      </c>
      <c r="GWT22" t="s">
        <v>5772</v>
      </c>
      <c r="GWU22" t="s">
        <v>5773</v>
      </c>
      <c r="GWV22" t="s">
        <v>5774</v>
      </c>
      <c r="GWW22" t="s">
        <v>5775</v>
      </c>
      <c r="GWX22" t="s">
        <v>5776</v>
      </c>
      <c r="GWY22" t="s">
        <v>5777</v>
      </c>
      <c r="GWZ22" t="s">
        <v>5778</v>
      </c>
      <c r="GXA22" t="s">
        <v>5779</v>
      </c>
      <c r="GXB22" t="s">
        <v>5780</v>
      </c>
      <c r="GXC22" t="s">
        <v>5781</v>
      </c>
      <c r="GXD22" t="s">
        <v>5782</v>
      </c>
      <c r="GXE22" t="s">
        <v>5783</v>
      </c>
      <c r="GXF22" t="s">
        <v>5784</v>
      </c>
      <c r="GXG22" t="s">
        <v>5785</v>
      </c>
      <c r="GXH22" t="s">
        <v>5786</v>
      </c>
      <c r="GXI22" t="s">
        <v>5787</v>
      </c>
      <c r="GXJ22" t="s">
        <v>5788</v>
      </c>
      <c r="GXK22" t="s">
        <v>5789</v>
      </c>
      <c r="GXL22" t="s">
        <v>5790</v>
      </c>
      <c r="GXM22" t="s">
        <v>5791</v>
      </c>
      <c r="GXN22" t="s">
        <v>5792</v>
      </c>
      <c r="GXO22" t="s">
        <v>5793</v>
      </c>
      <c r="GXP22" t="s">
        <v>5794</v>
      </c>
      <c r="GXQ22" t="s">
        <v>5795</v>
      </c>
      <c r="GXR22" t="s">
        <v>5796</v>
      </c>
      <c r="GXS22" t="s">
        <v>5797</v>
      </c>
      <c r="GXT22" t="s">
        <v>5798</v>
      </c>
      <c r="GXU22" t="s">
        <v>5799</v>
      </c>
      <c r="GXV22" t="s">
        <v>5800</v>
      </c>
      <c r="GXW22" t="s">
        <v>5801</v>
      </c>
      <c r="GXX22" t="s">
        <v>5802</v>
      </c>
      <c r="GXY22" t="s">
        <v>5803</v>
      </c>
      <c r="GXZ22" t="s">
        <v>5804</v>
      </c>
      <c r="GYA22" t="s">
        <v>5805</v>
      </c>
      <c r="GYB22" t="s">
        <v>5806</v>
      </c>
      <c r="GYC22" t="s">
        <v>5807</v>
      </c>
      <c r="GYD22" t="s">
        <v>5808</v>
      </c>
      <c r="GYE22" t="s">
        <v>5809</v>
      </c>
      <c r="GYF22" t="s">
        <v>5810</v>
      </c>
      <c r="GYG22" t="s">
        <v>5811</v>
      </c>
      <c r="GYH22" t="s">
        <v>5812</v>
      </c>
      <c r="GYI22" t="s">
        <v>5813</v>
      </c>
      <c r="GYJ22" t="s">
        <v>5814</v>
      </c>
      <c r="GYK22" t="s">
        <v>5815</v>
      </c>
      <c r="GYL22" t="s">
        <v>5816</v>
      </c>
      <c r="GYM22" t="s">
        <v>5817</v>
      </c>
      <c r="GYN22" t="s">
        <v>5818</v>
      </c>
      <c r="GYO22" t="s">
        <v>5819</v>
      </c>
      <c r="GYP22" t="s">
        <v>5820</v>
      </c>
      <c r="GYQ22" t="s">
        <v>5821</v>
      </c>
      <c r="GYR22" t="s">
        <v>5822</v>
      </c>
      <c r="GYS22" t="s">
        <v>5823</v>
      </c>
      <c r="GYT22" t="s">
        <v>5824</v>
      </c>
      <c r="GYU22" t="s">
        <v>5825</v>
      </c>
      <c r="GYV22" t="s">
        <v>5826</v>
      </c>
      <c r="GYW22" t="s">
        <v>5827</v>
      </c>
      <c r="GYX22" t="s">
        <v>5828</v>
      </c>
      <c r="GYY22" t="s">
        <v>5829</v>
      </c>
      <c r="GYZ22" t="s">
        <v>5830</v>
      </c>
      <c r="GZA22" t="s">
        <v>5831</v>
      </c>
      <c r="GZB22" t="s">
        <v>5832</v>
      </c>
      <c r="GZC22" t="s">
        <v>5833</v>
      </c>
      <c r="GZD22" t="s">
        <v>5834</v>
      </c>
      <c r="GZE22" t="s">
        <v>5835</v>
      </c>
      <c r="GZF22" t="s">
        <v>5836</v>
      </c>
      <c r="GZG22" t="s">
        <v>5837</v>
      </c>
      <c r="GZH22" t="s">
        <v>5838</v>
      </c>
      <c r="GZI22" t="s">
        <v>5839</v>
      </c>
      <c r="GZJ22" t="s">
        <v>5840</v>
      </c>
      <c r="GZK22" t="s">
        <v>5841</v>
      </c>
      <c r="GZL22" t="s">
        <v>5842</v>
      </c>
      <c r="GZM22" t="s">
        <v>5843</v>
      </c>
      <c r="GZN22" t="s">
        <v>5844</v>
      </c>
      <c r="GZO22" t="s">
        <v>5845</v>
      </c>
      <c r="GZP22" t="s">
        <v>5846</v>
      </c>
      <c r="GZQ22" t="s">
        <v>5847</v>
      </c>
      <c r="GZR22" t="s">
        <v>5848</v>
      </c>
      <c r="GZS22" t="s">
        <v>5849</v>
      </c>
      <c r="GZT22" t="s">
        <v>5850</v>
      </c>
      <c r="GZU22" t="s">
        <v>5851</v>
      </c>
      <c r="GZV22" t="s">
        <v>5852</v>
      </c>
      <c r="GZW22" t="s">
        <v>5853</v>
      </c>
      <c r="GZX22" t="s">
        <v>5854</v>
      </c>
      <c r="GZY22" t="s">
        <v>5855</v>
      </c>
      <c r="GZZ22" t="s">
        <v>5856</v>
      </c>
      <c r="HAA22" t="s">
        <v>5857</v>
      </c>
      <c r="HAB22" t="s">
        <v>5858</v>
      </c>
      <c r="HAC22" t="s">
        <v>5859</v>
      </c>
      <c r="HAD22" t="s">
        <v>5860</v>
      </c>
      <c r="HAE22" t="s">
        <v>5861</v>
      </c>
      <c r="HAF22" t="s">
        <v>5862</v>
      </c>
      <c r="HAG22" t="s">
        <v>5863</v>
      </c>
      <c r="HAH22" t="s">
        <v>5864</v>
      </c>
      <c r="HAI22" t="s">
        <v>5865</v>
      </c>
      <c r="HAJ22" t="s">
        <v>5866</v>
      </c>
      <c r="HAK22" t="s">
        <v>5867</v>
      </c>
      <c r="HAL22" t="s">
        <v>5868</v>
      </c>
      <c r="HAM22" t="s">
        <v>5869</v>
      </c>
      <c r="HAN22" t="s">
        <v>5870</v>
      </c>
      <c r="HAO22" t="s">
        <v>5871</v>
      </c>
      <c r="HAP22" t="s">
        <v>5872</v>
      </c>
      <c r="HAQ22" t="s">
        <v>5873</v>
      </c>
      <c r="HAR22" t="s">
        <v>5874</v>
      </c>
      <c r="HAS22" t="s">
        <v>5875</v>
      </c>
      <c r="HAT22" t="s">
        <v>5876</v>
      </c>
      <c r="HAU22" t="s">
        <v>5877</v>
      </c>
      <c r="HAV22" t="s">
        <v>5878</v>
      </c>
      <c r="HAW22" t="s">
        <v>5879</v>
      </c>
      <c r="HAX22" t="s">
        <v>5880</v>
      </c>
      <c r="HAY22" t="s">
        <v>5881</v>
      </c>
      <c r="HAZ22" t="s">
        <v>5882</v>
      </c>
      <c r="HBA22" t="s">
        <v>5883</v>
      </c>
      <c r="HBB22" t="s">
        <v>5884</v>
      </c>
      <c r="HBC22" t="s">
        <v>5885</v>
      </c>
      <c r="HBD22" t="s">
        <v>5886</v>
      </c>
      <c r="HBE22" t="s">
        <v>5887</v>
      </c>
      <c r="HBF22" t="s">
        <v>5888</v>
      </c>
      <c r="HBG22" t="s">
        <v>5889</v>
      </c>
      <c r="HBH22" t="s">
        <v>5890</v>
      </c>
      <c r="HBI22" t="s">
        <v>5891</v>
      </c>
      <c r="HBJ22" t="s">
        <v>5892</v>
      </c>
      <c r="HBK22" t="s">
        <v>5893</v>
      </c>
      <c r="HBL22" t="s">
        <v>5894</v>
      </c>
      <c r="HBM22" t="s">
        <v>5895</v>
      </c>
      <c r="HBN22" t="s">
        <v>5896</v>
      </c>
      <c r="HBO22" t="s">
        <v>5897</v>
      </c>
      <c r="HBP22" t="s">
        <v>5898</v>
      </c>
      <c r="HBQ22" t="s">
        <v>5899</v>
      </c>
      <c r="HBR22" t="s">
        <v>5900</v>
      </c>
      <c r="HBS22" t="s">
        <v>5901</v>
      </c>
      <c r="HBT22" t="s">
        <v>5902</v>
      </c>
      <c r="HBU22" t="s">
        <v>5903</v>
      </c>
      <c r="HBV22" t="s">
        <v>5904</v>
      </c>
      <c r="HBW22" t="s">
        <v>5905</v>
      </c>
      <c r="HBX22" t="s">
        <v>5906</v>
      </c>
      <c r="HBY22" t="s">
        <v>5907</v>
      </c>
      <c r="HBZ22" t="s">
        <v>5908</v>
      </c>
      <c r="HCA22" t="s">
        <v>5909</v>
      </c>
      <c r="HCB22" t="s">
        <v>5910</v>
      </c>
      <c r="HCC22" t="s">
        <v>5911</v>
      </c>
      <c r="HCD22" t="s">
        <v>5912</v>
      </c>
      <c r="HCE22" t="s">
        <v>5913</v>
      </c>
      <c r="HCF22" t="s">
        <v>5914</v>
      </c>
      <c r="HCG22" t="s">
        <v>5915</v>
      </c>
      <c r="HCH22" t="s">
        <v>5916</v>
      </c>
      <c r="HCI22" t="s">
        <v>5917</v>
      </c>
      <c r="HCJ22" t="s">
        <v>5918</v>
      </c>
      <c r="HCK22" t="s">
        <v>5919</v>
      </c>
      <c r="HCL22" t="s">
        <v>5920</v>
      </c>
      <c r="HCM22" t="s">
        <v>5921</v>
      </c>
      <c r="HCN22" t="s">
        <v>5922</v>
      </c>
      <c r="HCO22" t="s">
        <v>5923</v>
      </c>
      <c r="HCP22" t="s">
        <v>5924</v>
      </c>
      <c r="HCQ22" t="s">
        <v>5925</v>
      </c>
      <c r="HCR22" t="s">
        <v>5926</v>
      </c>
      <c r="HCS22" t="s">
        <v>5927</v>
      </c>
      <c r="HCT22" t="s">
        <v>5928</v>
      </c>
      <c r="HCU22" t="s">
        <v>5929</v>
      </c>
      <c r="HCV22" t="s">
        <v>5930</v>
      </c>
      <c r="HCW22" t="s">
        <v>5931</v>
      </c>
      <c r="HCX22" t="s">
        <v>5932</v>
      </c>
      <c r="HCY22" t="s">
        <v>5933</v>
      </c>
      <c r="HCZ22" t="s">
        <v>5934</v>
      </c>
      <c r="HDA22" t="s">
        <v>5935</v>
      </c>
      <c r="HDB22" t="s">
        <v>5936</v>
      </c>
      <c r="HDC22" t="s">
        <v>5937</v>
      </c>
      <c r="HDD22" t="s">
        <v>5938</v>
      </c>
      <c r="HDE22" t="s">
        <v>5939</v>
      </c>
      <c r="HDF22" t="s">
        <v>5940</v>
      </c>
      <c r="HDG22" t="s">
        <v>5941</v>
      </c>
      <c r="HDH22" t="s">
        <v>5942</v>
      </c>
      <c r="HDI22" t="s">
        <v>5943</v>
      </c>
      <c r="HDJ22" t="s">
        <v>5944</v>
      </c>
      <c r="HDK22" t="s">
        <v>5945</v>
      </c>
      <c r="HDL22" t="s">
        <v>5946</v>
      </c>
      <c r="HDM22" t="s">
        <v>5947</v>
      </c>
      <c r="HDN22" t="s">
        <v>5948</v>
      </c>
      <c r="HDO22" t="s">
        <v>5949</v>
      </c>
      <c r="HDP22" t="s">
        <v>5950</v>
      </c>
      <c r="HDQ22" t="s">
        <v>5951</v>
      </c>
      <c r="HDR22" t="s">
        <v>5952</v>
      </c>
      <c r="HDS22" t="s">
        <v>5953</v>
      </c>
      <c r="HDT22" t="s">
        <v>5954</v>
      </c>
      <c r="HDU22" t="s">
        <v>5955</v>
      </c>
      <c r="HDV22" t="s">
        <v>5956</v>
      </c>
      <c r="HDW22" t="s">
        <v>5957</v>
      </c>
      <c r="HDX22" t="s">
        <v>5958</v>
      </c>
      <c r="HDY22" t="s">
        <v>5959</v>
      </c>
      <c r="HDZ22" t="s">
        <v>5960</v>
      </c>
      <c r="HEA22" t="s">
        <v>5961</v>
      </c>
      <c r="HEB22" t="s">
        <v>5962</v>
      </c>
      <c r="HEC22" t="s">
        <v>5963</v>
      </c>
      <c r="HED22" t="s">
        <v>5964</v>
      </c>
      <c r="HEE22" t="s">
        <v>5965</v>
      </c>
      <c r="HEF22" t="s">
        <v>5966</v>
      </c>
      <c r="HEG22" t="s">
        <v>5967</v>
      </c>
      <c r="HEH22" t="s">
        <v>5968</v>
      </c>
      <c r="HEI22" t="s">
        <v>5969</v>
      </c>
      <c r="HEJ22" t="s">
        <v>5970</v>
      </c>
      <c r="HEK22" t="s">
        <v>5971</v>
      </c>
      <c r="HEL22" t="s">
        <v>5972</v>
      </c>
      <c r="HEM22" t="s">
        <v>5973</v>
      </c>
      <c r="HEN22" t="s">
        <v>5974</v>
      </c>
      <c r="HEO22" t="s">
        <v>5975</v>
      </c>
      <c r="HEP22" t="s">
        <v>5976</v>
      </c>
      <c r="HEQ22" t="s">
        <v>5977</v>
      </c>
      <c r="HER22" t="s">
        <v>5978</v>
      </c>
      <c r="HES22" t="s">
        <v>5979</v>
      </c>
      <c r="HET22" t="s">
        <v>5980</v>
      </c>
      <c r="HEU22" t="s">
        <v>5981</v>
      </c>
      <c r="HEV22" t="s">
        <v>5982</v>
      </c>
      <c r="HEW22" t="s">
        <v>5983</v>
      </c>
      <c r="HEX22" t="s">
        <v>5984</v>
      </c>
      <c r="HEY22" t="s">
        <v>5985</v>
      </c>
      <c r="HEZ22" t="s">
        <v>5986</v>
      </c>
      <c r="HFA22" t="s">
        <v>5987</v>
      </c>
      <c r="HFB22" t="s">
        <v>5988</v>
      </c>
      <c r="HFC22" t="s">
        <v>5989</v>
      </c>
      <c r="HFD22" t="s">
        <v>5990</v>
      </c>
      <c r="HFE22" t="s">
        <v>5991</v>
      </c>
      <c r="HFF22" t="s">
        <v>5992</v>
      </c>
      <c r="HFG22" t="s">
        <v>5993</v>
      </c>
      <c r="HFH22" t="s">
        <v>5994</v>
      </c>
      <c r="HFI22" t="s">
        <v>5995</v>
      </c>
      <c r="HFJ22" t="s">
        <v>5996</v>
      </c>
      <c r="HFK22" t="s">
        <v>5997</v>
      </c>
      <c r="HFL22" t="s">
        <v>5998</v>
      </c>
      <c r="HFM22" t="s">
        <v>5999</v>
      </c>
      <c r="HFN22" t="s">
        <v>6000</v>
      </c>
      <c r="HFO22" t="s">
        <v>6001</v>
      </c>
      <c r="HFP22" t="s">
        <v>6002</v>
      </c>
      <c r="HFQ22" t="s">
        <v>6003</v>
      </c>
      <c r="HFR22" t="s">
        <v>6004</v>
      </c>
      <c r="HFS22" t="s">
        <v>6005</v>
      </c>
      <c r="HFT22" t="s">
        <v>6006</v>
      </c>
      <c r="HFU22" t="s">
        <v>6007</v>
      </c>
      <c r="HFV22" t="s">
        <v>6008</v>
      </c>
      <c r="HFW22" t="s">
        <v>6009</v>
      </c>
      <c r="HFX22" t="s">
        <v>6010</v>
      </c>
      <c r="HFY22" t="s">
        <v>6011</v>
      </c>
      <c r="HFZ22" t="s">
        <v>6012</v>
      </c>
      <c r="HGA22" t="s">
        <v>6013</v>
      </c>
      <c r="HGB22" t="s">
        <v>6014</v>
      </c>
      <c r="HGC22" t="s">
        <v>6015</v>
      </c>
      <c r="HGD22" t="s">
        <v>6016</v>
      </c>
      <c r="HGE22" t="s">
        <v>6017</v>
      </c>
      <c r="HGF22" t="s">
        <v>6018</v>
      </c>
      <c r="HGG22" t="s">
        <v>6019</v>
      </c>
      <c r="HGH22" t="s">
        <v>6020</v>
      </c>
      <c r="HGI22" t="s">
        <v>6021</v>
      </c>
      <c r="HGJ22" t="s">
        <v>6022</v>
      </c>
      <c r="HGK22" t="s">
        <v>6023</v>
      </c>
      <c r="HGL22" t="s">
        <v>6024</v>
      </c>
      <c r="HGM22" t="s">
        <v>6025</v>
      </c>
      <c r="HGN22" t="s">
        <v>6026</v>
      </c>
      <c r="HGO22" t="s">
        <v>6027</v>
      </c>
      <c r="HGP22" t="s">
        <v>6028</v>
      </c>
      <c r="HGQ22" t="s">
        <v>6029</v>
      </c>
      <c r="HGR22" t="s">
        <v>6030</v>
      </c>
      <c r="HGS22" t="s">
        <v>6031</v>
      </c>
      <c r="HGT22" t="s">
        <v>6032</v>
      </c>
      <c r="HGU22" t="s">
        <v>6033</v>
      </c>
      <c r="HGV22" t="s">
        <v>6034</v>
      </c>
      <c r="HGW22" t="s">
        <v>6035</v>
      </c>
      <c r="HGX22" t="s">
        <v>6036</v>
      </c>
      <c r="HGY22" t="s">
        <v>6037</v>
      </c>
      <c r="HGZ22" t="s">
        <v>6038</v>
      </c>
      <c r="HHA22" t="s">
        <v>6039</v>
      </c>
      <c r="HHB22" t="s">
        <v>6040</v>
      </c>
      <c r="HHC22" t="s">
        <v>6041</v>
      </c>
      <c r="HHD22" t="s">
        <v>6042</v>
      </c>
      <c r="HHE22" t="s">
        <v>6043</v>
      </c>
      <c r="HHF22" t="s">
        <v>6044</v>
      </c>
      <c r="HHG22" t="s">
        <v>6045</v>
      </c>
      <c r="HHH22" t="s">
        <v>6046</v>
      </c>
      <c r="HHI22" t="s">
        <v>6047</v>
      </c>
      <c r="HHJ22" t="s">
        <v>6048</v>
      </c>
      <c r="HHK22" t="s">
        <v>6049</v>
      </c>
      <c r="HHL22" t="s">
        <v>6050</v>
      </c>
      <c r="HHM22" t="s">
        <v>6051</v>
      </c>
      <c r="HHN22" t="s">
        <v>6052</v>
      </c>
      <c r="HHO22" t="s">
        <v>6053</v>
      </c>
      <c r="HHP22" t="s">
        <v>6054</v>
      </c>
      <c r="HHQ22" t="s">
        <v>6055</v>
      </c>
      <c r="HHR22" t="s">
        <v>6056</v>
      </c>
      <c r="HHS22" t="s">
        <v>6057</v>
      </c>
      <c r="HHT22" t="s">
        <v>6058</v>
      </c>
      <c r="HHU22" t="s">
        <v>6059</v>
      </c>
      <c r="HHV22" t="s">
        <v>6060</v>
      </c>
      <c r="HHW22" t="s">
        <v>6061</v>
      </c>
      <c r="HHX22" t="s">
        <v>6062</v>
      </c>
      <c r="HHY22" t="s">
        <v>6063</v>
      </c>
      <c r="HHZ22" t="s">
        <v>6064</v>
      </c>
      <c r="HIA22" t="s">
        <v>6065</v>
      </c>
      <c r="HIB22" t="s">
        <v>6066</v>
      </c>
      <c r="HIC22" t="s">
        <v>6067</v>
      </c>
      <c r="HID22" t="s">
        <v>6068</v>
      </c>
      <c r="HIE22" t="s">
        <v>6069</v>
      </c>
      <c r="HIF22" t="s">
        <v>6070</v>
      </c>
      <c r="HIG22" t="s">
        <v>6071</v>
      </c>
      <c r="HIH22" t="s">
        <v>6072</v>
      </c>
      <c r="HII22" t="s">
        <v>6073</v>
      </c>
      <c r="HIJ22" t="s">
        <v>6074</v>
      </c>
      <c r="HIK22" t="s">
        <v>6075</v>
      </c>
      <c r="HIL22" t="s">
        <v>6076</v>
      </c>
      <c r="HIM22" t="s">
        <v>6077</v>
      </c>
      <c r="HIN22" t="s">
        <v>6078</v>
      </c>
      <c r="HIO22" t="s">
        <v>6079</v>
      </c>
      <c r="HIP22" t="s">
        <v>6080</v>
      </c>
      <c r="HIQ22" t="s">
        <v>6081</v>
      </c>
      <c r="HIR22" t="s">
        <v>6082</v>
      </c>
      <c r="HIS22" t="s">
        <v>6083</v>
      </c>
      <c r="HIT22" t="s">
        <v>6084</v>
      </c>
      <c r="HIU22" t="s">
        <v>6085</v>
      </c>
      <c r="HIV22" t="s">
        <v>6086</v>
      </c>
      <c r="HIW22" t="s">
        <v>6087</v>
      </c>
      <c r="HIX22" t="s">
        <v>6088</v>
      </c>
      <c r="HIY22" t="s">
        <v>6089</v>
      </c>
      <c r="HIZ22" t="s">
        <v>6090</v>
      </c>
      <c r="HJA22" t="s">
        <v>6091</v>
      </c>
      <c r="HJB22" t="s">
        <v>6092</v>
      </c>
      <c r="HJC22" t="s">
        <v>6093</v>
      </c>
      <c r="HJD22" t="s">
        <v>6094</v>
      </c>
      <c r="HJE22" t="s">
        <v>6095</v>
      </c>
      <c r="HJF22" t="s">
        <v>6096</v>
      </c>
      <c r="HJG22" t="s">
        <v>6097</v>
      </c>
      <c r="HJH22" t="s">
        <v>6098</v>
      </c>
      <c r="HJI22" t="s">
        <v>6099</v>
      </c>
      <c r="HJJ22" t="s">
        <v>6100</v>
      </c>
      <c r="HJK22" t="s">
        <v>6101</v>
      </c>
      <c r="HJL22" t="s">
        <v>6102</v>
      </c>
      <c r="HJM22" t="s">
        <v>6103</v>
      </c>
      <c r="HJN22" t="s">
        <v>6104</v>
      </c>
      <c r="HJO22" t="s">
        <v>6105</v>
      </c>
      <c r="HJP22" t="s">
        <v>6106</v>
      </c>
      <c r="HJQ22" t="s">
        <v>6107</v>
      </c>
      <c r="HJR22" t="s">
        <v>6108</v>
      </c>
      <c r="HJS22" t="s">
        <v>6109</v>
      </c>
      <c r="HJT22" t="s">
        <v>6110</v>
      </c>
      <c r="HJU22" t="s">
        <v>6111</v>
      </c>
      <c r="HJV22" t="s">
        <v>6112</v>
      </c>
      <c r="HJW22" t="s">
        <v>6113</v>
      </c>
      <c r="HJX22" t="s">
        <v>6114</v>
      </c>
      <c r="HJY22" t="s">
        <v>6115</v>
      </c>
      <c r="HJZ22" t="s">
        <v>6116</v>
      </c>
      <c r="HKA22" t="s">
        <v>6117</v>
      </c>
      <c r="HKB22" t="s">
        <v>6118</v>
      </c>
      <c r="HKC22" t="s">
        <v>6119</v>
      </c>
      <c r="HKD22" t="s">
        <v>6120</v>
      </c>
      <c r="HKE22" t="s">
        <v>6121</v>
      </c>
      <c r="HKF22" t="s">
        <v>6122</v>
      </c>
      <c r="HKG22" t="s">
        <v>6123</v>
      </c>
      <c r="HKH22" t="s">
        <v>6124</v>
      </c>
      <c r="HKI22" t="s">
        <v>6125</v>
      </c>
      <c r="HKJ22" t="s">
        <v>6126</v>
      </c>
      <c r="HKK22" t="s">
        <v>6127</v>
      </c>
      <c r="HKL22" t="s">
        <v>6128</v>
      </c>
      <c r="HKM22" t="s">
        <v>6129</v>
      </c>
      <c r="HKN22" t="s">
        <v>6130</v>
      </c>
      <c r="HKO22" t="s">
        <v>6131</v>
      </c>
      <c r="HKP22" t="s">
        <v>6132</v>
      </c>
      <c r="HKQ22" t="s">
        <v>6133</v>
      </c>
      <c r="HKR22" t="s">
        <v>6134</v>
      </c>
      <c r="HKS22" t="s">
        <v>6135</v>
      </c>
      <c r="HKT22" t="s">
        <v>6136</v>
      </c>
      <c r="HKU22" t="s">
        <v>6137</v>
      </c>
      <c r="HKV22" t="s">
        <v>6138</v>
      </c>
      <c r="HKW22" t="s">
        <v>6139</v>
      </c>
      <c r="HKX22" t="s">
        <v>6140</v>
      </c>
      <c r="HKY22" t="s">
        <v>6141</v>
      </c>
      <c r="HKZ22" t="s">
        <v>6142</v>
      </c>
      <c r="HLA22" t="s">
        <v>6143</v>
      </c>
      <c r="HLB22" t="s">
        <v>6144</v>
      </c>
      <c r="HLC22" t="s">
        <v>6145</v>
      </c>
      <c r="HLD22" t="s">
        <v>6146</v>
      </c>
      <c r="HLE22" t="s">
        <v>6147</v>
      </c>
      <c r="HLF22" t="s">
        <v>6148</v>
      </c>
      <c r="HLG22" t="s">
        <v>6149</v>
      </c>
      <c r="HLH22" t="s">
        <v>6150</v>
      </c>
      <c r="HLI22" t="s">
        <v>6151</v>
      </c>
      <c r="HLJ22" t="s">
        <v>6152</v>
      </c>
      <c r="HLK22" t="s">
        <v>6153</v>
      </c>
      <c r="HLL22" t="s">
        <v>6154</v>
      </c>
      <c r="HLM22" t="s">
        <v>6155</v>
      </c>
      <c r="HLN22" t="s">
        <v>6156</v>
      </c>
      <c r="HLO22" t="s">
        <v>6157</v>
      </c>
      <c r="HLP22" t="s">
        <v>6158</v>
      </c>
      <c r="HLQ22" t="s">
        <v>6159</v>
      </c>
      <c r="HLR22" t="s">
        <v>6160</v>
      </c>
      <c r="HLS22" t="s">
        <v>6161</v>
      </c>
      <c r="HLT22" t="s">
        <v>6162</v>
      </c>
      <c r="HLU22" t="s">
        <v>6163</v>
      </c>
      <c r="HLV22" t="s">
        <v>6164</v>
      </c>
      <c r="HLW22" t="s">
        <v>6165</v>
      </c>
      <c r="HLX22" t="s">
        <v>6166</v>
      </c>
      <c r="HLY22" t="s">
        <v>6167</v>
      </c>
      <c r="HLZ22" t="s">
        <v>6168</v>
      </c>
      <c r="HMA22" t="s">
        <v>6169</v>
      </c>
      <c r="HMB22" t="s">
        <v>6170</v>
      </c>
      <c r="HMC22" t="s">
        <v>6171</v>
      </c>
      <c r="HMD22" t="s">
        <v>6172</v>
      </c>
      <c r="HME22" t="s">
        <v>6173</v>
      </c>
      <c r="HMF22" t="s">
        <v>6174</v>
      </c>
      <c r="HMG22" t="s">
        <v>6175</v>
      </c>
      <c r="HMH22" t="s">
        <v>6176</v>
      </c>
      <c r="HMI22" t="s">
        <v>6177</v>
      </c>
      <c r="HMJ22" t="s">
        <v>6178</v>
      </c>
      <c r="HMK22" t="s">
        <v>6179</v>
      </c>
      <c r="HML22" t="s">
        <v>6180</v>
      </c>
      <c r="HMM22" t="s">
        <v>6181</v>
      </c>
      <c r="HMN22" t="s">
        <v>6182</v>
      </c>
      <c r="HMO22" t="s">
        <v>6183</v>
      </c>
      <c r="HMP22" t="s">
        <v>6184</v>
      </c>
      <c r="HMQ22" t="s">
        <v>6185</v>
      </c>
      <c r="HMR22" t="s">
        <v>6186</v>
      </c>
      <c r="HMS22" t="s">
        <v>6187</v>
      </c>
      <c r="HMT22" t="s">
        <v>6188</v>
      </c>
      <c r="HMU22" t="s">
        <v>6189</v>
      </c>
      <c r="HMV22" t="s">
        <v>6190</v>
      </c>
      <c r="HMW22" t="s">
        <v>6191</v>
      </c>
      <c r="HMX22" t="s">
        <v>6192</v>
      </c>
      <c r="HMY22" t="s">
        <v>6193</v>
      </c>
      <c r="HMZ22" t="s">
        <v>6194</v>
      </c>
      <c r="HNA22" t="s">
        <v>6195</v>
      </c>
      <c r="HNB22" t="s">
        <v>6196</v>
      </c>
      <c r="HNC22" t="s">
        <v>6197</v>
      </c>
      <c r="HND22" t="s">
        <v>6198</v>
      </c>
      <c r="HNE22" t="s">
        <v>6199</v>
      </c>
      <c r="HNF22" t="s">
        <v>6200</v>
      </c>
      <c r="HNG22" t="s">
        <v>6201</v>
      </c>
      <c r="HNH22" t="s">
        <v>6202</v>
      </c>
      <c r="HNI22" t="s">
        <v>6203</v>
      </c>
      <c r="HNJ22" t="s">
        <v>6204</v>
      </c>
      <c r="HNK22" t="s">
        <v>6205</v>
      </c>
      <c r="HNL22" t="s">
        <v>6206</v>
      </c>
      <c r="HNM22" t="s">
        <v>6207</v>
      </c>
      <c r="HNN22" t="s">
        <v>6208</v>
      </c>
      <c r="HNO22" t="s">
        <v>6209</v>
      </c>
      <c r="HNP22" t="s">
        <v>6210</v>
      </c>
      <c r="HNQ22" t="s">
        <v>6211</v>
      </c>
      <c r="HNR22" t="s">
        <v>6212</v>
      </c>
      <c r="HNS22" t="s">
        <v>6213</v>
      </c>
      <c r="HNT22" t="s">
        <v>6214</v>
      </c>
      <c r="HNU22" t="s">
        <v>6215</v>
      </c>
      <c r="HNV22" t="s">
        <v>6216</v>
      </c>
      <c r="HNW22" t="s">
        <v>6217</v>
      </c>
      <c r="HNX22" t="s">
        <v>6218</v>
      </c>
      <c r="HNY22" t="s">
        <v>6219</v>
      </c>
      <c r="HNZ22" t="s">
        <v>6220</v>
      </c>
      <c r="HOA22" t="s">
        <v>6221</v>
      </c>
      <c r="HOB22" t="s">
        <v>6222</v>
      </c>
      <c r="HOC22" t="s">
        <v>6223</v>
      </c>
      <c r="HOD22" t="s">
        <v>6224</v>
      </c>
      <c r="HOE22" t="s">
        <v>6225</v>
      </c>
      <c r="HOF22" t="s">
        <v>6226</v>
      </c>
      <c r="HOG22" t="s">
        <v>6227</v>
      </c>
      <c r="HOH22" t="s">
        <v>6228</v>
      </c>
      <c r="HOI22" t="s">
        <v>6229</v>
      </c>
      <c r="HOJ22" t="s">
        <v>6230</v>
      </c>
      <c r="HOK22" t="s">
        <v>6231</v>
      </c>
      <c r="HOL22" t="s">
        <v>6232</v>
      </c>
      <c r="HOM22" t="s">
        <v>6233</v>
      </c>
      <c r="HON22" t="s">
        <v>6234</v>
      </c>
      <c r="HOO22" t="s">
        <v>6235</v>
      </c>
      <c r="HOP22" t="s">
        <v>6236</v>
      </c>
      <c r="HOQ22" t="s">
        <v>6237</v>
      </c>
      <c r="HOR22" t="s">
        <v>6238</v>
      </c>
      <c r="HOS22" t="s">
        <v>6239</v>
      </c>
      <c r="HOT22" t="s">
        <v>6240</v>
      </c>
      <c r="HOU22" t="s">
        <v>6241</v>
      </c>
      <c r="HOV22" t="s">
        <v>6242</v>
      </c>
      <c r="HOW22" t="s">
        <v>6243</v>
      </c>
      <c r="HOX22" t="s">
        <v>6244</v>
      </c>
      <c r="HOY22" t="s">
        <v>6245</v>
      </c>
      <c r="HOZ22" t="s">
        <v>6246</v>
      </c>
      <c r="HPA22" t="s">
        <v>6247</v>
      </c>
      <c r="HPB22" t="s">
        <v>6248</v>
      </c>
      <c r="HPC22" t="s">
        <v>6249</v>
      </c>
      <c r="HPD22" t="s">
        <v>6250</v>
      </c>
      <c r="HPE22" t="s">
        <v>6251</v>
      </c>
      <c r="HPF22" t="s">
        <v>6252</v>
      </c>
      <c r="HPG22" t="s">
        <v>6253</v>
      </c>
      <c r="HPH22" t="s">
        <v>6254</v>
      </c>
      <c r="HPI22" t="s">
        <v>6255</v>
      </c>
      <c r="HPJ22" t="s">
        <v>6256</v>
      </c>
      <c r="HPK22" t="s">
        <v>6257</v>
      </c>
      <c r="HPL22" t="s">
        <v>6258</v>
      </c>
      <c r="HPM22" t="s">
        <v>6259</v>
      </c>
      <c r="HPN22" t="s">
        <v>6260</v>
      </c>
      <c r="HPO22" t="s">
        <v>6261</v>
      </c>
      <c r="HPP22" t="s">
        <v>6262</v>
      </c>
      <c r="HPQ22" t="s">
        <v>6263</v>
      </c>
      <c r="HPR22" t="s">
        <v>6264</v>
      </c>
      <c r="HPS22" t="s">
        <v>6265</v>
      </c>
      <c r="HPT22" t="s">
        <v>6266</v>
      </c>
      <c r="HPU22" t="s">
        <v>6267</v>
      </c>
      <c r="HPV22" t="s">
        <v>6268</v>
      </c>
      <c r="HPW22" t="s">
        <v>6269</v>
      </c>
      <c r="HPX22" t="s">
        <v>6270</v>
      </c>
      <c r="HPY22" t="s">
        <v>6271</v>
      </c>
      <c r="HPZ22" t="s">
        <v>6272</v>
      </c>
      <c r="HQA22" t="s">
        <v>6273</v>
      </c>
      <c r="HQB22" t="s">
        <v>6274</v>
      </c>
      <c r="HQC22" t="s">
        <v>6275</v>
      </c>
      <c r="HQD22" t="s">
        <v>6276</v>
      </c>
      <c r="HQE22" t="s">
        <v>6277</v>
      </c>
      <c r="HQF22" t="s">
        <v>6278</v>
      </c>
      <c r="HQG22" t="s">
        <v>6279</v>
      </c>
      <c r="HQH22" t="s">
        <v>6280</v>
      </c>
      <c r="HQI22" t="s">
        <v>6281</v>
      </c>
      <c r="HQJ22" t="s">
        <v>6282</v>
      </c>
      <c r="HQK22" t="s">
        <v>6283</v>
      </c>
      <c r="HQL22" t="s">
        <v>6284</v>
      </c>
      <c r="HQM22" t="s">
        <v>6285</v>
      </c>
      <c r="HQN22" t="s">
        <v>6286</v>
      </c>
      <c r="HQO22" t="s">
        <v>6287</v>
      </c>
      <c r="HQP22" t="s">
        <v>6288</v>
      </c>
      <c r="HQQ22" t="s">
        <v>6289</v>
      </c>
      <c r="HQR22" t="s">
        <v>6290</v>
      </c>
      <c r="HQS22" t="s">
        <v>6291</v>
      </c>
      <c r="HQT22" t="s">
        <v>6292</v>
      </c>
      <c r="HQU22" t="s">
        <v>6293</v>
      </c>
      <c r="HQV22" t="s">
        <v>6294</v>
      </c>
      <c r="HQW22" t="s">
        <v>6295</v>
      </c>
      <c r="HQX22" t="s">
        <v>6296</v>
      </c>
      <c r="HQY22" t="s">
        <v>6297</v>
      </c>
      <c r="HQZ22" t="s">
        <v>6298</v>
      </c>
      <c r="HRA22" t="s">
        <v>6299</v>
      </c>
      <c r="HRB22" t="s">
        <v>6300</v>
      </c>
      <c r="HRC22" t="s">
        <v>6301</v>
      </c>
      <c r="HRD22" t="s">
        <v>6302</v>
      </c>
      <c r="HRE22" t="s">
        <v>6303</v>
      </c>
      <c r="HRF22" t="s">
        <v>6304</v>
      </c>
      <c r="HRG22" t="s">
        <v>6305</v>
      </c>
      <c r="HRH22" t="s">
        <v>6306</v>
      </c>
      <c r="HRI22" t="s">
        <v>6307</v>
      </c>
      <c r="HRJ22" t="s">
        <v>6308</v>
      </c>
      <c r="HRK22" t="s">
        <v>6309</v>
      </c>
      <c r="HRL22" t="s">
        <v>6310</v>
      </c>
      <c r="HRM22" t="s">
        <v>6311</v>
      </c>
      <c r="HRN22" t="s">
        <v>6312</v>
      </c>
      <c r="HRO22" t="s">
        <v>6313</v>
      </c>
      <c r="HRP22" t="s">
        <v>6314</v>
      </c>
      <c r="HRQ22" t="s">
        <v>6315</v>
      </c>
      <c r="HRR22" t="s">
        <v>6316</v>
      </c>
      <c r="HRS22" t="s">
        <v>6317</v>
      </c>
      <c r="HRT22" t="s">
        <v>6318</v>
      </c>
      <c r="HRU22" t="s">
        <v>6319</v>
      </c>
      <c r="HRV22" t="s">
        <v>6320</v>
      </c>
      <c r="HRW22" t="s">
        <v>6321</v>
      </c>
      <c r="HRX22" t="s">
        <v>6322</v>
      </c>
      <c r="HRY22" t="s">
        <v>6323</v>
      </c>
      <c r="HRZ22" t="s">
        <v>6324</v>
      </c>
      <c r="HSA22" t="s">
        <v>6325</v>
      </c>
      <c r="HSB22" t="s">
        <v>6326</v>
      </c>
      <c r="HSC22" t="s">
        <v>6327</v>
      </c>
      <c r="HSD22" t="s">
        <v>6328</v>
      </c>
      <c r="HSE22" t="s">
        <v>6329</v>
      </c>
      <c r="HSF22" t="s">
        <v>6330</v>
      </c>
      <c r="HSG22" t="s">
        <v>6331</v>
      </c>
      <c r="HSH22" t="s">
        <v>6332</v>
      </c>
      <c r="HSI22" t="s">
        <v>6333</v>
      </c>
      <c r="HSJ22" t="s">
        <v>6334</v>
      </c>
      <c r="HSK22" t="s">
        <v>6335</v>
      </c>
      <c r="HSL22" t="s">
        <v>6336</v>
      </c>
      <c r="HSM22" t="s">
        <v>6337</v>
      </c>
      <c r="HSN22" t="s">
        <v>6338</v>
      </c>
      <c r="HSO22" t="s">
        <v>6339</v>
      </c>
      <c r="HSP22" t="s">
        <v>6340</v>
      </c>
      <c r="HSQ22" t="s">
        <v>6341</v>
      </c>
      <c r="HSR22" t="s">
        <v>6342</v>
      </c>
      <c r="HSS22" t="s">
        <v>6343</v>
      </c>
      <c r="HST22" t="s">
        <v>6344</v>
      </c>
      <c r="HSU22" t="s">
        <v>6345</v>
      </c>
      <c r="HSV22" t="s">
        <v>6346</v>
      </c>
      <c r="HSW22" t="s">
        <v>6347</v>
      </c>
      <c r="HSX22" t="s">
        <v>6348</v>
      </c>
      <c r="HSY22" t="s">
        <v>6349</v>
      </c>
      <c r="HSZ22" t="s">
        <v>6350</v>
      </c>
      <c r="HTA22" t="s">
        <v>6351</v>
      </c>
      <c r="HTB22" t="s">
        <v>6352</v>
      </c>
      <c r="HTC22" t="s">
        <v>6353</v>
      </c>
      <c r="HTD22" t="s">
        <v>6354</v>
      </c>
      <c r="HTE22" t="s">
        <v>6355</v>
      </c>
      <c r="HTF22" t="s">
        <v>6356</v>
      </c>
      <c r="HTG22" t="s">
        <v>6357</v>
      </c>
      <c r="HTH22" t="s">
        <v>6358</v>
      </c>
      <c r="HTI22" t="s">
        <v>6359</v>
      </c>
      <c r="HTJ22" t="s">
        <v>6360</v>
      </c>
      <c r="HTK22" t="s">
        <v>6361</v>
      </c>
      <c r="HTL22" t="s">
        <v>6362</v>
      </c>
      <c r="HTM22" t="s">
        <v>6363</v>
      </c>
      <c r="HTN22" t="s">
        <v>6364</v>
      </c>
      <c r="HTO22" t="s">
        <v>6365</v>
      </c>
      <c r="HTP22" t="s">
        <v>6366</v>
      </c>
      <c r="HTQ22" t="s">
        <v>6367</v>
      </c>
      <c r="HTR22" t="s">
        <v>6368</v>
      </c>
      <c r="HTS22" t="s">
        <v>6369</v>
      </c>
      <c r="HTT22" t="s">
        <v>6370</v>
      </c>
      <c r="HTU22" t="s">
        <v>6371</v>
      </c>
      <c r="HTV22" t="s">
        <v>6372</v>
      </c>
      <c r="HTW22" t="s">
        <v>6373</v>
      </c>
      <c r="HTX22" t="s">
        <v>6374</v>
      </c>
      <c r="HTY22" t="s">
        <v>6375</v>
      </c>
      <c r="HTZ22" t="s">
        <v>6376</v>
      </c>
      <c r="HUA22" t="s">
        <v>6377</v>
      </c>
      <c r="HUB22" t="s">
        <v>6378</v>
      </c>
      <c r="HUC22" t="s">
        <v>6379</v>
      </c>
      <c r="HUD22" t="s">
        <v>6380</v>
      </c>
      <c r="HUE22" t="s">
        <v>6381</v>
      </c>
      <c r="HUF22" t="s">
        <v>6382</v>
      </c>
      <c r="HUG22" t="s">
        <v>6383</v>
      </c>
      <c r="HUH22" t="s">
        <v>6384</v>
      </c>
      <c r="HUI22" t="s">
        <v>6385</v>
      </c>
      <c r="HUJ22" t="s">
        <v>6386</v>
      </c>
      <c r="HUK22" t="s">
        <v>6387</v>
      </c>
      <c r="HUL22" t="s">
        <v>6388</v>
      </c>
      <c r="HUM22" t="s">
        <v>6389</v>
      </c>
      <c r="HUN22" t="s">
        <v>6390</v>
      </c>
      <c r="HUO22" t="s">
        <v>6391</v>
      </c>
      <c r="HUP22" t="s">
        <v>6392</v>
      </c>
      <c r="HUQ22" t="s">
        <v>6393</v>
      </c>
      <c r="HUR22" t="s">
        <v>6394</v>
      </c>
      <c r="HUS22" t="s">
        <v>6395</v>
      </c>
      <c r="HUT22" t="s">
        <v>6396</v>
      </c>
      <c r="HUU22" t="s">
        <v>6397</v>
      </c>
      <c r="HUV22" t="s">
        <v>6398</v>
      </c>
      <c r="HUW22" t="s">
        <v>6399</v>
      </c>
      <c r="HUX22" t="s">
        <v>6400</v>
      </c>
      <c r="HUY22" t="s">
        <v>6401</v>
      </c>
      <c r="HUZ22" t="s">
        <v>6402</v>
      </c>
      <c r="HVA22" t="s">
        <v>6403</v>
      </c>
      <c r="HVB22" t="s">
        <v>6404</v>
      </c>
      <c r="HVC22" t="s">
        <v>6405</v>
      </c>
      <c r="HVD22" t="s">
        <v>6406</v>
      </c>
      <c r="HVE22" t="s">
        <v>6407</v>
      </c>
      <c r="HVF22" t="s">
        <v>6408</v>
      </c>
      <c r="HVG22" t="s">
        <v>6409</v>
      </c>
      <c r="HVH22" t="s">
        <v>6410</v>
      </c>
      <c r="HVI22" t="s">
        <v>6411</v>
      </c>
      <c r="HVJ22" t="s">
        <v>6412</v>
      </c>
      <c r="HVK22" t="s">
        <v>6413</v>
      </c>
      <c r="HVL22" t="s">
        <v>6414</v>
      </c>
      <c r="HVM22" t="s">
        <v>6415</v>
      </c>
      <c r="HVN22" t="s">
        <v>6416</v>
      </c>
      <c r="HVO22" t="s">
        <v>6417</v>
      </c>
      <c r="HVP22" t="s">
        <v>6418</v>
      </c>
      <c r="HVQ22" t="s">
        <v>6419</v>
      </c>
      <c r="HVR22" t="s">
        <v>6420</v>
      </c>
      <c r="HVS22" t="s">
        <v>6421</v>
      </c>
      <c r="HVT22" t="s">
        <v>6422</v>
      </c>
      <c r="HVU22" t="s">
        <v>6423</v>
      </c>
      <c r="HVV22" t="s">
        <v>6424</v>
      </c>
      <c r="HVW22" t="s">
        <v>6425</v>
      </c>
      <c r="HVX22" t="s">
        <v>6426</v>
      </c>
      <c r="HVY22" t="s">
        <v>6427</v>
      </c>
      <c r="HVZ22" t="s">
        <v>6428</v>
      </c>
      <c r="HWA22" t="s">
        <v>6429</v>
      </c>
      <c r="HWB22" t="s">
        <v>6430</v>
      </c>
      <c r="HWC22" t="s">
        <v>6431</v>
      </c>
      <c r="HWD22" t="s">
        <v>6432</v>
      </c>
      <c r="HWE22" t="s">
        <v>6433</v>
      </c>
      <c r="HWF22" t="s">
        <v>6434</v>
      </c>
      <c r="HWG22" t="s">
        <v>6435</v>
      </c>
      <c r="HWH22" t="s">
        <v>6436</v>
      </c>
      <c r="HWI22" t="s">
        <v>6437</v>
      </c>
      <c r="HWJ22" t="s">
        <v>6438</v>
      </c>
      <c r="HWK22" t="s">
        <v>6439</v>
      </c>
      <c r="HWL22" t="s">
        <v>6440</v>
      </c>
      <c r="HWM22" t="s">
        <v>6441</v>
      </c>
      <c r="HWN22" t="s">
        <v>6442</v>
      </c>
      <c r="HWO22" t="s">
        <v>6443</v>
      </c>
      <c r="HWP22" t="s">
        <v>6444</v>
      </c>
      <c r="HWQ22" t="s">
        <v>6445</v>
      </c>
      <c r="HWR22" t="s">
        <v>6446</v>
      </c>
      <c r="HWS22" t="s">
        <v>6447</v>
      </c>
      <c r="HWT22" t="s">
        <v>6448</v>
      </c>
      <c r="HWU22" t="s">
        <v>6449</v>
      </c>
      <c r="HWV22" t="s">
        <v>6450</v>
      </c>
      <c r="HWW22" t="s">
        <v>6451</v>
      </c>
      <c r="HWX22" t="s">
        <v>6452</v>
      </c>
      <c r="HWY22" t="s">
        <v>6453</v>
      </c>
      <c r="HWZ22" t="s">
        <v>6454</v>
      </c>
      <c r="HXA22" t="s">
        <v>6455</v>
      </c>
      <c r="HXB22" t="s">
        <v>6456</v>
      </c>
      <c r="HXC22" t="s">
        <v>6457</v>
      </c>
      <c r="HXD22" t="s">
        <v>6458</v>
      </c>
      <c r="HXE22" t="s">
        <v>6459</v>
      </c>
      <c r="HXF22" t="s">
        <v>6460</v>
      </c>
      <c r="HXG22" t="s">
        <v>6461</v>
      </c>
      <c r="HXH22" t="s">
        <v>6462</v>
      </c>
      <c r="HXI22" t="s">
        <v>6463</v>
      </c>
      <c r="HXJ22" t="s">
        <v>6464</v>
      </c>
      <c r="HXK22" t="s">
        <v>6465</v>
      </c>
      <c r="HXL22" t="s">
        <v>6466</v>
      </c>
      <c r="HXM22" t="s">
        <v>6467</v>
      </c>
      <c r="HXN22" t="s">
        <v>6468</v>
      </c>
      <c r="HXO22" t="s">
        <v>6469</v>
      </c>
      <c r="HXP22" t="s">
        <v>6470</v>
      </c>
      <c r="HXQ22" t="s">
        <v>6471</v>
      </c>
      <c r="HXR22" t="s">
        <v>6472</v>
      </c>
      <c r="HXS22" t="s">
        <v>6473</v>
      </c>
      <c r="HXT22" t="s">
        <v>6474</v>
      </c>
      <c r="HXU22" t="s">
        <v>6475</v>
      </c>
      <c r="HXV22" t="s">
        <v>6476</v>
      </c>
      <c r="HXW22" t="s">
        <v>6477</v>
      </c>
      <c r="HXX22" t="s">
        <v>6478</v>
      </c>
      <c r="HXY22" t="s">
        <v>6479</v>
      </c>
      <c r="HXZ22" t="s">
        <v>6480</v>
      </c>
      <c r="HYA22" t="s">
        <v>6481</v>
      </c>
      <c r="HYB22" t="s">
        <v>6482</v>
      </c>
      <c r="HYC22" t="s">
        <v>6483</v>
      </c>
      <c r="HYD22" t="s">
        <v>6484</v>
      </c>
      <c r="HYE22" t="s">
        <v>6485</v>
      </c>
      <c r="HYF22" t="s">
        <v>6486</v>
      </c>
      <c r="HYG22" t="s">
        <v>6487</v>
      </c>
      <c r="HYH22" t="s">
        <v>6488</v>
      </c>
      <c r="HYI22" t="s">
        <v>6489</v>
      </c>
      <c r="HYJ22" t="s">
        <v>6490</v>
      </c>
      <c r="HYK22" t="s">
        <v>6491</v>
      </c>
      <c r="HYL22" t="s">
        <v>6492</v>
      </c>
      <c r="HYM22" t="s">
        <v>6493</v>
      </c>
      <c r="HYN22" t="s">
        <v>6494</v>
      </c>
      <c r="HYO22" t="s">
        <v>6495</v>
      </c>
      <c r="HYP22" t="s">
        <v>6496</v>
      </c>
      <c r="HYQ22" t="s">
        <v>6497</v>
      </c>
      <c r="HYR22" t="s">
        <v>6498</v>
      </c>
      <c r="HYS22" t="s">
        <v>6499</v>
      </c>
      <c r="HYT22" t="s">
        <v>6500</v>
      </c>
      <c r="HYU22" t="s">
        <v>6501</v>
      </c>
      <c r="HYV22" t="s">
        <v>6502</v>
      </c>
      <c r="HYW22" t="s">
        <v>6503</v>
      </c>
      <c r="HYX22" t="s">
        <v>6504</v>
      </c>
      <c r="HYY22" t="s">
        <v>6505</v>
      </c>
      <c r="HYZ22" t="s">
        <v>6506</v>
      </c>
      <c r="HZA22" t="s">
        <v>6507</v>
      </c>
      <c r="HZB22" t="s">
        <v>6508</v>
      </c>
      <c r="HZC22" t="s">
        <v>6509</v>
      </c>
      <c r="HZD22" t="s">
        <v>6510</v>
      </c>
      <c r="HZE22" t="s">
        <v>6511</v>
      </c>
      <c r="HZF22" t="s">
        <v>6512</v>
      </c>
      <c r="HZG22" t="s">
        <v>6513</v>
      </c>
      <c r="HZH22" t="s">
        <v>6514</v>
      </c>
      <c r="HZI22" t="s">
        <v>6515</v>
      </c>
      <c r="HZJ22" t="s">
        <v>6516</v>
      </c>
      <c r="HZK22" t="s">
        <v>6517</v>
      </c>
      <c r="HZL22" t="s">
        <v>6518</v>
      </c>
      <c r="HZM22" t="s">
        <v>6519</v>
      </c>
      <c r="HZN22" t="s">
        <v>6520</v>
      </c>
      <c r="HZO22" t="s">
        <v>6521</v>
      </c>
      <c r="HZP22" t="s">
        <v>6522</v>
      </c>
      <c r="HZQ22" t="s">
        <v>6523</v>
      </c>
      <c r="HZR22" t="s">
        <v>6524</v>
      </c>
      <c r="HZS22" t="s">
        <v>6525</v>
      </c>
      <c r="HZT22" t="s">
        <v>6526</v>
      </c>
      <c r="HZU22" t="s">
        <v>6527</v>
      </c>
      <c r="HZV22" t="s">
        <v>6528</v>
      </c>
      <c r="HZW22" t="s">
        <v>6529</v>
      </c>
      <c r="HZX22" t="s">
        <v>6530</v>
      </c>
      <c r="HZY22" t="s">
        <v>6531</v>
      </c>
      <c r="HZZ22" t="s">
        <v>6532</v>
      </c>
      <c r="IAA22" t="s">
        <v>6533</v>
      </c>
      <c r="IAB22" t="s">
        <v>6534</v>
      </c>
      <c r="IAC22" t="s">
        <v>6535</v>
      </c>
      <c r="IAD22" t="s">
        <v>6536</v>
      </c>
      <c r="IAE22" t="s">
        <v>6537</v>
      </c>
      <c r="IAF22" t="s">
        <v>6538</v>
      </c>
      <c r="IAG22" t="s">
        <v>6539</v>
      </c>
      <c r="IAH22" t="s">
        <v>6540</v>
      </c>
      <c r="IAI22" t="s">
        <v>6541</v>
      </c>
      <c r="IAJ22" t="s">
        <v>6542</v>
      </c>
      <c r="IAK22" t="s">
        <v>6543</v>
      </c>
      <c r="IAL22" t="s">
        <v>6544</v>
      </c>
      <c r="IAM22" t="s">
        <v>6545</v>
      </c>
      <c r="IAN22" t="s">
        <v>6546</v>
      </c>
      <c r="IAO22" t="s">
        <v>6547</v>
      </c>
      <c r="IAP22" t="s">
        <v>6548</v>
      </c>
      <c r="IAQ22" t="s">
        <v>6549</v>
      </c>
      <c r="IAR22" t="s">
        <v>6550</v>
      </c>
      <c r="IAS22" t="s">
        <v>6551</v>
      </c>
      <c r="IAT22" t="s">
        <v>6552</v>
      </c>
      <c r="IAU22" t="s">
        <v>6553</v>
      </c>
      <c r="IAV22" t="s">
        <v>6554</v>
      </c>
      <c r="IAW22" t="s">
        <v>6555</v>
      </c>
      <c r="IAX22" t="s">
        <v>6556</v>
      </c>
      <c r="IAY22" t="s">
        <v>6557</v>
      </c>
      <c r="IAZ22" t="s">
        <v>6558</v>
      </c>
      <c r="IBA22" t="s">
        <v>6559</v>
      </c>
      <c r="IBB22" t="s">
        <v>6560</v>
      </c>
      <c r="IBC22" t="s">
        <v>6561</v>
      </c>
      <c r="IBD22" t="s">
        <v>6562</v>
      </c>
      <c r="IBE22" t="s">
        <v>6563</v>
      </c>
      <c r="IBF22" t="s">
        <v>6564</v>
      </c>
      <c r="IBG22" t="s">
        <v>6565</v>
      </c>
      <c r="IBH22" t="s">
        <v>6566</v>
      </c>
      <c r="IBI22" t="s">
        <v>6567</v>
      </c>
      <c r="IBJ22" t="s">
        <v>6568</v>
      </c>
      <c r="IBK22" t="s">
        <v>6569</v>
      </c>
      <c r="IBL22" t="s">
        <v>6570</v>
      </c>
      <c r="IBM22" t="s">
        <v>6571</v>
      </c>
      <c r="IBN22" t="s">
        <v>6572</v>
      </c>
      <c r="IBO22" t="s">
        <v>6573</v>
      </c>
      <c r="IBP22" t="s">
        <v>6574</v>
      </c>
      <c r="IBQ22" t="s">
        <v>6575</v>
      </c>
      <c r="IBR22" t="s">
        <v>6576</v>
      </c>
      <c r="IBS22" t="s">
        <v>6577</v>
      </c>
      <c r="IBT22" t="s">
        <v>6578</v>
      </c>
      <c r="IBU22" t="s">
        <v>6579</v>
      </c>
      <c r="IBV22" t="s">
        <v>6580</v>
      </c>
      <c r="IBW22" t="s">
        <v>6581</v>
      </c>
      <c r="IBX22" t="s">
        <v>6582</v>
      </c>
      <c r="IBY22" t="s">
        <v>6583</v>
      </c>
      <c r="IBZ22" t="s">
        <v>6584</v>
      </c>
      <c r="ICA22" t="s">
        <v>6585</v>
      </c>
      <c r="ICB22" t="s">
        <v>6586</v>
      </c>
      <c r="ICC22" t="s">
        <v>6587</v>
      </c>
      <c r="ICD22" t="s">
        <v>6588</v>
      </c>
      <c r="ICE22" t="s">
        <v>6589</v>
      </c>
      <c r="ICF22" t="s">
        <v>6590</v>
      </c>
      <c r="ICG22" t="s">
        <v>6591</v>
      </c>
      <c r="ICH22" t="s">
        <v>6592</v>
      </c>
      <c r="ICI22" t="s">
        <v>6593</v>
      </c>
      <c r="ICJ22" t="s">
        <v>6594</v>
      </c>
      <c r="ICK22" t="s">
        <v>6595</v>
      </c>
      <c r="ICL22" t="s">
        <v>6596</v>
      </c>
      <c r="ICM22" t="s">
        <v>6597</v>
      </c>
      <c r="ICN22" t="s">
        <v>6598</v>
      </c>
      <c r="ICO22" t="s">
        <v>6599</v>
      </c>
      <c r="ICP22" t="s">
        <v>6600</v>
      </c>
      <c r="ICQ22" t="s">
        <v>6601</v>
      </c>
      <c r="ICR22" t="s">
        <v>6602</v>
      </c>
      <c r="ICS22" t="s">
        <v>6603</v>
      </c>
      <c r="ICT22" t="s">
        <v>6604</v>
      </c>
      <c r="ICU22" t="s">
        <v>6605</v>
      </c>
      <c r="ICV22" t="s">
        <v>6606</v>
      </c>
      <c r="ICW22" t="s">
        <v>6607</v>
      </c>
      <c r="ICX22" t="s">
        <v>6608</v>
      </c>
      <c r="ICY22" t="s">
        <v>6609</v>
      </c>
      <c r="ICZ22" t="s">
        <v>6610</v>
      </c>
      <c r="IDA22" t="s">
        <v>6611</v>
      </c>
      <c r="IDB22" t="s">
        <v>6612</v>
      </c>
      <c r="IDC22" t="s">
        <v>6613</v>
      </c>
      <c r="IDD22" t="s">
        <v>6614</v>
      </c>
      <c r="IDE22" t="s">
        <v>6615</v>
      </c>
      <c r="IDF22" t="s">
        <v>6616</v>
      </c>
      <c r="IDG22" t="s">
        <v>6617</v>
      </c>
      <c r="IDH22" t="s">
        <v>6618</v>
      </c>
      <c r="IDI22" t="s">
        <v>6619</v>
      </c>
      <c r="IDJ22" t="s">
        <v>6620</v>
      </c>
      <c r="IDK22" t="s">
        <v>6621</v>
      </c>
      <c r="IDL22" t="s">
        <v>6622</v>
      </c>
      <c r="IDM22" t="s">
        <v>6623</v>
      </c>
      <c r="IDN22" t="s">
        <v>6624</v>
      </c>
      <c r="IDO22" t="s">
        <v>6625</v>
      </c>
      <c r="IDP22" t="s">
        <v>6626</v>
      </c>
      <c r="IDQ22" t="s">
        <v>6627</v>
      </c>
      <c r="IDR22" t="s">
        <v>6628</v>
      </c>
      <c r="IDS22" t="s">
        <v>6629</v>
      </c>
      <c r="IDT22" t="s">
        <v>6630</v>
      </c>
      <c r="IDU22" t="s">
        <v>6631</v>
      </c>
      <c r="IDV22" t="s">
        <v>6632</v>
      </c>
      <c r="IDW22" t="s">
        <v>6633</v>
      </c>
      <c r="IDX22" t="s">
        <v>6634</v>
      </c>
      <c r="IDY22" t="s">
        <v>6635</v>
      </c>
      <c r="IDZ22" t="s">
        <v>6636</v>
      </c>
      <c r="IEA22" t="s">
        <v>6637</v>
      </c>
      <c r="IEB22" t="s">
        <v>6638</v>
      </c>
      <c r="IEC22" t="s">
        <v>6639</v>
      </c>
      <c r="IED22" t="s">
        <v>6640</v>
      </c>
      <c r="IEE22" t="s">
        <v>6641</v>
      </c>
      <c r="IEF22" t="s">
        <v>6642</v>
      </c>
      <c r="IEG22" t="s">
        <v>6643</v>
      </c>
      <c r="IEH22" t="s">
        <v>6644</v>
      </c>
      <c r="IEI22" t="s">
        <v>6645</v>
      </c>
      <c r="IEJ22" t="s">
        <v>6646</v>
      </c>
      <c r="IEK22" t="s">
        <v>6647</v>
      </c>
      <c r="IEL22" t="s">
        <v>6648</v>
      </c>
      <c r="IEM22" t="s">
        <v>6649</v>
      </c>
      <c r="IEN22" t="s">
        <v>6650</v>
      </c>
      <c r="IEO22" t="s">
        <v>6651</v>
      </c>
      <c r="IEP22" t="s">
        <v>6652</v>
      </c>
      <c r="IEQ22" t="s">
        <v>6653</v>
      </c>
      <c r="IER22" t="s">
        <v>6654</v>
      </c>
      <c r="IES22" t="s">
        <v>6655</v>
      </c>
      <c r="IET22" t="s">
        <v>6656</v>
      </c>
      <c r="IEU22" t="s">
        <v>6657</v>
      </c>
      <c r="IEV22" t="s">
        <v>6658</v>
      </c>
      <c r="IEW22" t="s">
        <v>6659</v>
      </c>
      <c r="IEX22" t="s">
        <v>6660</v>
      </c>
      <c r="IEY22" t="s">
        <v>6661</v>
      </c>
      <c r="IEZ22" t="s">
        <v>6662</v>
      </c>
      <c r="IFA22" t="s">
        <v>6663</v>
      </c>
      <c r="IFB22" t="s">
        <v>6664</v>
      </c>
      <c r="IFC22" t="s">
        <v>6665</v>
      </c>
      <c r="IFD22" t="s">
        <v>6666</v>
      </c>
      <c r="IFE22" t="s">
        <v>6667</v>
      </c>
      <c r="IFF22" t="s">
        <v>6668</v>
      </c>
      <c r="IFG22" t="s">
        <v>6669</v>
      </c>
      <c r="IFH22" t="s">
        <v>6670</v>
      </c>
      <c r="IFI22" t="s">
        <v>6671</v>
      </c>
      <c r="IFJ22" t="s">
        <v>6672</v>
      </c>
      <c r="IFK22" t="s">
        <v>6673</v>
      </c>
      <c r="IFL22" t="s">
        <v>6674</v>
      </c>
      <c r="IFM22" t="s">
        <v>6675</v>
      </c>
      <c r="IFN22" t="s">
        <v>6676</v>
      </c>
      <c r="IFO22" t="s">
        <v>6677</v>
      </c>
      <c r="IFP22" t="s">
        <v>6678</v>
      </c>
      <c r="IFQ22" t="s">
        <v>6679</v>
      </c>
      <c r="IFR22" t="s">
        <v>6680</v>
      </c>
      <c r="IFS22" t="s">
        <v>6681</v>
      </c>
      <c r="IFT22" t="s">
        <v>6682</v>
      </c>
      <c r="IFU22" t="s">
        <v>6683</v>
      </c>
      <c r="IFV22" t="s">
        <v>6684</v>
      </c>
      <c r="IFW22" t="s">
        <v>6685</v>
      </c>
      <c r="IFX22" t="s">
        <v>6686</v>
      </c>
      <c r="IFY22" t="s">
        <v>6687</v>
      </c>
      <c r="IFZ22" t="s">
        <v>6688</v>
      </c>
      <c r="IGA22" t="s">
        <v>6689</v>
      </c>
      <c r="IGB22" t="s">
        <v>6690</v>
      </c>
      <c r="IGC22" t="s">
        <v>6691</v>
      </c>
      <c r="IGD22" t="s">
        <v>6692</v>
      </c>
      <c r="IGE22" t="s">
        <v>6693</v>
      </c>
      <c r="IGF22" t="s">
        <v>6694</v>
      </c>
      <c r="IGG22" t="s">
        <v>6695</v>
      </c>
      <c r="IGH22" t="s">
        <v>6696</v>
      </c>
      <c r="IGI22" t="s">
        <v>6697</v>
      </c>
      <c r="IGJ22" t="s">
        <v>6698</v>
      </c>
      <c r="IGK22" t="s">
        <v>6699</v>
      </c>
      <c r="IGL22" t="s">
        <v>6700</v>
      </c>
      <c r="IGM22" t="s">
        <v>6701</v>
      </c>
      <c r="IGN22" t="s">
        <v>6702</v>
      </c>
      <c r="IGO22" t="s">
        <v>6703</v>
      </c>
      <c r="IGP22" t="s">
        <v>6704</v>
      </c>
      <c r="IGQ22" t="s">
        <v>6705</v>
      </c>
      <c r="IGR22" t="s">
        <v>6706</v>
      </c>
      <c r="IGS22" t="s">
        <v>6707</v>
      </c>
      <c r="IGT22" t="s">
        <v>6708</v>
      </c>
      <c r="IGU22" t="s">
        <v>6709</v>
      </c>
      <c r="IGV22" t="s">
        <v>6710</v>
      </c>
      <c r="IGW22" t="s">
        <v>6711</v>
      </c>
      <c r="IGX22" t="s">
        <v>6712</v>
      </c>
      <c r="IGY22" t="s">
        <v>6713</v>
      </c>
      <c r="IGZ22" t="s">
        <v>6714</v>
      </c>
      <c r="IHA22" t="s">
        <v>6715</v>
      </c>
      <c r="IHB22" t="s">
        <v>6716</v>
      </c>
      <c r="IHC22" t="s">
        <v>6717</v>
      </c>
      <c r="IHD22" t="s">
        <v>6718</v>
      </c>
      <c r="IHE22" t="s">
        <v>6719</v>
      </c>
      <c r="IHF22" t="s">
        <v>6720</v>
      </c>
      <c r="IHG22" t="s">
        <v>6721</v>
      </c>
      <c r="IHH22" t="s">
        <v>6722</v>
      </c>
      <c r="IHI22" t="s">
        <v>6723</v>
      </c>
      <c r="IHJ22" t="s">
        <v>6724</v>
      </c>
      <c r="IHK22" t="s">
        <v>6725</v>
      </c>
      <c r="IHL22" t="s">
        <v>6726</v>
      </c>
      <c r="IHM22" t="s">
        <v>6727</v>
      </c>
      <c r="IHN22" t="s">
        <v>6728</v>
      </c>
      <c r="IHO22" t="s">
        <v>6729</v>
      </c>
      <c r="IHP22" t="s">
        <v>6730</v>
      </c>
      <c r="IHQ22" t="s">
        <v>6731</v>
      </c>
      <c r="IHR22" t="s">
        <v>6732</v>
      </c>
      <c r="IHS22" t="s">
        <v>6733</v>
      </c>
      <c r="IHT22" t="s">
        <v>6734</v>
      </c>
      <c r="IHU22" t="s">
        <v>6735</v>
      </c>
      <c r="IHV22" t="s">
        <v>6736</v>
      </c>
      <c r="IHW22" t="s">
        <v>6737</v>
      </c>
      <c r="IHX22" t="s">
        <v>6738</v>
      </c>
      <c r="IHY22" t="s">
        <v>6739</v>
      </c>
      <c r="IHZ22" t="s">
        <v>6740</v>
      </c>
      <c r="IIA22" t="s">
        <v>6741</v>
      </c>
      <c r="IIB22" t="s">
        <v>6742</v>
      </c>
      <c r="IIC22" t="s">
        <v>6743</v>
      </c>
      <c r="IID22" t="s">
        <v>6744</v>
      </c>
      <c r="IIE22" t="s">
        <v>6745</v>
      </c>
      <c r="IIF22" t="s">
        <v>6746</v>
      </c>
      <c r="IIG22" t="s">
        <v>6747</v>
      </c>
      <c r="IIH22" t="s">
        <v>6748</v>
      </c>
      <c r="III22" t="s">
        <v>6749</v>
      </c>
      <c r="IIJ22" t="s">
        <v>6750</v>
      </c>
      <c r="IIK22" t="s">
        <v>6751</v>
      </c>
      <c r="IIL22" t="s">
        <v>6752</v>
      </c>
      <c r="IIM22" t="s">
        <v>6753</v>
      </c>
      <c r="IIN22" t="s">
        <v>6754</v>
      </c>
      <c r="IIO22" t="s">
        <v>6755</v>
      </c>
      <c r="IIP22" t="s">
        <v>6756</v>
      </c>
      <c r="IIQ22" t="s">
        <v>6757</v>
      </c>
      <c r="IIR22" t="s">
        <v>6758</v>
      </c>
      <c r="IIS22" t="s">
        <v>6759</v>
      </c>
      <c r="IIT22" t="s">
        <v>6760</v>
      </c>
      <c r="IIU22" t="s">
        <v>6761</v>
      </c>
      <c r="IIV22" t="s">
        <v>6762</v>
      </c>
      <c r="IIW22" t="s">
        <v>6763</v>
      </c>
      <c r="IIX22" t="s">
        <v>6764</v>
      </c>
      <c r="IIY22" t="s">
        <v>6765</v>
      </c>
      <c r="IIZ22" t="s">
        <v>6766</v>
      </c>
      <c r="IJA22" t="s">
        <v>6767</v>
      </c>
      <c r="IJB22" t="s">
        <v>6768</v>
      </c>
      <c r="IJC22" t="s">
        <v>6769</v>
      </c>
      <c r="IJD22" t="s">
        <v>6770</v>
      </c>
      <c r="IJE22" t="s">
        <v>6771</v>
      </c>
      <c r="IJF22" t="s">
        <v>6772</v>
      </c>
      <c r="IJG22" t="s">
        <v>6773</v>
      </c>
      <c r="IJH22" t="s">
        <v>6774</v>
      </c>
      <c r="IJI22" t="s">
        <v>6775</v>
      </c>
      <c r="IJJ22" t="s">
        <v>6776</v>
      </c>
      <c r="IJK22" t="s">
        <v>6777</v>
      </c>
      <c r="IJL22" t="s">
        <v>6778</v>
      </c>
      <c r="IJM22" t="s">
        <v>6779</v>
      </c>
      <c r="IJN22" t="s">
        <v>6780</v>
      </c>
      <c r="IJO22" t="s">
        <v>6781</v>
      </c>
      <c r="IJP22" t="s">
        <v>6782</v>
      </c>
      <c r="IJQ22" t="s">
        <v>6783</v>
      </c>
      <c r="IJR22" t="s">
        <v>6784</v>
      </c>
      <c r="IJS22" t="s">
        <v>6785</v>
      </c>
      <c r="IJT22" t="s">
        <v>6786</v>
      </c>
      <c r="IJU22" t="s">
        <v>6787</v>
      </c>
      <c r="IJV22" t="s">
        <v>6788</v>
      </c>
      <c r="IJW22" t="s">
        <v>6789</v>
      </c>
      <c r="IJX22" t="s">
        <v>6790</v>
      </c>
      <c r="IJY22" t="s">
        <v>6791</v>
      </c>
      <c r="IJZ22" t="s">
        <v>6792</v>
      </c>
      <c r="IKA22" t="s">
        <v>6793</v>
      </c>
      <c r="IKB22" t="s">
        <v>6794</v>
      </c>
      <c r="IKC22" t="s">
        <v>6795</v>
      </c>
      <c r="IKD22" t="s">
        <v>6796</v>
      </c>
      <c r="IKE22" t="s">
        <v>6797</v>
      </c>
      <c r="IKF22" t="s">
        <v>6798</v>
      </c>
      <c r="IKG22" t="s">
        <v>6799</v>
      </c>
      <c r="IKH22" t="s">
        <v>6800</v>
      </c>
      <c r="IKI22" t="s">
        <v>6801</v>
      </c>
      <c r="IKJ22" t="s">
        <v>6802</v>
      </c>
      <c r="IKK22" t="s">
        <v>6803</v>
      </c>
      <c r="IKL22" t="s">
        <v>6804</v>
      </c>
      <c r="IKM22" t="s">
        <v>6805</v>
      </c>
      <c r="IKN22" t="s">
        <v>6806</v>
      </c>
      <c r="IKO22" t="s">
        <v>6807</v>
      </c>
      <c r="IKP22" t="s">
        <v>6808</v>
      </c>
      <c r="IKQ22" t="s">
        <v>6809</v>
      </c>
      <c r="IKR22" t="s">
        <v>6810</v>
      </c>
      <c r="IKS22" t="s">
        <v>6811</v>
      </c>
      <c r="IKT22" t="s">
        <v>6812</v>
      </c>
      <c r="IKU22" t="s">
        <v>6813</v>
      </c>
      <c r="IKV22" t="s">
        <v>6814</v>
      </c>
      <c r="IKW22" t="s">
        <v>6815</v>
      </c>
      <c r="IKX22" t="s">
        <v>6816</v>
      </c>
      <c r="IKY22" t="s">
        <v>6817</v>
      </c>
      <c r="IKZ22" t="s">
        <v>6818</v>
      </c>
      <c r="ILA22" t="s">
        <v>6819</v>
      </c>
      <c r="ILB22" t="s">
        <v>6820</v>
      </c>
      <c r="ILC22" t="s">
        <v>6821</v>
      </c>
      <c r="ILD22" t="s">
        <v>6822</v>
      </c>
      <c r="ILE22" t="s">
        <v>6823</v>
      </c>
      <c r="ILF22" t="s">
        <v>6824</v>
      </c>
      <c r="ILG22" t="s">
        <v>6825</v>
      </c>
      <c r="ILH22" t="s">
        <v>6826</v>
      </c>
      <c r="ILI22" t="s">
        <v>6827</v>
      </c>
      <c r="ILJ22" t="s">
        <v>6828</v>
      </c>
      <c r="ILK22" t="s">
        <v>6829</v>
      </c>
      <c r="ILL22" t="s">
        <v>6830</v>
      </c>
      <c r="ILM22" t="s">
        <v>6831</v>
      </c>
      <c r="ILN22" t="s">
        <v>6832</v>
      </c>
      <c r="ILO22" t="s">
        <v>6833</v>
      </c>
      <c r="ILP22" t="s">
        <v>6834</v>
      </c>
      <c r="ILQ22" t="s">
        <v>6835</v>
      </c>
      <c r="ILR22" t="s">
        <v>6836</v>
      </c>
      <c r="ILS22" t="s">
        <v>6837</v>
      </c>
      <c r="ILT22" t="s">
        <v>6838</v>
      </c>
      <c r="ILU22" t="s">
        <v>6839</v>
      </c>
      <c r="ILV22" t="s">
        <v>6840</v>
      </c>
      <c r="ILW22" t="s">
        <v>6841</v>
      </c>
      <c r="ILX22" t="s">
        <v>6842</v>
      </c>
      <c r="ILY22" t="s">
        <v>6843</v>
      </c>
      <c r="ILZ22" t="s">
        <v>6844</v>
      </c>
      <c r="IMA22" t="s">
        <v>6845</v>
      </c>
      <c r="IMB22" t="s">
        <v>6846</v>
      </c>
      <c r="IMC22" t="s">
        <v>6847</v>
      </c>
      <c r="IMD22" t="s">
        <v>6848</v>
      </c>
      <c r="IME22" t="s">
        <v>6849</v>
      </c>
      <c r="IMF22" t="s">
        <v>6850</v>
      </c>
      <c r="IMG22" t="s">
        <v>6851</v>
      </c>
      <c r="IMH22" t="s">
        <v>6852</v>
      </c>
      <c r="IMI22" t="s">
        <v>6853</v>
      </c>
      <c r="IMJ22" t="s">
        <v>6854</v>
      </c>
      <c r="IMK22" t="s">
        <v>6855</v>
      </c>
      <c r="IML22" t="s">
        <v>6856</v>
      </c>
      <c r="IMM22" t="s">
        <v>6857</v>
      </c>
      <c r="IMN22" t="s">
        <v>6858</v>
      </c>
      <c r="IMO22" t="s">
        <v>6859</v>
      </c>
      <c r="IMP22" t="s">
        <v>6860</v>
      </c>
      <c r="IMQ22" t="s">
        <v>6861</v>
      </c>
      <c r="IMR22" t="s">
        <v>6862</v>
      </c>
      <c r="IMS22" t="s">
        <v>6863</v>
      </c>
      <c r="IMT22" t="s">
        <v>6864</v>
      </c>
      <c r="IMU22" t="s">
        <v>6865</v>
      </c>
      <c r="IMV22" t="s">
        <v>6866</v>
      </c>
      <c r="IMW22" t="s">
        <v>6867</v>
      </c>
      <c r="IMX22" t="s">
        <v>6868</v>
      </c>
      <c r="IMY22" t="s">
        <v>6869</v>
      </c>
      <c r="IMZ22" t="s">
        <v>6870</v>
      </c>
      <c r="INA22" t="s">
        <v>6871</v>
      </c>
      <c r="INB22" t="s">
        <v>6872</v>
      </c>
      <c r="INC22" t="s">
        <v>6873</v>
      </c>
      <c r="IND22" t="s">
        <v>6874</v>
      </c>
      <c r="INE22" t="s">
        <v>6875</v>
      </c>
      <c r="INF22" t="s">
        <v>6876</v>
      </c>
      <c r="ING22" t="s">
        <v>6877</v>
      </c>
      <c r="INH22" t="s">
        <v>6878</v>
      </c>
      <c r="INI22" t="s">
        <v>6879</v>
      </c>
      <c r="INJ22" t="s">
        <v>6880</v>
      </c>
      <c r="INK22" t="s">
        <v>6881</v>
      </c>
      <c r="INL22" t="s">
        <v>6882</v>
      </c>
      <c r="INM22" t="s">
        <v>6883</v>
      </c>
      <c r="INN22" t="s">
        <v>6884</v>
      </c>
      <c r="INO22" t="s">
        <v>6885</v>
      </c>
      <c r="INP22" t="s">
        <v>6886</v>
      </c>
      <c r="INQ22" t="s">
        <v>6887</v>
      </c>
      <c r="INR22" t="s">
        <v>6888</v>
      </c>
      <c r="INS22" t="s">
        <v>6889</v>
      </c>
      <c r="INT22" t="s">
        <v>6890</v>
      </c>
      <c r="INU22" t="s">
        <v>6891</v>
      </c>
      <c r="INV22" t="s">
        <v>6892</v>
      </c>
      <c r="INW22" t="s">
        <v>6893</v>
      </c>
      <c r="INX22" t="s">
        <v>6894</v>
      </c>
      <c r="INY22" t="s">
        <v>6895</v>
      </c>
      <c r="INZ22" t="s">
        <v>6896</v>
      </c>
      <c r="IOA22" t="s">
        <v>6897</v>
      </c>
      <c r="IOB22" t="s">
        <v>6898</v>
      </c>
      <c r="IOC22" t="s">
        <v>6899</v>
      </c>
      <c r="IOD22" t="s">
        <v>6900</v>
      </c>
      <c r="IOE22" t="s">
        <v>6901</v>
      </c>
      <c r="IOF22" t="s">
        <v>6902</v>
      </c>
      <c r="IOG22" t="s">
        <v>6903</v>
      </c>
      <c r="IOH22" t="s">
        <v>6904</v>
      </c>
      <c r="IOI22" t="s">
        <v>6905</v>
      </c>
      <c r="IOJ22" t="s">
        <v>6906</v>
      </c>
      <c r="IOK22" t="s">
        <v>6907</v>
      </c>
      <c r="IOL22" t="s">
        <v>6908</v>
      </c>
      <c r="IOM22" t="s">
        <v>6909</v>
      </c>
      <c r="ION22" t="s">
        <v>6910</v>
      </c>
      <c r="IOO22" t="s">
        <v>6911</v>
      </c>
      <c r="IOP22" t="s">
        <v>6912</v>
      </c>
      <c r="IOQ22" t="s">
        <v>6913</v>
      </c>
      <c r="IOR22" t="s">
        <v>6914</v>
      </c>
      <c r="IOS22" t="s">
        <v>6915</v>
      </c>
      <c r="IOT22" t="s">
        <v>6916</v>
      </c>
      <c r="IOU22" t="s">
        <v>6917</v>
      </c>
      <c r="IOV22" t="s">
        <v>6918</v>
      </c>
      <c r="IOW22" t="s">
        <v>6919</v>
      </c>
      <c r="IOX22" t="s">
        <v>6920</v>
      </c>
      <c r="IOY22" t="s">
        <v>6921</v>
      </c>
      <c r="IOZ22" t="s">
        <v>6922</v>
      </c>
      <c r="IPA22" t="s">
        <v>6923</v>
      </c>
      <c r="IPB22" t="s">
        <v>6924</v>
      </c>
      <c r="IPC22" t="s">
        <v>6925</v>
      </c>
      <c r="IPD22" t="s">
        <v>6926</v>
      </c>
      <c r="IPE22" t="s">
        <v>6927</v>
      </c>
      <c r="IPF22" t="s">
        <v>6928</v>
      </c>
      <c r="IPG22" t="s">
        <v>6929</v>
      </c>
      <c r="IPH22" t="s">
        <v>6930</v>
      </c>
      <c r="IPI22" t="s">
        <v>6931</v>
      </c>
      <c r="IPJ22" t="s">
        <v>6932</v>
      </c>
      <c r="IPK22" t="s">
        <v>6933</v>
      </c>
      <c r="IPL22" t="s">
        <v>6934</v>
      </c>
      <c r="IPM22" t="s">
        <v>6935</v>
      </c>
      <c r="IPN22" t="s">
        <v>6936</v>
      </c>
      <c r="IPO22" t="s">
        <v>6937</v>
      </c>
      <c r="IPP22" t="s">
        <v>6938</v>
      </c>
      <c r="IPQ22" t="s">
        <v>6939</v>
      </c>
      <c r="IPR22" t="s">
        <v>6940</v>
      </c>
      <c r="IPS22" t="s">
        <v>6941</v>
      </c>
      <c r="IPT22" t="s">
        <v>6942</v>
      </c>
      <c r="IPU22" t="s">
        <v>6943</v>
      </c>
      <c r="IPV22" t="s">
        <v>6944</v>
      </c>
      <c r="IPW22" t="s">
        <v>6945</v>
      </c>
      <c r="IPX22" t="s">
        <v>6946</v>
      </c>
      <c r="IPY22" t="s">
        <v>6947</v>
      </c>
      <c r="IPZ22" t="s">
        <v>6948</v>
      </c>
      <c r="IQA22" t="s">
        <v>6949</v>
      </c>
      <c r="IQB22" t="s">
        <v>6950</v>
      </c>
      <c r="IQC22" t="s">
        <v>6951</v>
      </c>
      <c r="IQD22" t="s">
        <v>6952</v>
      </c>
      <c r="IQE22" t="s">
        <v>6953</v>
      </c>
      <c r="IQF22" t="s">
        <v>6954</v>
      </c>
      <c r="IQG22" t="s">
        <v>6955</v>
      </c>
      <c r="IQH22" t="s">
        <v>6956</v>
      </c>
      <c r="IQI22" t="s">
        <v>6957</v>
      </c>
      <c r="IQJ22" t="s">
        <v>6958</v>
      </c>
      <c r="IQK22" t="s">
        <v>6959</v>
      </c>
      <c r="IQL22" t="s">
        <v>6960</v>
      </c>
      <c r="IQM22" t="s">
        <v>6961</v>
      </c>
      <c r="IQN22" t="s">
        <v>6962</v>
      </c>
      <c r="IQO22" t="s">
        <v>6963</v>
      </c>
      <c r="IQP22" t="s">
        <v>6964</v>
      </c>
      <c r="IQQ22" t="s">
        <v>6965</v>
      </c>
      <c r="IQR22" t="s">
        <v>6966</v>
      </c>
      <c r="IQS22" t="s">
        <v>6967</v>
      </c>
      <c r="IQT22" t="s">
        <v>6968</v>
      </c>
      <c r="IQU22" t="s">
        <v>6969</v>
      </c>
      <c r="IQV22" t="s">
        <v>6970</v>
      </c>
      <c r="IQW22" t="s">
        <v>6971</v>
      </c>
      <c r="IQX22" t="s">
        <v>6972</v>
      </c>
      <c r="IQY22" t="s">
        <v>6973</v>
      </c>
      <c r="IQZ22" t="s">
        <v>6974</v>
      </c>
      <c r="IRA22" t="s">
        <v>6975</v>
      </c>
      <c r="IRB22" t="s">
        <v>6976</v>
      </c>
      <c r="IRC22" t="s">
        <v>6977</v>
      </c>
      <c r="IRD22" t="s">
        <v>6978</v>
      </c>
      <c r="IRE22" t="s">
        <v>6979</v>
      </c>
      <c r="IRF22" t="s">
        <v>6980</v>
      </c>
      <c r="IRG22" t="s">
        <v>6981</v>
      </c>
      <c r="IRH22" t="s">
        <v>6982</v>
      </c>
      <c r="IRI22" t="s">
        <v>6983</v>
      </c>
      <c r="IRJ22" t="s">
        <v>6984</v>
      </c>
      <c r="IRK22" t="s">
        <v>6985</v>
      </c>
      <c r="IRL22" t="s">
        <v>6986</v>
      </c>
      <c r="IRM22" t="s">
        <v>6987</v>
      </c>
      <c r="IRN22" t="s">
        <v>6988</v>
      </c>
      <c r="IRO22" t="s">
        <v>6989</v>
      </c>
      <c r="IRP22" t="s">
        <v>6990</v>
      </c>
      <c r="IRQ22" t="s">
        <v>6991</v>
      </c>
      <c r="IRR22" t="s">
        <v>6992</v>
      </c>
      <c r="IRS22" t="s">
        <v>6993</v>
      </c>
      <c r="IRT22" t="s">
        <v>6994</v>
      </c>
      <c r="IRU22" t="s">
        <v>6995</v>
      </c>
      <c r="IRV22" t="s">
        <v>6996</v>
      </c>
      <c r="IRW22" t="s">
        <v>6997</v>
      </c>
      <c r="IRX22" t="s">
        <v>6998</v>
      </c>
      <c r="IRY22" t="s">
        <v>6999</v>
      </c>
      <c r="IRZ22" t="s">
        <v>7000</v>
      </c>
      <c r="ISA22" t="s">
        <v>7001</v>
      </c>
      <c r="ISB22" t="s">
        <v>7002</v>
      </c>
      <c r="ISC22" t="s">
        <v>7003</v>
      </c>
      <c r="ISD22" t="s">
        <v>7004</v>
      </c>
      <c r="ISE22" t="s">
        <v>7005</v>
      </c>
      <c r="ISF22" t="s">
        <v>7006</v>
      </c>
      <c r="ISG22" t="s">
        <v>7007</v>
      </c>
      <c r="ISH22" t="s">
        <v>7008</v>
      </c>
      <c r="ISI22" t="s">
        <v>7009</v>
      </c>
      <c r="ISJ22" t="s">
        <v>7010</v>
      </c>
      <c r="ISK22" t="s">
        <v>7011</v>
      </c>
      <c r="ISL22" t="s">
        <v>7012</v>
      </c>
      <c r="ISM22" t="s">
        <v>7013</v>
      </c>
      <c r="ISN22" t="s">
        <v>7014</v>
      </c>
      <c r="ISO22" t="s">
        <v>7015</v>
      </c>
      <c r="ISP22" t="s">
        <v>7016</v>
      </c>
      <c r="ISQ22" t="s">
        <v>7017</v>
      </c>
      <c r="ISR22" t="s">
        <v>7018</v>
      </c>
      <c r="ISS22" t="s">
        <v>7019</v>
      </c>
      <c r="IST22" t="s">
        <v>7020</v>
      </c>
      <c r="ISU22" t="s">
        <v>7021</v>
      </c>
      <c r="ISV22" t="s">
        <v>7022</v>
      </c>
      <c r="ISW22" t="s">
        <v>7023</v>
      </c>
      <c r="ISX22" t="s">
        <v>7024</v>
      </c>
      <c r="ISY22" t="s">
        <v>7025</v>
      </c>
      <c r="ISZ22" t="s">
        <v>7026</v>
      </c>
      <c r="ITA22" t="s">
        <v>7027</v>
      </c>
      <c r="ITB22" t="s">
        <v>7028</v>
      </c>
      <c r="ITC22" t="s">
        <v>7029</v>
      </c>
      <c r="ITD22" t="s">
        <v>7030</v>
      </c>
      <c r="ITE22" t="s">
        <v>7031</v>
      </c>
      <c r="ITF22" t="s">
        <v>7032</v>
      </c>
      <c r="ITG22" t="s">
        <v>7033</v>
      </c>
      <c r="ITH22" t="s">
        <v>7034</v>
      </c>
      <c r="ITI22" t="s">
        <v>7035</v>
      </c>
      <c r="ITJ22" t="s">
        <v>7036</v>
      </c>
      <c r="ITK22" t="s">
        <v>7037</v>
      </c>
      <c r="ITL22" t="s">
        <v>7038</v>
      </c>
      <c r="ITM22" t="s">
        <v>7039</v>
      </c>
      <c r="ITN22" t="s">
        <v>7040</v>
      </c>
      <c r="ITO22" t="s">
        <v>7041</v>
      </c>
      <c r="ITP22" t="s">
        <v>7042</v>
      </c>
      <c r="ITQ22" t="s">
        <v>7043</v>
      </c>
      <c r="ITR22" t="s">
        <v>7044</v>
      </c>
      <c r="ITS22" t="s">
        <v>7045</v>
      </c>
      <c r="ITT22" t="s">
        <v>7046</v>
      </c>
      <c r="ITU22" t="s">
        <v>7047</v>
      </c>
      <c r="ITV22" t="s">
        <v>7048</v>
      </c>
      <c r="ITW22" t="s">
        <v>7049</v>
      </c>
      <c r="ITX22" t="s">
        <v>7050</v>
      </c>
      <c r="ITY22" t="s">
        <v>7051</v>
      </c>
      <c r="ITZ22" t="s">
        <v>7052</v>
      </c>
      <c r="IUA22" t="s">
        <v>7053</v>
      </c>
      <c r="IUB22" t="s">
        <v>7054</v>
      </c>
      <c r="IUC22" t="s">
        <v>7055</v>
      </c>
      <c r="IUD22" t="s">
        <v>7056</v>
      </c>
      <c r="IUE22" t="s">
        <v>7057</v>
      </c>
      <c r="IUF22" t="s">
        <v>7058</v>
      </c>
      <c r="IUG22" t="s">
        <v>7059</v>
      </c>
      <c r="IUH22" t="s">
        <v>7060</v>
      </c>
      <c r="IUI22" t="s">
        <v>7061</v>
      </c>
      <c r="IUJ22" t="s">
        <v>7062</v>
      </c>
      <c r="IUK22" t="s">
        <v>7063</v>
      </c>
      <c r="IUL22" t="s">
        <v>7064</v>
      </c>
      <c r="IUM22" t="s">
        <v>7065</v>
      </c>
      <c r="IUN22" t="s">
        <v>7066</v>
      </c>
      <c r="IUO22" t="s">
        <v>7067</v>
      </c>
      <c r="IUP22" t="s">
        <v>7068</v>
      </c>
      <c r="IUQ22" t="s">
        <v>7069</v>
      </c>
      <c r="IUR22" t="s">
        <v>7070</v>
      </c>
      <c r="IUS22" t="s">
        <v>7071</v>
      </c>
      <c r="IUT22" t="s">
        <v>7072</v>
      </c>
      <c r="IUU22" t="s">
        <v>7073</v>
      </c>
      <c r="IUV22" t="s">
        <v>7074</v>
      </c>
      <c r="IUW22" t="s">
        <v>7075</v>
      </c>
      <c r="IUX22" t="s">
        <v>7076</v>
      </c>
      <c r="IUY22" t="s">
        <v>7077</v>
      </c>
      <c r="IUZ22" t="s">
        <v>7078</v>
      </c>
      <c r="IVA22" t="s">
        <v>7079</v>
      </c>
      <c r="IVB22" t="s">
        <v>7080</v>
      </c>
      <c r="IVC22" t="s">
        <v>7081</v>
      </c>
      <c r="IVD22" t="s">
        <v>7082</v>
      </c>
      <c r="IVE22" t="s">
        <v>7083</v>
      </c>
      <c r="IVF22" t="s">
        <v>7084</v>
      </c>
      <c r="IVG22" t="s">
        <v>7085</v>
      </c>
      <c r="IVH22" t="s">
        <v>7086</v>
      </c>
      <c r="IVI22" t="s">
        <v>7087</v>
      </c>
      <c r="IVJ22" t="s">
        <v>7088</v>
      </c>
      <c r="IVK22" t="s">
        <v>7089</v>
      </c>
      <c r="IVL22" t="s">
        <v>7090</v>
      </c>
      <c r="IVM22" t="s">
        <v>7091</v>
      </c>
      <c r="IVN22" t="s">
        <v>7092</v>
      </c>
      <c r="IVO22" t="s">
        <v>7093</v>
      </c>
      <c r="IVP22" t="s">
        <v>7094</v>
      </c>
      <c r="IVQ22" t="s">
        <v>7095</v>
      </c>
      <c r="IVR22" t="s">
        <v>7096</v>
      </c>
      <c r="IVS22" t="s">
        <v>7097</v>
      </c>
      <c r="IVT22" t="s">
        <v>7098</v>
      </c>
      <c r="IVU22" t="s">
        <v>7099</v>
      </c>
      <c r="IVV22" t="s">
        <v>7100</v>
      </c>
      <c r="IVW22" t="s">
        <v>7101</v>
      </c>
      <c r="IVX22" t="s">
        <v>7102</v>
      </c>
      <c r="IVY22" t="s">
        <v>7103</v>
      </c>
      <c r="IVZ22" t="s">
        <v>7104</v>
      </c>
      <c r="IWA22" t="s">
        <v>7105</v>
      </c>
      <c r="IWB22" t="s">
        <v>7106</v>
      </c>
      <c r="IWC22" t="s">
        <v>7107</v>
      </c>
      <c r="IWD22" t="s">
        <v>7108</v>
      </c>
      <c r="IWE22" t="s">
        <v>7109</v>
      </c>
      <c r="IWF22" t="s">
        <v>7110</v>
      </c>
      <c r="IWG22" t="s">
        <v>7111</v>
      </c>
      <c r="IWH22" t="s">
        <v>7112</v>
      </c>
      <c r="IWI22" t="s">
        <v>7113</v>
      </c>
      <c r="IWJ22" t="s">
        <v>7114</v>
      </c>
      <c r="IWK22" t="s">
        <v>7115</v>
      </c>
      <c r="IWL22" t="s">
        <v>7116</v>
      </c>
      <c r="IWM22" t="s">
        <v>7117</v>
      </c>
      <c r="IWN22" t="s">
        <v>7118</v>
      </c>
      <c r="IWO22" t="s">
        <v>7119</v>
      </c>
      <c r="IWP22" t="s">
        <v>7120</v>
      </c>
      <c r="IWQ22" t="s">
        <v>7121</v>
      </c>
      <c r="IWR22" t="s">
        <v>7122</v>
      </c>
      <c r="IWS22" t="s">
        <v>7123</v>
      </c>
      <c r="IWT22" t="s">
        <v>7124</v>
      </c>
      <c r="IWU22" t="s">
        <v>7125</v>
      </c>
      <c r="IWV22" t="s">
        <v>7126</v>
      </c>
      <c r="IWW22" t="s">
        <v>7127</v>
      </c>
      <c r="IWX22" t="s">
        <v>7128</v>
      </c>
      <c r="IWY22" t="s">
        <v>7129</v>
      </c>
      <c r="IWZ22" t="s">
        <v>7130</v>
      </c>
      <c r="IXA22" t="s">
        <v>7131</v>
      </c>
      <c r="IXB22" t="s">
        <v>7132</v>
      </c>
      <c r="IXC22" t="s">
        <v>7133</v>
      </c>
      <c r="IXD22" t="s">
        <v>7134</v>
      </c>
      <c r="IXE22" t="s">
        <v>7135</v>
      </c>
      <c r="IXF22" t="s">
        <v>7136</v>
      </c>
      <c r="IXG22" t="s">
        <v>7137</v>
      </c>
      <c r="IXH22" t="s">
        <v>7138</v>
      </c>
      <c r="IXI22" t="s">
        <v>7139</v>
      </c>
      <c r="IXJ22" t="s">
        <v>7140</v>
      </c>
      <c r="IXK22" t="s">
        <v>7141</v>
      </c>
      <c r="IXL22" t="s">
        <v>7142</v>
      </c>
      <c r="IXM22" t="s">
        <v>7143</v>
      </c>
      <c r="IXN22" t="s">
        <v>7144</v>
      </c>
      <c r="IXO22" t="s">
        <v>7145</v>
      </c>
      <c r="IXP22" t="s">
        <v>7146</v>
      </c>
      <c r="IXQ22" t="s">
        <v>7147</v>
      </c>
      <c r="IXR22" t="s">
        <v>7148</v>
      </c>
      <c r="IXS22" t="s">
        <v>7149</v>
      </c>
      <c r="IXT22" t="s">
        <v>7150</v>
      </c>
      <c r="IXU22" t="s">
        <v>7151</v>
      </c>
      <c r="IXV22" t="s">
        <v>7152</v>
      </c>
      <c r="IXW22" t="s">
        <v>7153</v>
      </c>
      <c r="IXX22" t="s">
        <v>7154</v>
      </c>
      <c r="IXY22" t="s">
        <v>7155</v>
      </c>
      <c r="IXZ22" t="s">
        <v>7156</v>
      </c>
      <c r="IYA22" t="s">
        <v>7157</v>
      </c>
      <c r="IYB22" t="s">
        <v>7158</v>
      </c>
      <c r="IYC22" t="s">
        <v>7159</v>
      </c>
      <c r="IYD22" t="s">
        <v>7160</v>
      </c>
      <c r="IYE22" t="s">
        <v>7161</v>
      </c>
      <c r="IYF22" t="s">
        <v>7162</v>
      </c>
      <c r="IYG22" t="s">
        <v>7163</v>
      </c>
      <c r="IYH22" t="s">
        <v>7164</v>
      </c>
      <c r="IYI22" t="s">
        <v>7165</v>
      </c>
      <c r="IYJ22" t="s">
        <v>7166</v>
      </c>
      <c r="IYK22" t="s">
        <v>7167</v>
      </c>
      <c r="IYL22" t="s">
        <v>7168</v>
      </c>
      <c r="IYM22" t="s">
        <v>7169</v>
      </c>
      <c r="IYN22" t="s">
        <v>7170</v>
      </c>
      <c r="IYO22" t="s">
        <v>7171</v>
      </c>
      <c r="IYP22" t="s">
        <v>7172</v>
      </c>
      <c r="IYQ22" t="s">
        <v>7173</v>
      </c>
      <c r="IYR22" t="s">
        <v>7174</v>
      </c>
      <c r="IYS22" t="s">
        <v>7175</v>
      </c>
      <c r="IYT22" t="s">
        <v>7176</v>
      </c>
      <c r="IYU22" t="s">
        <v>7177</v>
      </c>
      <c r="IYV22" t="s">
        <v>7178</v>
      </c>
      <c r="IYW22" t="s">
        <v>7179</v>
      </c>
      <c r="IYX22" t="s">
        <v>7180</v>
      </c>
      <c r="IYY22" t="s">
        <v>7181</v>
      </c>
      <c r="IYZ22" t="s">
        <v>7182</v>
      </c>
      <c r="IZA22" t="s">
        <v>7183</v>
      </c>
      <c r="IZB22" t="s">
        <v>7184</v>
      </c>
      <c r="IZC22" t="s">
        <v>7185</v>
      </c>
      <c r="IZD22" t="s">
        <v>7186</v>
      </c>
      <c r="IZE22" t="s">
        <v>7187</v>
      </c>
      <c r="IZF22" t="s">
        <v>7188</v>
      </c>
      <c r="IZG22" t="s">
        <v>7189</v>
      </c>
      <c r="IZH22" t="s">
        <v>7190</v>
      </c>
      <c r="IZI22" t="s">
        <v>7191</v>
      </c>
      <c r="IZJ22" t="s">
        <v>7192</v>
      </c>
      <c r="IZK22" t="s">
        <v>7193</v>
      </c>
      <c r="IZL22" t="s">
        <v>7194</v>
      </c>
      <c r="IZM22" t="s">
        <v>7195</v>
      </c>
      <c r="IZN22" t="s">
        <v>7196</v>
      </c>
      <c r="IZO22" t="s">
        <v>7197</v>
      </c>
      <c r="IZP22" t="s">
        <v>7198</v>
      </c>
      <c r="IZQ22" t="s">
        <v>7199</v>
      </c>
      <c r="IZR22" t="s">
        <v>7200</v>
      </c>
      <c r="IZS22" t="s">
        <v>7201</v>
      </c>
      <c r="IZT22" t="s">
        <v>7202</v>
      </c>
      <c r="IZU22" t="s">
        <v>7203</v>
      </c>
      <c r="IZV22" t="s">
        <v>7204</v>
      </c>
      <c r="IZW22" t="s">
        <v>7205</v>
      </c>
      <c r="IZX22" t="s">
        <v>7206</v>
      </c>
      <c r="IZY22" t="s">
        <v>7207</v>
      </c>
      <c r="IZZ22" t="s">
        <v>7208</v>
      </c>
      <c r="JAA22" t="s">
        <v>7209</v>
      </c>
      <c r="JAB22" t="s">
        <v>7210</v>
      </c>
      <c r="JAC22" t="s">
        <v>7211</v>
      </c>
      <c r="JAD22" t="s">
        <v>7212</v>
      </c>
      <c r="JAE22" t="s">
        <v>7213</v>
      </c>
      <c r="JAF22" t="s">
        <v>7214</v>
      </c>
      <c r="JAG22" t="s">
        <v>7215</v>
      </c>
      <c r="JAH22" t="s">
        <v>7216</v>
      </c>
      <c r="JAI22" t="s">
        <v>7217</v>
      </c>
      <c r="JAJ22" t="s">
        <v>7218</v>
      </c>
      <c r="JAK22" t="s">
        <v>7219</v>
      </c>
      <c r="JAL22" t="s">
        <v>7220</v>
      </c>
      <c r="JAM22" t="s">
        <v>7221</v>
      </c>
      <c r="JAN22" t="s">
        <v>7222</v>
      </c>
      <c r="JAO22" t="s">
        <v>7223</v>
      </c>
      <c r="JAP22" t="s">
        <v>7224</v>
      </c>
      <c r="JAQ22" t="s">
        <v>7225</v>
      </c>
      <c r="JAR22" t="s">
        <v>7226</v>
      </c>
      <c r="JAS22" t="s">
        <v>7227</v>
      </c>
      <c r="JAT22" t="s">
        <v>7228</v>
      </c>
      <c r="JAU22" t="s">
        <v>7229</v>
      </c>
      <c r="JAV22" t="s">
        <v>7230</v>
      </c>
      <c r="JAW22" t="s">
        <v>7231</v>
      </c>
      <c r="JAX22" t="s">
        <v>7232</v>
      </c>
      <c r="JAY22" t="s">
        <v>7233</v>
      </c>
      <c r="JAZ22" t="s">
        <v>7234</v>
      </c>
      <c r="JBA22" t="s">
        <v>7235</v>
      </c>
      <c r="JBB22" t="s">
        <v>7236</v>
      </c>
      <c r="JBC22" t="s">
        <v>7237</v>
      </c>
      <c r="JBD22" t="s">
        <v>7238</v>
      </c>
      <c r="JBE22" t="s">
        <v>7239</v>
      </c>
      <c r="JBF22" t="s">
        <v>7240</v>
      </c>
      <c r="JBG22" t="s">
        <v>7241</v>
      </c>
      <c r="JBH22" t="s">
        <v>7242</v>
      </c>
      <c r="JBI22" t="s">
        <v>7243</v>
      </c>
      <c r="JBJ22" t="s">
        <v>7244</v>
      </c>
      <c r="JBK22" t="s">
        <v>7245</v>
      </c>
      <c r="JBL22" t="s">
        <v>7246</v>
      </c>
      <c r="JBM22" t="s">
        <v>7247</v>
      </c>
      <c r="JBN22" t="s">
        <v>7248</v>
      </c>
      <c r="JBO22" t="s">
        <v>7249</v>
      </c>
      <c r="JBP22" t="s">
        <v>7250</v>
      </c>
      <c r="JBQ22" t="s">
        <v>7251</v>
      </c>
      <c r="JBR22" t="s">
        <v>7252</v>
      </c>
      <c r="JBS22" t="s">
        <v>7253</v>
      </c>
      <c r="JBT22" t="s">
        <v>7254</v>
      </c>
      <c r="JBU22" t="s">
        <v>7255</v>
      </c>
      <c r="JBV22" t="s">
        <v>7256</v>
      </c>
      <c r="JBW22" t="s">
        <v>7257</v>
      </c>
      <c r="JBX22" t="s">
        <v>7258</v>
      </c>
      <c r="JBY22" t="s">
        <v>7259</v>
      </c>
      <c r="JBZ22" t="s">
        <v>7260</v>
      </c>
      <c r="JCA22" t="s">
        <v>7261</v>
      </c>
      <c r="JCB22" t="s">
        <v>7262</v>
      </c>
      <c r="JCC22" t="s">
        <v>7263</v>
      </c>
      <c r="JCD22" t="s">
        <v>7264</v>
      </c>
      <c r="JCE22" t="s">
        <v>7265</v>
      </c>
      <c r="JCF22" t="s">
        <v>7266</v>
      </c>
      <c r="JCG22" t="s">
        <v>7267</v>
      </c>
      <c r="JCH22" t="s">
        <v>7268</v>
      </c>
      <c r="JCI22" t="s">
        <v>7269</v>
      </c>
      <c r="JCJ22" t="s">
        <v>7270</v>
      </c>
      <c r="JCK22" t="s">
        <v>7271</v>
      </c>
      <c r="JCL22" t="s">
        <v>7272</v>
      </c>
      <c r="JCM22" t="s">
        <v>7273</v>
      </c>
      <c r="JCN22" t="s">
        <v>7274</v>
      </c>
      <c r="JCO22" t="s">
        <v>7275</v>
      </c>
      <c r="JCP22" t="s">
        <v>7276</v>
      </c>
      <c r="JCQ22" t="s">
        <v>7277</v>
      </c>
      <c r="JCR22" t="s">
        <v>7278</v>
      </c>
      <c r="JCS22" t="s">
        <v>7279</v>
      </c>
      <c r="JCT22" t="s">
        <v>7280</v>
      </c>
      <c r="JCU22" t="s">
        <v>7281</v>
      </c>
      <c r="JCV22" t="s">
        <v>7282</v>
      </c>
      <c r="JCW22" t="s">
        <v>7283</v>
      </c>
      <c r="JCX22" t="s">
        <v>7284</v>
      </c>
      <c r="JCY22" t="s">
        <v>7285</v>
      </c>
      <c r="JCZ22" t="s">
        <v>7286</v>
      </c>
      <c r="JDA22" t="s">
        <v>7287</v>
      </c>
      <c r="JDB22" t="s">
        <v>7288</v>
      </c>
      <c r="JDC22" t="s">
        <v>7289</v>
      </c>
      <c r="JDD22" t="s">
        <v>7290</v>
      </c>
      <c r="JDE22" t="s">
        <v>7291</v>
      </c>
      <c r="JDF22" t="s">
        <v>7292</v>
      </c>
      <c r="JDG22" t="s">
        <v>7293</v>
      </c>
      <c r="JDH22" t="s">
        <v>7294</v>
      </c>
      <c r="JDI22" t="s">
        <v>7295</v>
      </c>
      <c r="JDJ22" t="s">
        <v>7296</v>
      </c>
      <c r="JDK22" t="s">
        <v>7297</v>
      </c>
      <c r="JDL22" t="s">
        <v>7298</v>
      </c>
      <c r="JDM22" t="s">
        <v>7299</v>
      </c>
      <c r="JDN22" t="s">
        <v>7300</v>
      </c>
      <c r="JDO22" t="s">
        <v>7301</v>
      </c>
      <c r="JDP22" t="s">
        <v>7302</v>
      </c>
      <c r="JDQ22" t="s">
        <v>7303</v>
      </c>
      <c r="JDR22" t="s">
        <v>7304</v>
      </c>
      <c r="JDS22" t="s">
        <v>7305</v>
      </c>
      <c r="JDT22" t="s">
        <v>7306</v>
      </c>
      <c r="JDU22" t="s">
        <v>7307</v>
      </c>
      <c r="JDV22" t="s">
        <v>7308</v>
      </c>
      <c r="JDW22" t="s">
        <v>7309</v>
      </c>
      <c r="JDX22" t="s">
        <v>7310</v>
      </c>
      <c r="JDY22" t="s">
        <v>7311</v>
      </c>
      <c r="JDZ22" t="s">
        <v>7312</v>
      </c>
      <c r="JEA22" t="s">
        <v>7313</v>
      </c>
      <c r="JEB22" t="s">
        <v>7314</v>
      </c>
      <c r="JEC22" t="s">
        <v>7315</v>
      </c>
      <c r="JED22" t="s">
        <v>7316</v>
      </c>
      <c r="JEE22" t="s">
        <v>7317</v>
      </c>
      <c r="JEF22" t="s">
        <v>7318</v>
      </c>
      <c r="JEG22" t="s">
        <v>7319</v>
      </c>
      <c r="JEH22" t="s">
        <v>7320</v>
      </c>
      <c r="JEI22" t="s">
        <v>7321</v>
      </c>
      <c r="JEJ22" t="s">
        <v>7322</v>
      </c>
      <c r="JEK22" t="s">
        <v>7323</v>
      </c>
      <c r="JEL22" t="s">
        <v>7324</v>
      </c>
      <c r="JEM22" t="s">
        <v>7325</v>
      </c>
      <c r="JEN22" t="s">
        <v>7326</v>
      </c>
      <c r="JEO22" t="s">
        <v>7327</v>
      </c>
      <c r="JEP22" t="s">
        <v>7328</v>
      </c>
      <c r="JEQ22" t="s">
        <v>7329</v>
      </c>
      <c r="JER22" t="s">
        <v>7330</v>
      </c>
      <c r="JES22" t="s">
        <v>7331</v>
      </c>
      <c r="JET22" t="s">
        <v>7332</v>
      </c>
      <c r="JEU22" t="s">
        <v>7333</v>
      </c>
      <c r="JEV22" t="s">
        <v>7334</v>
      </c>
      <c r="JEW22" t="s">
        <v>7335</v>
      </c>
      <c r="JEX22" t="s">
        <v>7336</v>
      </c>
      <c r="JEY22" t="s">
        <v>7337</v>
      </c>
      <c r="JEZ22" t="s">
        <v>7338</v>
      </c>
      <c r="JFA22" t="s">
        <v>7339</v>
      </c>
      <c r="JFB22" t="s">
        <v>7340</v>
      </c>
      <c r="JFC22" t="s">
        <v>7341</v>
      </c>
      <c r="JFD22" t="s">
        <v>7342</v>
      </c>
      <c r="JFE22" t="s">
        <v>7343</v>
      </c>
      <c r="JFF22" t="s">
        <v>7344</v>
      </c>
      <c r="JFG22" t="s">
        <v>7345</v>
      </c>
      <c r="JFH22" t="s">
        <v>7346</v>
      </c>
      <c r="JFI22" t="s">
        <v>7347</v>
      </c>
      <c r="JFJ22" t="s">
        <v>7348</v>
      </c>
      <c r="JFK22" t="s">
        <v>7349</v>
      </c>
      <c r="JFL22" t="s">
        <v>7350</v>
      </c>
      <c r="JFM22" t="s">
        <v>7351</v>
      </c>
      <c r="JFN22" t="s">
        <v>7352</v>
      </c>
      <c r="JFO22" t="s">
        <v>7353</v>
      </c>
      <c r="JFP22" t="s">
        <v>7354</v>
      </c>
      <c r="JFQ22" t="s">
        <v>7355</v>
      </c>
      <c r="JFR22" t="s">
        <v>7356</v>
      </c>
      <c r="JFS22" t="s">
        <v>7357</v>
      </c>
      <c r="JFT22" t="s">
        <v>7358</v>
      </c>
      <c r="JFU22" t="s">
        <v>7359</v>
      </c>
      <c r="JFV22" t="s">
        <v>7360</v>
      </c>
      <c r="JFW22" t="s">
        <v>7361</v>
      </c>
      <c r="JFX22" t="s">
        <v>7362</v>
      </c>
      <c r="JFY22" t="s">
        <v>7363</v>
      </c>
      <c r="JFZ22" t="s">
        <v>7364</v>
      </c>
      <c r="JGA22" t="s">
        <v>7365</v>
      </c>
      <c r="JGB22" t="s">
        <v>7366</v>
      </c>
      <c r="JGC22" t="s">
        <v>7367</v>
      </c>
      <c r="JGD22" t="s">
        <v>7368</v>
      </c>
      <c r="JGE22" t="s">
        <v>7369</v>
      </c>
      <c r="JGF22" t="s">
        <v>7370</v>
      </c>
      <c r="JGG22" t="s">
        <v>7371</v>
      </c>
      <c r="JGH22" t="s">
        <v>7372</v>
      </c>
      <c r="JGI22" t="s">
        <v>7373</v>
      </c>
      <c r="JGJ22" t="s">
        <v>7374</v>
      </c>
      <c r="JGK22" t="s">
        <v>7375</v>
      </c>
      <c r="JGL22" t="s">
        <v>7376</v>
      </c>
      <c r="JGM22" t="s">
        <v>7377</v>
      </c>
      <c r="JGN22" t="s">
        <v>7378</v>
      </c>
      <c r="JGO22" t="s">
        <v>7379</v>
      </c>
      <c r="JGP22" t="s">
        <v>7380</v>
      </c>
      <c r="JGQ22" t="s">
        <v>7381</v>
      </c>
      <c r="JGR22" t="s">
        <v>7382</v>
      </c>
      <c r="JGS22" t="s">
        <v>7383</v>
      </c>
      <c r="JGT22" t="s">
        <v>7384</v>
      </c>
      <c r="JGU22" t="s">
        <v>7385</v>
      </c>
      <c r="JGV22" t="s">
        <v>7386</v>
      </c>
      <c r="JGW22" t="s">
        <v>7387</v>
      </c>
      <c r="JGX22" t="s">
        <v>7388</v>
      </c>
      <c r="JGY22" t="s">
        <v>7389</v>
      </c>
      <c r="JGZ22" t="s">
        <v>7390</v>
      </c>
      <c r="JHA22" t="s">
        <v>7391</v>
      </c>
      <c r="JHB22" t="s">
        <v>7392</v>
      </c>
      <c r="JHC22" t="s">
        <v>7393</v>
      </c>
      <c r="JHD22" t="s">
        <v>7394</v>
      </c>
      <c r="JHE22" t="s">
        <v>7395</v>
      </c>
      <c r="JHF22" t="s">
        <v>7396</v>
      </c>
      <c r="JHG22" t="s">
        <v>7397</v>
      </c>
      <c r="JHH22" t="s">
        <v>7398</v>
      </c>
      <c r="JHI22" t="s">
        <v>7399</v>
      </c>
      <c r="JHJ22" t="s">
        <v>7400</v>
      </c>
      <c r="JHK22" t="s">
        <v>7401</v>
      </c>
      <c r="JHL22" t="s">
        <v>7402</v>
      </c>
      <c r="JHM22" t="s">
        <v>7403</v>
      </c>
      <c r="JHN22" t="s">
        <v>7404</v>
      </c>
      <c r="JHO22" t="s">
        <v>7405</v>
      </c>
      <c r="JHP22" t="s">
        <v>7406</v>
      </c>
      <c r="JHQ22" t="s">
        <v>7407</v>
      </c>
      <c r="JHR22" t="s">
        <v>7408</v>
      </c>
      <c r="JHS22" t="s">
        <v>7409</v>
      </c>
      <c r="JHT22" t="s">
        <v>7410</v>
      </c>
      <c r="JHU22" t="s">
        <v>7411</v>
      </c>
      <c r="JHV22" t="s">
        <v>7412</v>
      </c>
      <c r="JHW22" t="s">
        <v>7413</v>
      </c>
      <c r="JHX22" t="s">
        <v>7414</v>
      </c>
      <c r="JHY22" t="s">
        <v>7415</v>
      </c>
      <c r="JHZ22" t="s">
        <v>7416</v>
      </c>
      <c r="JIA22" t="s">
        <v>7417</v>
      </c>
      <c r="JIB22" t="s">
        <v>7418</v>
      </c>
      <c r="JIC22" t="s">
        <v>7419</v>
      </c>
      <c r="JID22" t="s">
        <v>7420</v>
      </c>
      <c r="JIE22" t="s">
        <v>7421</v>
      </c>
      <c r="JIF22" t="s">
        <v>7422</v>
      </c>
      <c r="JIG22" t="s">
        <v>7423</v>
      </c>
      <c r="JIH22" t="s">
        <v>7424</v>
      </c>
      <c r="JII22" t="s">
        <v>7425</v>
      </c>
      <c r="JIJ22" t="s">
        <v>7426</v>
      </c>
      <c r="JIK22" t="s">
        <v>7427</v>
      </c>
      <c r="JIL22" t="s">
        <v>7428</v>
      </c>
      <c r="JIM22" t="s">
        <v>7429</v>
      </c>
      <c r="JIN22" t="s">
        <v>7430</v>
      </c>
      <c r="JIO22" t="s">
        <v>7431</v>
      </c>
      <c r="JIP22" t="s">
        <v>7432</v>
      </c>
      <c r="JIQ22" t="s">
        <v>7433</v>
      </c>
      <c r="JIR22" t="s">
        <v>7434</v>
      </c>
      <c r="JIS22" t="s">
        <v>7435</v>
      </c>
      <c r="JIT22" t="s">
        <v>7436</v>
      </c>
      <c r="JIU22" t="s">
        <v>7437</v>
      </c>
      <c r="JIV22" t="s">
        <v>7438</v>
      </c>
      <c r="JIW22" t="s">
        <v>7439</v>
      </c>
      <c r="JIX22" t="s">
        <v>7440</v>
      </c>
      <c r="JIY22" t="s">
        <v>7441</v>
      </c>
      <c r="JIZ22" t="s">
        <v>7442</v>
      </c>
      <c r="JJA22" t="s">
        <v>7443</v>
      </c>
      <c r="JJB22" t="s">
        <v>7444</v>
      </c>
      <c r="JJC22" t="s">
        <v>7445</v>
      </c>
      <c r="JJD22" t="s">
        <v>7446</v>
      </c>
      <c r="JJE22" t="s">
        <v>7447</v>
      </c>
      <c r="JJF22" t="s">
        <v>7448</v>
      </c>
      <c r="JJG22" t="s">
        <v>7449</v>
      </c>
      <c r="JJH22" t="s">
        <v>7450</v>
      </c>
      <c r="JJI22" t="s">
        <v>7451</v>
      </c>
      <c r="JJJ22" t="s">
        <v>7452</v>
      </c>
      <c r="JJK22" t="s">
        <v>7453</v>
      </c>
      <c r="JJL22" t="s">
        <v>7454</v>
      </c>
      <c r="JJM22" t="s">
        <v>7455</v>
      </c>
      <c r="JJN22" t="s">
        <v>7456</v>
      </c>
      <c r="JJO22" t="s">
        <v>7457</v>
      </c>
      <c r="JJP22" t="s">
        <v>7458</v>
      </c>
      <c r="JJQ22" t="s">
        <v>7459</v>
      </c>
      <c r="JJR22" t="s">
        <v>7460</v>
      </c>
      <c r="JJS22" t="s">
        <v>7461</v>
      </c>
      <c r="JJT22" t="s">
        <v>7462</v>
      </c>
      <c r="JJU22" t="s">
        <v>7463</v>
      </c>
      <c r="JJV22" t="s">
        <v>7464</v>
      </c>
      <c r="JJW22" t="s">
        <v>7465</v>
      </c>
      <c r="JJX22" t="s">
        <v>7466</v>
      </c>
      <c r="JJY22" t="s">
        <v>7467</v>
      </c>
      <c r="JJZ22" t="s">
        <v>7468</v>
      </c>
      <c r="JKA22" t="s">
        <v>7469</v>
      </c>
      <c r="JKB22" t="s">
        <v>7470</v>
      </c>
      <c r="JKC22" t="s">
        <v>7471</v>
      </c>
      <c r="JKD22" t="s">
        <v>7472</v>
      </c>
      <c r="JKE22" t="s">
        <v>7473</v>
      </c>
      <c r="JKF22" t="s">
        <v>7474</v>
      </c>
      <c r="JKG22" t="s">
        <v>7475</v>
      </c>
      <c r="JKH22" t="s">
        <v>7476</v>
      </c>
      <c r="JKI22" t="s">
        <v>7477</v>
      </c>
      <c r="JKJ22" t="s">
        <v>7478</v>
      </c>
      <c r="JKK22" t="s">
        <v>7479</v>
      </c>
      <c r="JKL22" t="s">
        <v>7480</v>
      </c>
      <c r="JKM22" t="s">
        <v>7481</v>
      </c>
      <c r="JKN22" t="s">
        <v>7482</v>
      </c>
      <c r="JKO22" t="s">
        <v>7483</v>
      </c>
      <c r="JKP22" t="s">
        <v>7484</v>
      </c>
      <c r="JKQ22" t="s">
        <v>7485</v>
      </c>
      <c r="JKR22" t="s">
        <v>7486</v>
      </c>
      <c r="JKS22" t="s">
        <v>7487</v>
      </c>
      <c r="JKT22" t="s">
        <v>7488</v>
      </c>
      <c r="JKU22" t="s">
        <v>7489</v>
      </c>
      <c r="JKV22" t="s">
        <v>7490</v>
      </c>
      <c r="JKW22" t="s">
        <v>7491</v>
      </c>
      <c r="JKX22" t="s">
        <v>7492</v>
      </c>
      <c r="JKY22" t="s">
        <v>7493</v>
      </c>
      <c r="JKZ22" t="s">
        <v>7494</v>
      </c>
      <c r="JLA22" t="s">
        <v>7495</v>
      </c>
      <c r="JLB22" t="s">
        <v>7496</v>
      </c>
      <c r="JLC22" t="s">
        <v>7497</v>
      </c>
      <c r="JLD22" t="s">
        <v>7498</v>
      </c>
      <c r="JLE22" t="s">
        <v>7499</v>
      </c>
      <c r="JLF22" t="s">
        <v>7500</v>
      </c>
      <c r="JLG22" t="s">
        <v>7501</v>
      </c>
      <c r="JLH22" t="s">
        <v>7502</v>
      </c>
      <c r="JLI22" t="s">
        <v>7503</v>
      </c>
      <c r="JLJ22" t="s">
        <v>7504</v>
      </c>
      <c r="JLK22" t="s">
        <v>7505</v>
      </c>
      <c r="JLL22" t="s">
        <v>7506</v>
      </c>
      <c r="JLM22" t="s">
        <v>7507</v>
      </c>
      <c r="JLN22" t="s">
        <v>7508</v>
      </c>
      <c r="JLO22" t="s">
        <v>7509</v>
      </c>
      <c r="JLP22" t="s">
        <v>7510</v>
      </c>
      <c r="JLQ22" t="s">
        <v>7511</v>
      </c>
      <c r="JLR22" t="s">
        <v>7512</v>
      </c>
      <c r="JLS22" t="s">
        <v>7513</v>
      </c>
      <c r="JLT22" t="s">
        <v>7514</v>
      </c>
      <c r="JLU22" t="s">
        <v>7515</v>
      </c>
      <c r="JLV22" t="s">
        <v>7516</v>
      </c>
      <c r="JLW22" t="s">
        <v>7517</v>
      </c>
      <c r="JLX22" t="s">
        <v>7518</v>
      </c>
      <c r="JLY22" t="s">
        <v>7519</v>
      </c>
      <c r="JLZ22" t="s">
        <v>7520</v>
      </c>
      <c r="JMA22" t="s">
        <v>7521</v>
      </c>
      <c r="JMB22" t="s">
        <v>7522</v>
      </c>
      <c r="JMC22" t="s">
        <v>7523</v>
      </c>
      <c r="JMD22" t="s">
        <v>7524</v>
      </c>
      <c r="JME22" t="s">
        <v>7525</v>
      </c>
      <c r="JMF22" t="s">
        <v>7526</v>
      </c>
      <c r="JMG22" t="s">
        <v>7527</v>
      </c>
      <c r="JMH22" t="s">
        <v>7528</v>
      </c>
      <c r="JMI22" t="s">
        <v>7529</v>
      </c>
      <c r="JMJ22" t="s">
        <v>7530</v>
      </c>
      <c r="JMK22" t="s">
        <v>7531</v>
      </c>
      <c r="JML22" t="s">
        <v>7532</v>
      </c>
      <c r="JMM22" t="s">
        <v>7533</v>
      </c>
      <c r="JMN22" t="s">
        <v>7534</v>
      </c>
      <c r="JMO22" t="s">
        <v>7535</v>
      </c>
      <c r="JMP22" t="s">
        <v>7536</v>
      </c>
      <c r="JMQ22" t="s">
        <v>7537</v>
      </c>
      <c r="JMR22" t="s">
        <v>7538</v>
      </c>
      <c r="JMS22" t="s">
        <v>7539</v>
      </c>
      <c r="JMT22" t="s">
        <v>7540</v>
      </c>
      <c r="JMU22" t="s">
        <v>7541</v>
      </c>
      <c r="JMV22" t="s">
        <v>7542</v>
      </c>
      <c r="JMW22" t="s">
        <v>7543</v>
      </c>
      <c r="JMX22" t="s">
        <v>7544</v>
      </c>
      <c r="JMY22" t="s">
        <v>7545</v>
      </c>
      <c r="JMZ22" t="s">
        <v>7546</v>
      </c>
      <c r="JNA22" t="s">
        <v>7547</v>
      </c>
      <c r="JNB22" t="s">
        <v>7548</v>
      </c>
      <c r="JNC22" t="s">
        <v>7549</v>
      </c>
      <c r="JND22" t="s">
        <v>7550</v>
      </c>
      <c r="JNE22" t="s">
        <v>7551</v>
      </c>
      <c r="JNF22" t="s">
        <v>7552</v>
      </c>
      <c r="JNG22" t="s">
        <v>7553</v>
      </c>
      <c r="JNH22" t="s">
        <v>7554</v>
      </c>
      <c r="JNI22" t="s">
        <v>7555</v>
      </c>
      <c r="JNJ22" t="s">
        <v>7556</v>
      </c>
      <c r="JNK22" t="s">
        <v>7557</v>
      </c>
      <c r="JNL22" t="s">
        <v>7558</v>
      </c>
      <c r="JNM22" t="s">
        <v>7559</v>
      </c>
      <c r="JNN22" t="s">
        <v>7560</v>
      </c>
      <c r="JNO22" t="s">
        <v>7561</v>
      </c>
      <c r="JNP22" t="s">
        <v>7562</v>
      </c>
      <c r="JNQ22" t="s">
        <v>7563</v>
      </c>
      <c r="JNR22" t="s">
        <v>7564</v>
      </c>
      <c r="JNS22" t="s">
        <v>7565</v>
      </c>
      <c r="JNT22" t="s">
        <v>7566</v>
      </c>
      <c r="JNU22" t="s">
        <v>7567</v>
      </c>
      <c r="JNV22" t="s">
        <v>7568</v>
      </c>
      <c r="JNW22" t="s">
        <v>7569</v>
      </c>
      <c r="JNX22" t="s">
        <v>7570</v>
      </c>
      <c r="JNY22" t="s">
        <v>7571</v>
      </c>
      <c r="JNZ22" t="s">
        <v>7572</v>
      </c>
      <c r="JOA22" t="s">
        <v>7573</v>
      </c>
      <c r="JOB22" t="s">
        <v>7574</v>
      </c>
      <c r="JOC22" t="s">
        <v>7575</v>
      </c>
      <c r="JOD22" t="s">
        <v>7576</v>
      </c>
      <c r="JOE22" t="s">
        <v>7577</v>
      </c>
      <c r="JOF22" t="s">
        <v>7578</v>
      </c>
      <c r="JOG22" t="s">
        <v>7579</v>
      </c>
      <c r="JOH22" t="s">
        <v>7580</v>
      </c>
      <c r="JOI22" t="s">
        <v>7581</v>
      </c>
      <c r="JOJ22" t="s">
        <v>7582</v>
      </c>
      <c r="JOK22" t="s">
        <v>7583</v>
      </c>
      <c r="JOL22" t="s">
        <v>7584</v>
      </c>
      <c r="JOM22" t="s">
        <v>7585</v>
      </c>
      <c r="JON22" t="s">
        <v>7586</v>
      </c>
      <c r="JOO22" t="s">
        <v>7587</v>
      </c>
      <c r="JOP22" t="s">
        <v>7588</v>
      </c>
      <c r="JOQ22" t="s">
        <v>7589</v>
      </c>
      <c r="JOR22" t="s">
        <v>7590</v>
      </c>
      <c r="JOS22" t="s">
        <v>7591</v>
      </c>
      <c r="JOT22" t="s">
        <v>7592</v>
      </c>
      <c r="JOU22" t="s">
        <v>7593</v>
      </c>
      <c r="JOV22" t="s">
        <v>7594</v>
      </c>
      <c r="JOW22" t="s">
        <v>7595</v>
      </c>
      <c r="JOX22" t="s">
        <v>7596</v>
      </c>
      <c r="JOY22" t="s">
        <v>7597</v>
      </c>
      <c r="JOZ22" t="s">
        <v>7598</v>
      </c>
      <c r="JPA22" t="s">
        <v>7599</v>
      </c>
      <c r="JPB22" t="s">
        <v>7600</v>
      </c>
      <c r="JPC22" t="s">
        <v>7601</v>
      </c>
      <c r="JPD22" t="s">
        <v>7602</v>
      </c>
      <c r="JPE22" t="s">
        <v>7603</v>
      </c>
      <c r="JPF22" t="s">
        <v>7604</v>
      </c>
      <c r="JPG22" t="s">
        <v>7605</v>
      </c>
      <c r="JPH22" t="s">
        <v>7606</v>
      </c>
      <c r="JPI22" t="s">
        <v>7607</v>
      </c>
      <c r="JPJ22" t="s">
        <v>7608</v>
      </c>
      <c r="JPK22" t="s">
        <v>7609</v>
      </c>
      <c r="JPL22" t="s">
        <v>7610</v>
      </c>
      <c r="JPM22" t="s">
        <v>7611</v>
      </c>
      <c r="JPN22" t="s">
        <v>7612</v>
      </c>
      <c r="JPO22" t="s">
        <v>7613</v>
      </c>
      <c r="JPP22" t="s">
        <v>7614</v>
      </c>
      <c r="JPQ22" t="s">
        <v>7615</v>
      </c>
      <c r="JPR22" t="s">
        <v>7616</v>
      </c>
      <c r="JPS22" t="s">
        <v>7617</v>
      </c>
      <c r="JPT22" t="s">
        <v>7618</v>
      </c>
      <c r="JPU22" t="s">
        <v>7619</v>
      </c>
      <c r="JPV22" t="s">
        <v>7620</v>
      </c>
      <c r="JPW22" t="s">
        <v>7621</v>
      </c>
      <c r="JPX22" t="s">
        <v>7622</v>
      </c>
      <c r="JPY22" t="s">
        <v>7623</v>
      </c>
      <c r="JPZ22" t="s">
        <v>7624</v>
      </c>
      <c r="JQA22" t="s">
        <v>7625</v>
      </c>
      <c r="JQB22" t="s">
        <v>7626</v>
      </c>
      <c r="JQC22" t="s">
        <v>7627</v>
      </c>
      <c r="JQD22" t="s">
        <v>7628</v>
      </c>
      <c r="JQE22" t="s">
        <v>7629</v>
      </c>
      <c r="JQF22" t="s">
        <v>7630</v>
      </c>
      <c r="JQG22" t="s">
        <v>7631</v>
      </c>
      <c r="JQH22" t="s">
        <v>7632</v>
      </c>
      <c r="JQI22" t="s">
        <v>7633</v>
      </c>
      <c r="JQJ22" t="s">
        <v>7634</v>
      </c>
      <c r="JQK22" t="s">
        <v>7635</v>
      </c>
      <c r="JQL22" t="s">
        <v>7636</v>
      </c>
      <c r="JQM22" t="s">
        <v>7637</v>
      </c>
      <c r="JQN22" t="s">
        <v>7638</v>
      </c>
      <c r="JQO22" t="s">
        <v>7639</v>
      </c>
      <c r="JQP22" t="s">
        <v>7640</v>
      </c>
      <c r="JQQ22" t="s">
        <v>7641</v>
      </c>
      <c r="JQR22" t="s">
        <v>7642</v>
      </c>
      <c r="JQS22" t="s">
        <v>7643</v>
      </c>
      <c r="JQT22" t="s">
        <v>7644</v>
      </c>
      <c r="JQU22" t="s">
        <v>7645</v>
      </c>
      <c r="JQV22" t="s">
        <v>7646</v>
      </c>
      <c r="JQW22" t="s">
        <v>7647</v>
      </c>
      <c r="JQX22" t="s">
        <v>7648</v>
      </c>
      <c r="JQY22" t="s">
        <v>7649</v>
      </c>
      <c r="JQZ22" t="s">
        <v>7650</v>
      </c>
      <c r="JRA22" t="s">
        <v>7651</v>
      </c>
      <c r="JRB22" t="s">
        <v>7652</v>
      </c>
      <c r="JRC22" t="s">
        <v>7653</v>
      </c>
      <c r="JRD22" t="s">
        <v>7654</v>
      </c>
      <c r="JRE22" t="s">
        <v>7655</v>
      </c>
      <c r="JRF22" t="s">
        <v>7656</v>
      </c>
      <c r="JRG22" t="s">
        <v>7657</v>
      </c>
      <c r="JRH22" t="s">
        <v>7658</v>
      </c>
      <c r="JRI22" t="s">
        <v>7659</v>
      </c>
      <c r="JRJ22" t="s">
        <v>7660</v>
      </c>
      <c r="JRK22" t="s">
        <v>7661</v>
      </c>
      <c r="JRL22" t="s">
        <v>7662</v>
      </c>
      <c r="JRM22" t="s">
        <v>7663</v>
      </c>
      <c r="JRN22" t="s">
        <v>7664</v>
      </c>
      <c r="JRO22" t="s">
        <v>7665</v>
      </c>
      <c r="JRP22" t="s">
        <v>7666</v>
      </c>
      <c r="JRQ22" t="s">
        <v>7667</v>
      </c>
      <c r="JRR22" t="s">
        <v>7668</v>
      </c>
      <c r="JRS22" t="s">
        <v>7669</v>
      </c>
      <c r="JRT22" t="s">
        <v>7670</v>
      </c>
      <c r="JRU22" t="s">
        <v>7671</v>
      </c>
      <c r="JRV22" t="s">
        <v>7672</v>
      </c>
      <c r="JRW22" t="s">
        <v>7673</v>
      </c>
      <c r="JRX22" t="s">
        <v>7674</v>
      </c>
      <c r="JRY22" t="s">
        <v>7675</v>
      </c>
      <c r="JRZ22" t="s">
        <v>7676</v>
      </c>
      <c r="JSA22" t="s">
        <v>7677</v>
      </c>
      <c r="JSB22" t="s">
        <v>7678</v>
      </c>
      <c r="JSC22" t="s">
        <v>7679</v>
      </c>
      <c r="JSD22" t="s">
        <v>7680</v>
      </c>
      <c r="JSE22" t="s">
        <v>7681</v>
      </c>
      <c r="JSF22" t="s">
        <v>7682</v>
      </c>
      <c r="JSG22" t="s">
        <v>7683</v>
      </c>
      <c r="JSH22" t="s">
        <v>7684</v>
      </c>
      <c r="JSI22" t="s">
        <v>7685</v>
      </c>
      <c r="JSJ22" t="s">
        <v>7686</v>
      </c>
      <c r="JSK22" t="s">
        <v>7687</v>
      </c>
      <c r="JSL22" t="s">
        <v>7688</v>
      </c>
      <c r="JSM22" t="s">
        <v>7689</v>
      </c>
      <c r="JSN22" t="s">
        <v>7690</v>
      </c>
      <c r="JSO22" t="s">
        <v>7691</v>
      </c>
      <c r="JSP22" t="s">
        <v>7692</v>
      </c>
      <c r="JSQ22" t="s">
        <v>7693</v>
      </c>
      <c r="JSR22" t="s">
        <v>7694</v>
      </c>
      <c r="JSS22" t="s">
        <v>7695</v>
      </c>
      <c r="JST22" t="s">
        <v>7696</v>
      </c>
      <c r="JSU22" t="s">
        <v>7697</v>
      </c>
      <c r="JSV22" t="s">
        <v>7698</v>
      </c>
      <c r="JSW22" t="s">
        <v>7699</v>
      </c>
      <c r="JSX22" t="s">
        <v>7700</v>
      </c>
      <c r="JSY22" t="s">
        <v>7701</v>
      </c>
      <c r="JSZ22" t="s">
        <v>7702</v>
      </c>
      <c r="JTA22" t="s">
        <v>7703</v>
      </c>
      <c r="JTB22" t="s">
        <v>7704</v>
      </c>
      <c r="JTC22" t="s">
        <v>7705</v>
      </c>
      <c r="JTD22" t="s">
        <v>7706</v>
      </c>
      <c r="JTE22" t="s">
        <v>7707</v>
      </c>
      <c r="JTF22" t="s">
        <v>7708</v>
      </c>
      <c r="JTG22" t="s">
        <v>7709</v>
      </c>
      <c r="JTH22" t="s">
        <v>7710</v>
      </c>
      <c r="JTI22" t="s">
        <v>7711</v>
      </c>
      <c r="JTJ22" t="s">
        <v>7712</v>
      </c>
      <c r="JTK22" t="s">
        <v>7713</v>
      </c>
      <c r="JTL22" t="s">
        <v>7714</v>
      </c>
      <c r="JTM22" t="s">
        <v>7715</v>
      </c>
      <c r="JTN22" t="s">
        <v>7716</v>
      </c>
      <c r="JTO22" t="s">
        <v>7717</v>
      </c>
      <c r="JTP22" t="s">
        <v>7718</v>
      </c>
      <c r="JTQ22" t="s">
        <v>7719</v>
      </c>
      <c r="JTR22" t="s">
        <v>7720</v>
      </c>
      <c r="JTS22" t="s">
        <v>7721</v>
      </c>
      <c r="JTT22" t="s">
        <v>7722</v>
      </c>
      <c r="JTU22" t="s">
        <v>7723</v>
      </c>
      <c r="JTV22" t="s">
        <v>7724</v>
      </c>
      <c r="JTW22" t="s">
        <v>7725</v>
      </c>
      <c r="JTX22" t="s">
        <v>7726</v>
      </c>
      <c r="JTY22" t="s">
        <v>7727</v>
      </c>
      <c r="JTZ22" t="s">
        <v>7728</v>
      </c>
      <c r="JUA22" t="s">
        <v>7729</v>
      </c>
      <c r="JUB22" t="s">
        <v>7730</v>
      </c>
      <c r="JUC22" t="s">
        <v>7731</v>
      </c>
      <c r="JUD22" t="s">
        <v>7732</v>
      </c>
      <c r="JUE22" t="s">
        <v>7733</v>
      </c>
      <c r="JUF22" t="s">
        <v>7734</v>
      </c>
      <c r="JUG22" t="s">
        <v>7735</v>
      </c>
      <c r="JUH22" t="s">
        <v>7736</v>
      </c>
      <c r="JUI22" t="s">
        <v>7737</v>
      </c>
      <c r="JUJ22" t="s">
        <v>7738</v>
      </c>
      <c r="JUK22" t="s">
        <v>7739</v>
      </c>
      <c r="JUL22" t="s">
        <v>7740</v>
      </c>
      <c r="JUM22" t="s">
        <v>7741</v>
      </c>
      <c r="JUN22" t="s">
        <v>7742</v>
      </c>
      <c r="JUO22" t="s">
        <v>7743</v>
      </c>
      <c r="JUP22" t="s">
        <v>7744</v>
      </c>
      <c r="JUQ22" t="s">
        <v>7745</v>
      </c>
      <c r="JUR22" t="s">
        <v>7746</v>
      </c>
      <c r="JUS22" t="s">
        <v>7747</v>
      </c>
      <c r="JUT22" t="s">
        <v>7748</v>
      </c>
      <c r="JUU22" t="s">
        <v>7749</v>
      </c>
      <c r="JUV22" t="s">
        <v>7750</v>
      </c>
      <c r="JUW22" t="s">
        <v>7751</v>
      </c>
      <c r="JUX22" t="s">
        <v>7752</v>
      </c>
      <c r="JUY22" t="s">
        <v>7753</v>
      </c>
      <c r="JUZ22" t="s">
        <v>7754</v>
      </c>
      <c r="JVA22" t="s">
        <v>7755</v>
      </c>
      <c r="JVB22" t="s">
        <v>7756</v>
      </c>
      <c r="JVC22" t="s">
        <v>7757</v>
      </c>
      <c r="JVD22" t="s">
        <v>7758</v>
      </c>
      <c r="JVE22" t="s">
        <v>7759</v>
      </c>
      <c r="JVF22" t="s">
        <v>7760</v>
      </c>
      <c r="JVG22" t="s">
        <v>7761</v>
      </c>
      <c r="JVH22" t="s">
        <v>7762</v>
      </c>
      <c r="JVI22" t="s">
        <v>7763</v>
      </c>
      <c r="JVJ22" t="s">
        <v>7764</v>
      </c>
      <c r="JVK22" t="s">
        <v>7765</v>
      </c>
      <c r="JVL22" t="s">
        <v>7766</v>
      </c>
      <c r="JVM22" t="s">
        <v>7767</v>
      </c>
      <c r="JVN22" t="s">
        <v>7768</v>
      </c>
      <c r="JVO22" t="s">
        <v>7769</v>
      </c>
      <c r="JVP22" t="s">
        <v>7770</v>
      </c>
      <c r="JVQ22" t="s">
        <v>7771</v>
      </c>
      <c r="JVR22" t="s">
        <v>7772</v>
      </c>
      <c r="JVS22" t="s">
        <v>7773</v>
      </c>
      <c r="JVT22" t="s">
        <v>7774</v>
      </c>
      <c r="JVU22" t="s">
        <v>7775</v>
      </c>
      <c r="JVV22" t="s">
        <v>7776</v>
      </c>
      <c r="JVW22" t="s">
        <v>7777</v>
      </c>
      <c r="JVX22" t="s">
        <v>7778</v>
      </c>
      <c r="JVY22" t="s">
        <v>7779</v>
      </c>
      <c r="JVZ22" t="s">
        <v>7780</v>
      </c>
      <c r="JWA22" t="s">
        <v>7781</v>
      </c>
      <c r="JWB22" t="s">
        <v>7782</v>
      </c>
      <c r="JWC22" t="s">
        <v>7783</v>
      </c>
      <c r="JWD22" t="s">
        <v>7784</v>
      </c>
      <c r="JWE22" t="s">
        <v>7785</v>
      </c>
      <c r="JWF22" t="s">
        <v>7786</v>
      </c>
      <c r="JWG22" t="s">
        <v>7787</v>
      </c>
      <c r="JWH22" t="s">
        <v>7788</v>
      </c>
      <c r="JWI22" t="s">
        <v>7789</v>
      </c>
      <c r="JWJ22" t="s">
        <v>7790</v>
      </c>
      <c r="JWK22" t="s">
        <v>7791</v>
      </c>
      <c r="JWL22" t="s">
        <v>7792</v>
      </c>
      <c r="JWM22" t="s">
        <v>7793</v>
      </c>
      <c r="JWN22" t="s">
        <v>7794</v>
      </c>
      <c r="JWO22" t="s">
        <v>7795</v>
      </c>
      <c r="JWP22" t="s">
        <v>7796</v>
      </c>
      <c r="JWQ22" t="s">
        <v>7797</v>
      </c>
      <c r="JWR22" t="s">
        <v>7798</v>
      </c>
      <c r="JWS22" t="s">
        <v>7799</v>
      </c>
      <c r="JWT22" t="s">
        <v>7800</v>
      </c>
      <c r="JWU22" t="s">
        <v>7801</v>
      </c>
      <c r="JWV22" t="s">
        <v>7802</v>
      </c>
      <c r="JWW22" t="s">
        <v>7803</v>
      </c>
      <c r="JWX22" t="s">
        <v>7804</v>
      </c>
      <c r="JWY22" t="s">
        <v>7805</v>
      </c>
      <c r="JWZ22" t="s">
        <v>7806</v>
      </c>
      <c r="JXA22" t="s">
        <v>7807</v>
      </c>
      <c r="JXB22" t="s">
        <v>7808</v>
      </c>
      <c r="JXC22" t="s">
        <v>7809</v>
      </c>
      <c r="JXD22" t="s">
        <v>7810</v>
      </c>
      <c r="JXE22" t="s">
        <v>7811</v>
      </c>
      <c r="JXF22" t="s">
        <v>7812</v>
      </c>
      <c r="JXG22" t="s">
        <v>7813</v>
      </c>
      <c r="JXH22" t="s">
        <v>7814</v>
      </c>
      <c r="JXI22" t="s">
        <v>7815</v>
      </c>
      <c r="JXJ22" t="s">
        <v>7816</v>
      </c>
      <c r="JXK22" t="s">
        <v>7817</v>
      </c>
      <c r="JXL22" t="s">
        <v>7818</v>
      </c>
      <c r="JXM22" t="s">
        <v>7819</v>
      </c>
      <c r="JXN22" t="s">
        <v>7820</v>
      </c>
      <c r="JXO22" t="s">
        <v>7821</v>
      </c>
      <c r="JXP22" t="s">
        <v>7822</v>
      </c>
      <c r="JXQ22" t="s">
        <v>7823</v>
      </c>
      <c r="JXR22" t="s">
        <v>7824</v>
      </c>
      <c r="JXS22" t="s">
        <v>7825</v>
      </c>
      <c r="JXT22" t="s">
        <v>7826</v>
      </c>
      <c r="JXU22" t="s">
        <v>7827</v>
      </c>
      <c r="JXV22" t="s">
        <v>7828</v>
      </c>
      <c r="JXW22" t="s">
        <v>7829</v>
      </c>
      <c r="JXX22" t="s">
        <v>7830</v>
      </c>
      <c r="JXY22" t="s">
        <v>7831</v>
      </c>
      <c r="JXZ22" t="s">
        <v>7832</v>
      </c>
      <c r="JYA22" t="s">
        <v>7833</v>
      </c>
      <c r="JYB22" t="s">
        <v>7834</v>
      </c>
      <c r="JYC22" t="s">
        <v>7835</v>
      </c>
      <c r="JYD22" t="s">
        <v>7836</v>
      </c>
      <c r="JYE22" t="s">
        <v>7837</v>
      </c>
      <c r="JYF22" t="s">
        <v>7838</v>
      </c>
      <c r="JYG22" t="s">
        <v>7839</v>
      </c>
      <c r="JYH22" t="s">
        <v>7840</v>
      </c>
      <c r="JYI22" t="s">
        <v>7841</v>
      </c>
      <c r="JYJ22" t="s">
        <v>7842</v>
      </c>
      <c r="JYK22" t="s">
        <v>7843</v>
      </c>
      <c r="JYL22" t="s">
        <v>7844</v>
      </c>
      <c r="JYM22" t="s">
        <v>7845</v>
      </c>
      <c r="JYN22" t="s">
        <v>7846</v>
      </c>
      <c r="JYO22" t="s">
        <v>7847</v>
      </c>
      <c r="JYP22" t="s">
        <v>7848</v>
      </c>
      <c r="JYQ22" t="s">
        <v>7849</v>
      </c>
      <c r="JYR22" t="s">
        <v>7850</v>
      </c>
      <c r="JYS22" t="s">
        <v>7851</v>
      </c>
      <c r="JYT22" t="s">
        <v>7852</v>
      </c>
      <c r="JYU22" t="s">
        <v>7853</v>
      </c>
      <c r="JYV22" t="s">
        <v>7854</v>
      </c>
      <c r="JYW22" t="s">
        <v>7855</v>
      </c>
      <c r="JYX22" t="s">
        <v>7856</v>
      </c>
      <c r="JYY22" t="s">
        <v>7857</v>
      </c>
      <c r="JYZ22" t="s">
        <v>7858</v>
      </c>
      <c r="JZA22" t="s">
        <v>7859</v>
      </c>
      <c r="JZB22" t="s">
        <v>7860</v>
      </c>
      <c r="JZC22" t="s">
        <v>7861</v>
      </c>
      <c r="JZD22" t="s">
        <v>7862</v>
      </c>
      <c r="JZE22" t="s">
        <v>7863</v>
      </c>
      <c r="JZF22" t="s">
        <v>7864</v>
      </c>
      <c r="JZG22" t="s">
        <v>7865</v>
      </c>
      <c r="JZH22" t="s">
        <v>7866</v>
      </c>
      <c r="JZI22" t="s">
        <v>7867</v>
      </c>
      <c r="JZJ22" t="s">
        <v>7868</v>
      </c>
      <c r="JZK22" t="s">
        <v>7869</v>
      </c>
      <c r="JZL22" t="s">
        <v>7870</v>
      </c>
      <c r="JZM22" t="s">
        <v>7871</v>
      </c>
      <c r="JZN22" t="s">
        <v>7872</v>
      </c>
      <c r="JZO22" t="s">
        <v>7873</v>
      </c>
      <c r="JZP22" t="s">
        <v>7874</v>
      </c>
      <c r="JZQ22" t="s">
        <v>7875</v>
      </c>
      <c r="JZR22" t="s">
        <v>7876</v>
      </c>
      <c r="JZS22" t="s">
        <v>7877</v>
      </c>
      <c r="JZT22" t="s">
        <v>7878</v>
      </c>
      <c r="JZU22" t="s">
        <v>7879</v>
      </c>
      <c r="JZV22" t="s">
        <v>7880</v>
      </c>
      <c r="JZW22" t="s">
        <v>7881</v>
      </c>
      <c r="JZX22" t="s">
        <v>7882</v>
      </c>
      <c r="JZY22" t="s">
        <v>7883</v>
      </c>
      <c r="JZZ22" t="s">
        <v>7884</v>
      </c>
      <c r="KAA22" t="s">
        <v>7885</v>
      </c>
      <c r="KAB22" t="s">
        <v>7886</v>
      </c>
      <c r="KAC22" t="s">
        <v>7887</v>
      </c>
      <c r="KAD22" t="s">
        <v>7888</v>
      </c>
      <c r="KAE22" t="s">
        <v>7889</v>
      </c>
      <c r="KAF22" t="s">
        <v>7890</v>
      </c>
      <c r="KAG22" t="s">
        <v>7891</v>
      </c>
      <c r="KAH22" t="s">
        <v>7892</v>
      </c>
      <c r="KAI22" t="s">
        <v>7893</v>
      </c>
      <c r="KAJ22" t="s">
        <v>7894</v>
      </c>
      <c r="KAK22" t="s">
        <v>7895</v>
      </c>
      <c r="KAL22" t="s">
        <v>7896</v>
      </c>
      <c r="KAM22" t="s">
        <v>7897</v>
      </c>
      <c r="KAN22" t="s">
        <v>7898</v>
      </c>
      <c r="KAO22" t="s">
        <v>7899</v>
      </c>
      <c r="KAP22" t="s">
        <v>7900</v>
      </c>
      <c r="KAQ22" t="s">
        <v>7901</v>
      </c>
      <c r="KAR22" t="s">
        <v>7902</v>
      </c>
      <c r="KAS22" t="s">
        <v>7903</v>
      </c>
      <c r="KAT22" t="s">
        <v>7904</v>
      </c>
      <c r="KAU22" t="s">
        <v>7905</v>
      </c>
      <c r="KAV22" t="s">
        <v>7906</v>
      </c>
      <c r="KAW22" t="s">
        <v>7907</v>
      </c>
      <c r="KAX22" t="s">
        <v>7908</v>
      </c>
      <c r="KAY22" t="s">
        <v>7909</v>
      </c>
      <c r="KAZ22" t="s">
        <v>7910</v>
      </c>
      <c r="KBA22" t="s">
        <v>7911</v>
      </c>
      <c r="KBB22" t="s">
        <v>7912</v>
      </c>
      <c r="KBC22" t="s">
        <v>7913</v>
      </c>
      <c r="KBD22" t="s">
        <v>7914</v>
      </c>
      <c r="KBE22" t="s">
        <v>7915</v>
      </c>
      <c r="KBF22" t="s">
        <v>7916</v>
      </c>
      <c r="KBG22" t="s">
        <v>7917</v>
      </c>
      <c r="KBH22" t="s">
        <v>7918</v>
      </c>
      <c r="KBI22" t="s">
        <v>7919</v>
      </c>
      <c r="KBJ22" t="s">
        <v>7920</v>
      </c>
      <c r="KBK22" t="s">
        <v>7921</v>
      </c>
      <c r="KBL22" t="s">
        <v>7922</v>
      </c>
      <c r="KBM22" t="s">
        <v>7923</v>
      </c>
      <c r="KBN22" t="s">
        <v>7924</v>
      </c>
      <c r="KBO22" t="s">
        <v>7925</v>
      </c>
      <c r="KBP22" t="s">
        <v>7926</v>
      </c>
      <c r="KBQ22" t="s">
        <v>7927</v>
      </c>
      <c r="KBR22" t="s">
        <v>7928</v>
      </c>
      <c r="KBS22" t="s">
        <v>7929</v>
      </c>
      <c r="KBT22" t="s">
        <v>7930</v>
      </c>
      <c r="KBU22" t="s">
        <v>7931</v>
      </c>
      <c r="KBV22" t="s">
        <v>7932</v>
      </c>
      <c r="KBW22" t="s">
        <v>7933</v>
      </c>
      <c r="KBX22" t="s">
        <v>7934</v>
      </c>
      <c r="KBY22" t="s">
        <v>7935</v>
      </c>
      <c r="KBZ22" t="s">
        <v>7936</v>
      </c>
      <c r="KCA22" t="s">
        <v>7937</v>
      </c>
      <c r="KCB22" t="s">
        <v>7938</v>
      </c>
      <c r="KCC22" t="s">
        <v>7939</v>
      </c>
      <c r="KCD22" t="s">
        <v>7940</v>
      </c>
      <c r="KCE22" t="s">
        <v>7941</v>
      </c>
      <c r="KCF22" t="s">
        <v>7942</v>
      </c>
      <c r="KCG22" t="s">
        <v>7943</v>
      </c>
      <c r="KCH22" t="s">
        <v>7944</v>
      </c>
      <c r="KCI22" t="s">
        <v>7945</v>
      </c>
      <c r="KCJ22" t="s">
        <v>7946</v>
      </c>
      <c r="KCK22" t="s">
        <v>7947</v>
      </c>
      <c r="KCL22" t="s">
        <v>7948</v>
      </c>
      <c r="KCM22" t="s">
        <v>7949</v>
      </c>
      <c r="KCN22" t="s">
        <v>7950</v>
      </c>
      <c r="KCO22" t="s">
        <v>7951</v>
      </c>
      <c r="KCP22" t="s">
        <v>7952</v>
      </c>
      <c r="KCQ22" t="s">
        <v>7953</v>
      </c>
      <c r="KCR22" t="s">
        <v>7954</v>
      </c>
      <c r="KCS22" t="s">
        <v>7955</v>
      </c>
      <c r="KCT22" t="s">
        <v>7956</v>
      </c>
      <c r="KCU22" t="s">
        <v>7957</v>
      </c>
      <c r="KCV22" t="s">
        <v>7958</v>
      </c>
      <c r="KCW22" t="s">
        <v>7959</v>
      </c>
      <c r="KCX22" t="s">
        <v>7960</v>
      </c>
      <c r="KCY22" t="s">
        <v>7961</v>
      </c>
      <c r="KCZ22" t="s">
        <v>7962</v>
      </c>
      <c r="KDA22" t="s">
        <v>7963</v>
      </c>
      <c r="KDB22" t="s">
        <v>7964</v>
      </c>
      <c r="KDC22" t="s">
        <v>7965</v>
      </c>
      <c r="KDD22" t="s">
        <v>7966</v>
      </c>
      <c r="KDE22" t="s">
        <v>7967</v>
      </c>
      <c r="KDF22" t="s">
        <v>7968</v>
      </c>
      <c r="KDG22" t="s">
        <v>7969</v>
      </c>
      <c r="KDH22" t="s">
        <v>7970</v>
      </c>
      <c r="KDI22" t="s">
        <v>7971</v>
      </c>
      <c r="KDJ22" t="s">
        <v>7972</v>
      </c>
      <c r="KDK22" t="s">
        <v>7973</v>
      </c>
      <c r="KDL22" t="s">
        <v>7974</v>
      </c>
      <c r="KDM22" t="s">
        <v>7975</v>
      </c>
      <c r="KDN22" t="s">
        <v>7976</v>
      </c>
      <c r="KDO22" t="s">
        <v>7977</v>
      </c>
      <c r="KDP22" t="s">
        <v>7978</v>
      </c>
      <c r="KDQ22" t="s">
        <v>7979</v>
      </c>
      <c r="KDR22" t="s">
        <v>7980</v>
      </c>
      <c r="KDS22" t="s">
        <v>7981</v>
      </c>
      <c r="KDT22" t="s">
        <v>7982</v>
      </c>
      <c r="KDU22" t="s">
        <v>7983</v>
      </c>
      <c r="KDV22" t="s">
        <v>7984</v>
      </c>
      <c r="KDW22" t="s">
        <v>7985</v>
      </c>
      <c r="KDX22" t="s">
        <v>7986</v>
      </c>
      <c r="KDY22" t="s">
        <v>7987</v>
      </c>
      <c r="KDZ22" t="s">
        <v>7988</v>
      </c>
      <c r="KEA22" t="s">
        <v>7989</v>
      </c>
      <c r="KEB22" t="s">
        <v>7990</v>
      </c>
      <c r="KEC22" t="s">
        <v>7991</v>
      </c>
      <c r="KED22" t="s">
        <v>7992</v>
      </c>
      <c r="KEE22" t="s">
        <v>7993</v>
      </c>
      <c r="KEF22" t="s">
        <v>7994</v>
      </c>
      <c r="KEG22" t="s">
        <v>7995</v>
      </c>
      <c r="KEH22" t="s">
        <v>7996</v>
      </c>
      <c r="KEI22" t="s">
        <v>7997</v>
      </c>
      <c r="KEJ22" t="s">
        <v>7998</v>
      </c>
      <c r="KEK22" t="s">
        <v>7999</v>
      </c>
      <c r="KEL22" t="s">
        <v>8000</v>
      </c>
      <c r="KEM22" t="s">
        <v>8001</v>
      </c>
      <c r="KEN22" t="s">
        <v>8002</v>
      </c>
      <c r="KEO22" t="s">
        <v>8003</v>
      </c>
      <c r="KEP22" t="s">
        <v>8004</v>
      </c>
      <c r="KEQ22" t="s">
        <v>8005</v>
      </c>
      <c r="KER22" t="s">
        <v>8006</v>
      </c>
      <c r="KES22" t="s">
        <v>8007</v>
      </c>
      <c r="KET22" t="s">
        <v>8008</v>
      </c>
      <c r="KEU22" t="s">
        <v>8009</v>
      </c>
      <c r="KEV22" t="s">
        <v>8010</v>
      </c>
      <c r="KEW22" t="s">
        <v>8011</v>
      </c>
      <c r="KEX22" t="s">
        <v>8012</v>
      </c>
      <c r="KEY22" t="s">
        <v>8013</v>
      </c>
      <c r="KEZ22" t="s">
        <v>8014</v>
      </c>
      <c r="KFA22" t="s">
        <v>8015</v>
      </c>
      <c r="KFB22" t="s">
        <v>8016</v>
      </c>
      <c r="KFC22" t="s">
        <v>8017</v>
      </c>
      <c r="KFD22" t="s">
        <v>8018</v>
      </c>
      <c r="KFE22" t="s">
        <v>8019</v>
      </c>
      <c r="KFF22" t="s">
        <v>8020</v>
      </c>
      <c r="KFG22" t="s">
        <v>8021</v>
      </c>
      <c r="KFH22" t="s">
        <v>8022</v>
      </c>
      <c r="KFI22" t="s">
        <v>8023</v>
      </c>
      <c r="KFJ22" t="s">
        <v>8024</v>
      </c>
      <c r="KFK22" t="s">
        <v>8025</v>
      </c>
      <c r="KFL22" t="s">
        <v>8026</v>
      </c>
      <c r="KFM22" t="s">
        <v>8027</v>
      </c>
      <c r="KFN22" t="s">
        <v>8028</v>
      </c>
      <c r="KFO22" t="s">
        <v>8029</v>
      </c>
      <c r="KFP22" t="s">
        <v>8030</v>
      </c>
      <c r="KFQ22" t="s">
        <v>8031</v>
      </c>
      <c r="KFR22" t="s">
        <v>8032</v>
      </c>
      <c r="KFS22" t="s">
        <v>8033</v>
      </c>
      <c r="KFT22" t="s">
        <v>8034</v>
      </c>
      <c r="KFU22" t="s">
        <v>8035</v>
      </c>
      <c r="KFV22" t="s">
        <v>8036</v>
      </c>
      <c r="KFW22" t="s">
        <v>8037</v>
      </c>
      <c r="KFX22" t="s">
        <v>8038</v>
      </c>
      <c r="KFY22" t="s">
        <v>8039</v>
      </c>
      <c r="KFZ22" t="s">
        <v>8040</v>
      </c>
      <c r="KGA22" t="s">
        <v>8041</v>
      </c>
      <c r="KGB22" t="s">
        <v>8042</v>
      </c>
      <c r="KGC22" t="s">
        <v>8043</v>
      </c>
      <c r="KGD22" t="s">
        <v>8044</v>
      </c>
      <c r="KGE22" t="s">
        <v>8045</v>
      </c>
      <c r="KGF22" t="s">
        <v>8046</v>
      </c>
      <c r="KGG22" t="s">
        <v>8047</v>
      </c>
      <c r="KGH22" t="s">
        <v>8048</v>
      </c>
      <c r="KGI22" t="s">
        <v>8049</v>
      </c>
      <c r="KGJ22" t="s">
        <v>8050</v>
      </c>
      <c r="KGK22" t="s">
        <v>8051</v>
      </c>
      <c r="KGL22" t="s">
        <v>8052</v>
      </c>
      <c r="KGM22" t="s">
        <v>8053</v>
      </c>
      <c r="KGN22" t="s">
        <v>8054</v>
      </c>
      <c r="KGO22" t="s">
        <v>8055</v>
      </c>
      <c r="KGP22" t="s">
        <v>8056</v>
      </c>
      <c r="KGQ22" t="s">
        <v>8057</v>
      </c>
      <c r="KGR22" t="s">
        <v>8058</v>
      </c>
      <c r="KGS22" t="s">
        <v>8059</v>
      </c>
      <c r="KGT22" t="s">
        <v>8060</v>
      </c>
      <c r="KGU22" t="s">
        <v>8061</v>
      </c>
      <c r="KGV22" t="s">
        <v>8062</v>
      </c>
      <c r="KGW22" t="s">
        <v>8063</v>
      </c>
      <c r="KGX22" t="s">
        <v>8064</v>
      </c>
      <c r="KGY22" t="s">
        <v>8065</v>
      </c>
      <c r="KGZ22" t="s">
        <v>8066</v>
      </c>
      <c r="KHA22" t="s">
        <v>8067</v>
      </c>
      <c r="KHB22" t="s">
        <v>8068</v>
      </c>
      <c r="KHC22" t="s">
        <v>8069</v>
      </c>
      <c r="KHD22" t="s">
        <v>8070</v>
      </c>
      <c r="KHE22" t="s">
        <v>8071</v>
      </c>
      <c r="KHF22" t="s">
        <v>8072</v>
      </c>
      <c r="KHG22" t="s">
        <v>8073</v>
      </c>
      <c r="KHH22" t="s">
        <v>8074</v>
      </c>
      <c r="KHI22" t="s">
        <v>8075</v>
      </c>
      <c r="KHJ22" t="s">
        <v>8076</v>
      </c>
      <c r="KHK22" t="s">
        <v>8077</v>
      </c>
      <c r="KHL22" t="s">
        <v>8078</v>
      </c>
      <c r="KHM22" t="s">
        <v>8079</v>
      </c>
      <c r="KHN22" t="s">
        <v>8080</v>
      </c>
      <c r="KHO22" t="s">
        <v>8081</v>
      </c>
      <c r="KHP22" t="s">
        <v>8082</v>
      </c>
      <c r="KHQ22" t="s">
        <v>8083</v>
      </c>
      <c r="KHR22" t="s">
        <v>8084</v>
      </c>
      <c r="KHS22" t="s">
        <v>8085</v>
      </c>
      <c r="KHT22" t="s">
        <v>8086</v>
      </c>
      <c r="KHU22" t="s">
        <v>8087</v>
      </c>
      <c r="KHV22" t="s">
        <v>8088</v>
      </c>
      <c r="KHW22" t="s">
        <v>8089</v>
      </c>
      <c r="KHX22" t="s">
        <v>8090</v>
      </c>
      <c r="KHY22" t="s">
        <v>8091</v>
      </c>
      <c r="KHZ22" t="s">
        <v>8092</v>
      </c>
      <c r="KIA22" t="s">
        <v>8093</v>
      </c>
      <c r="KIB22" t="s">
        <v>8094</v>
      </c>
      <c r="KIC22" t="s">
        <v>8095</v>
      </c>
      <c r="KID22" t="s">
        <v>8096</v>
      </c>
      <c r="KIE22" t="s">
        <v>8097</v>
      </c>
      <c r="KIF22" t="s">
        <v>8098</v>
      </c>
      <c r="KIG22" t="s">
        <v>8099</v>
      </c>
      <c r="KIH22" t="s">
        <v>8100</v>
      </c>
      <c r="KII22" t="s">
        <v>8101</v>
      </c>
      <c r="KIJ22" t="s">
        <v>8102</v>
      </c>
      <c r="KIK22" t="s">
        <v>8103</v>
      </c>
      <c r="KIL22" t="s">
        <v>8104</v>
      </c>
      <c r="KIM22" t="s">
        <v>8105</v>
      </c>
      <c r="KIN22" t="s">
        <v>8106</v>
      </c>
      <c r="KIO22" t="s">
        <v>8107</v>
      </c>
      <c r="KIP22" t="s">
        <v>8108</v>
      </c>
      <c r="KIQ22" t="s">
        <v>8109</v>
      </c>
      <c r="KIR22" t="s">
        <v>8110</v>
      </c>
      <c r="KIS22" t="s">
        <v>8111</v>
      </c>
      <c r="KIT22" t="s">
        <v>8112</v>
      </c>
      <c r="KIU22" t="s">
        <v>8113</v>
      </c>
      <c r="KIV22" t="s">
        <v>8114</v>
      </c>
      <c r="KIW22" t="s">
        <v>8115</v>
      </c>
      <c r="KIX22" t="s">
        <v>8116</v>
      </c>
      <c r="KIY22" t="s">
        <v>8117</v>
      </c>
      <c r="KIZ22" t="s">
        <v>8118</v>
      </c>
      <c r="KJA22" t="s">
        <v>8119</v>
      </c>
      <c r="KJB22" t="s">
        <v>8120</v>
      </c>
      <c r="KJC22" t="s">
        <v>8121</v>
      </c>
      <c r="KJD22" t="s">
        <v>8122</v>
      </c>
      <c r="KJE22" t="s">
        <v>8123</v>
      </c>
      <c r="KJF22" t="s">
        <v>8124</v>
      </c>
      <c r="KJG22" t="s">
        <v>8125</v>
      </c>
      <c r="KJH22" t="s">
        <v>8126</v>
      </c>
      <c r="KJI22" t="s">
        <v>8127</v>
      </c>
      <c r="KJJ22" t="s">
        <v>8128</v>
      </c>
      <c r="KJK22" t="s">
        <v>8129</v>
      </c>
      <c r="KJL22" t="s">
        <v>8130</v>
      </c>
      <c r="KJM22" t="s">
        <v>8131</v>
      </c>
      <c r="KJN22" t="s">
        <v>8132</v>
      </c>
      <c r="KJO22" t="s">
        <v>8133</v>
      </c>
      <c r="KJP22" t="s">
        <v>8134</v>
      </c>
      <c r="KJQ22" t="s">
        <v>8135</v>
      </c>
      <c r="KJR22" t="s">
        <v>8136</v>
      </c>
      <c r="KJS22" t="s">
        <v>8137</v>
      </c>
      <c r="KJT22" t="s">
        <v>8138</v>
      </c>
      <c r="KJU22" t="s">
        <v>8139</v>
      </c>
      <c r="KJV22" t="s">
        <v>8140</v>
      </c>
      <c r="KJW22" t="s">
        <v>8141</v>
      </c>
      <c r="KJX22" t="s">
        <v>8142</v>
      </c>
      <c r="KJY22" t="s">
        <v>8143</v>
      </c>
      <c r="KJZ22" t="s">
        <v>8144</v>
      </c>
      <c r="KKA22" t="s">
        <v>8145</v>
      </c>
      <c r="KKB22" t="s">
        <v>8146</v>
      </c>
      <c r="KKC22" t="s">
        <v>8147</v>
      </c>
      <c r="KKD22" t="s">
        <v>8148</v>
      </c>
      <c r="KKE22" t="s">
        <v>8149</v>
      </c>
      <c r="KKF22" t="s">
        <v>8150</v>
      </c>
      <c r="KKG22" t="s">
        <v>8151</v>
      </c>
      <c r="KKH22" t="s">
        <v>8152</v>
      </c>
      <c r="KKI22" t="s">
        <v>8153</v>
      </c>
      <c r="KKJ22" t="s">
        <v>8154</v>
      </c>
      <c r="KKK22" t="s">
        <v>8155</v>
      </c>
      <c r="KKL22" t="s">
        <v>8156</v>
      </c>
      <c r="KKM22" t="s">
        <v>8157</v>
      </c>
      <c r="KKN22" t="s">
        <v>8158</v>
      </c>
      <c r="KKO22" t="s">
        <v>8159</v>
      </c>
      <c r="KKP22" t="s">
        <v>8160</v>
      </c>
      <c r="KKQ22" t="s">
        <v>8161</v>
      </c>
      <c r="KKR22" t="s">
        <v>8162</v>
      </c>
      <c r="KKS22" t="s">
        <v>8163</v>
      </c>
      <c r="KKT22" t="s">
        <v>8164</v>
      </c>
      <c r="KKU22" t="s">
        <v>8165</v>
      </c>
      <c r="KKV22" t="s">
        <v>8166</v>
      </c>
      <c r="KKW22" t="s">
        <v>8167</v>
      </c>
      <c r="KKX22" t="s">
        <v>8168</v>
      </c>
      <c r="KKY22" t="s">
        <v>8169</v>
      </c>
      <c r="KKZ22" t="s">
        <v>8170</v>
      </c>
      <c r="KLA22" t="s">
        <v>8171</v>
      </c>
      <c r="KLB22" t="s">
        <v>8172</v>
      </c>
      <c r="KLC22" t="s">
        <v>8173</v>
      </c>
      <c r="KLD22" t="s">
        <v>8174</v>
      </c>
      <c r="KLE22" t="s">
        <v>8175</v>
      </c>
      <c r="KLF22" t="s">
        <v>8176</v>
      </c>
      <c r="KLG22" t="s">
        <v>8177</v>
      </c>
      <c r="KLH22" t="s">
        <v>8178</v>
      </c>
      <c r="KLI22" t="s">
        <v>8179</v>
      </c>
      <c r="KLJ22" t="s">
        <v>8180</v>
      </c>
      <c r="KLK22" t="s">
        <v>8181</v>
      </c>
      <c r="KLL22" t="s">
        <v>8182</v>
      </c>
      <c r="KLM22" t="s">
        <v>8183</v>
      </c>
      <c r="KLN22" t="s">
        <v>8184</v>
      </c>
      <c r="KLO22" t="s">
        <v>8185</v>
      </c>
      <c r="KLP22" t="s">
        <v>8186</v>
      </c>
      <c r="KLQ22" t="s">
        <v>8187</v>
      </c>
      <c r="KLR22" t="s">
        <v>8188</v>
      </c>
      <c r="KLS22" t="s">
        <v>8189</v>
      </c>
      <c r="KLT22" t="s">
        <v>8190</v>
      </c>
      <c r="KLU22" t="s">
        <v>8191</v>
      </c>
      <c r="KLV22" t="s">
        <v>8192</v>
      </c>
      <c r="KLW22" t="s">
        <v>8193</v>
      </c>
      <c r="KLX22" t="s">
        <v>8194</v>
      </c>
      <c r="KLY22" t="s">
        <v>8195</v>
      </c>
      <c r="KLZ22" t="s">
        <v>8196</v>
      </c>
      <c r="KMA22" t="s">
        <v>8197</v>
      </c>
      <c r="KMB22" t="s">
        <v>8198</v>
      </c>
      <c r="KMC22" t="s">
        <v>8199</v>
      </c>
      <c r="KMD22" t="s">
        <v>8200</v>
      </c>
      <c r="KME22" t="s">
        <v>8201</v>
      </c>
      <c r="KMF22" t="s">
        <v>8202</v>
      </c>
      <c r="KMG22" t="s">
        <v>8203</v>
      </c>
      <c r="KMH22" t="s">
        <v>8204</v>
      </c>
      <c r="KMI22" t="s">
        <v>8205</v>
      </c>
      <c r="KMJ22" t="s">
        <v>8206</v>
      </c>
      <c r="KMK22" t="s">
        <v>8207</v>
      </c>
      <c r="KML22" t="s">
        <v>8208</v>
      </c>
      <c r="KMM22" t="s">
        <v>8209</v>
      </c>
      <c r="KMN22" t="s">
        <v>8210</v>
      </c>
      <c r="KMO22" t="s">
        <v>8211</v>
      </c>
      <c r="KMP22" t="s">
        <v>8212</v>
      </c>
      <c r="KMQ22" t="s">
        <v>8213</v>
      </c>
      <c r="KMR22" t="s">
        <v>8214</v>
      </c>
      <c r="KMS22" t="s">
        <v>8215</v>
      </c>
      <c r="KMT22" t="s">
        <v>8216</v>
      </c>
      <c r="KMU22" t="s">
        <v>8217</v>
      </c>
      <c r="KMV22" t="s">
        <v>8218</v>
      </c>
      <c r="KMW22" t="s">
        <v>8219</v>
      </c>
      <c r="KMX22" t="s">
        <v>8220</v>
      </c>
      <c r="KMY22" t="s">
        <v>8221</v>
      </c>
      <c r="KMZ22" t="s">
        <v>8222</v>
      </c>
      <c r="KNA22" t="s">
        <v>8223</v>
      </c>
      <c r="KNB22" t="s">
        <v>8224</v>
      </c>
      <c r="KNC22" t="s">
        <v>8225</v>
      </c>
      <c r="KND22" t="s">
        <v>8226</v>
      </c>
      <c r="KNE22" t="s">
        <v>8227</v>
      </c>
      <c r="KNF22" t="s">
        <v>8228</v>
      </c>
      <c r="KNG22" t="s">
        <v>8229</v>
      </c>
      <c r="KNH22" t="s">
        <v>8230</v>
      </c>
      <c r="KNI22" t="s">
        <v>8231</v>
      </c>
      <c r="KNJ22" t="s">
        <v>8232</v>
      </c>
      <c r="KNK22" t="s">
        <v>8233</v>
      </c>
      <c r="KNL22" t="s">
        <v>8234</v>
      </c>
      <c r="KNM22" t="s">
        <v>8235</v>
      </c>
      <c r="KNN22" t="s">
        <v>8236</v>
      </c>
      <c r="KNO22" t="s">
        <v>8237</v>
      </c>
      <c r="KNP22" t="s">
        <v>8238</v>
      </c>
      <c r="KNQ22" t="s">
        <v>8239</v>
      </c>
      <c r="KNR22" t="s">
        <v>8240</v>
      </c>
      <c r="KNS22" t="s">
        <v>8241</v>
      </c>
      <c r="KNT22" t="s">
        <v>8242</v>
      </c>
      <c r="KNU22" t="s">
        <v>8243</v>
      </c>
      <c r="KNV22" t="s">
        <v>8244</v>
      </c>
      <c r="KNW22" t="s">
        <v>8245</v>
      </c>
      <c r="KNX22" t="s">
        <v>8246</v>
      </c>
      <c r="KNY22" t="s">
        <v>8247</v>
      </c>
      <c r="KNZ22" t="s">
        <v>8248</v>
      </c>
      <c r="KOA22" t="s">
        <v>8249</v>
      </c>
      <c r="KOB22" t="s">
        <v>8250</v>
      </c>
      <c r="KOC22" t="s">
        <v>8251</v>
      </c>
      <c r="KOD22" t="s">
        <v>8252</v>
      </c>
      <c r="KOE22" t="s">
        <v>8253</v>
      </c>
      <c r="KOF22" t="s">
        <v>8254</v>
      </c>
      <c r="KOG22" t="s">
        <v>8255</v>
      </c>
      <c r="KOH22" t="s">
        <v>8256</v>
      </c>
      <c r="KOI22" t="s">
        <v>8257</v>
      </c>
      <c r="KOJ22" t="s">
        <v>8258</v>
      </c>
      <c r="KOK22" t="s">
        <v>8259</v>
      </c>
      <c r="KOL22" t="s">
        <v>8260</v>
      </c>
      <c r="KOM22" t="s">
        <v>8261</v>
      </c>
      <c r="KON22" t="s">
        <v>8262</v>
      </c>
      <c r="KOO22" t="s">
        <v>8263</v>
      </c>
      <c r="KOP22" t="s">
        <v>8264</v>
      </c>
      <c r="KOQ22" t="s">
        <v>8265</v>
      </c>
      <c r="KOR22" t="s">
        <v>8266</v>
      </c>
      <c r="KOS22" t="s">
        <v>8267</v>
      </c>
      <c r="KOT22" t="s">
        <v>8268</v>
      </c>
      <c r="KOU22" t="s">
        <v>8269</v>
      </c>
      <c r="KOV22" t="s">
        <v>8270</v>
      </c>
      <c r="KOW22" t="s">
        <v>8271</v>
      </c>
      <c r="KOX22" t="s">
        <v>8272</v>
      </c>
      <c r="KOY22" t="s">
        <v>8273</v>
      </c>
      <c r="KOZ22" t="s">
        <v>8274</v>
      </c>
      <c r="KPA22" t="s">
        <v>8275</v>
      </c>
      <c r="KPB22" t="s">
        <v>8276</v>
      </c>
      <c r="KPC22" t="s">
        <v>8277</v>
      </c>
      <c r="KPD22" t="s">
        <v>8278</v>
      </c>
      <c r="KPE22" t="s">
        <v>8279</v>
      </c>
      <c r="KPF22" t="s">
        <v>8280</v>
      </c>
      <c r="KPG22" t="s">
        <v>8281</v>
      </c>
      <c r="KPH22" t="s">
        <v>8282</v>
      </c>
      <c r="KPI22" t="s">
        <v>8283</v>
      </c>
      <c r="KPJ22" t="s">
        <v>8284</v>
      </c>
      <c r="KPK22" t="s">
        <v>8285</v>
      </c>
      <c r="KPL22" t="s">
        <v>8286</v>
      </c>
      <c r="KPM22" t="s">
        <v>8287</v>
      </c>
      <c r="KPN22" t="s">
        <v>8288</v>
      </c>
      <c r="KPO22" t="s">
        <v>8289</v>
      </c>
      <c r="KPP22" t="s">
        <v>8290</v>
      </c>
      <c r="KPQ22" t="s">
        <v>8291</v>
      </c>
      <c r="KPR22" t="s">
        <v>8292</v>
      </c>
      <c r="KPS22" t="s">
        <v>8293</v>
      </c>
      <c r="KPT22" t="s">
        <v>8294</v>
      </c>
      <c r="KPU22" t="s">
        <v>8295</v>
      </c>
      <c r="KPV22" t="s">
        <v>8296</v>
      </c>
      <c r="KPW22" t="s">
        <v>8297</v>
      </c>
      <c r="KPX22" t="s">
        <v>8298</v>
      </c>
      <c r="KPY22" t="s">
        <v>8299</v>
      </c>
      <c r="KPZ22" t="s">
        <v>8300</v>
      </c>
      <c r="KQA22" t="s">
        <v>8301</v>
      </c>
      <c r="KQB22" t="s">
        <v>8302</v>
      </c>
      <c r="KQC22" t="s">
        <v>8303</v>
      </c>
      <c r="KQD22" t="s">
        <v>8304</v>
      </c>
      <c r="KQE22" t="s">
        <v>8305</v>
      </c>
      <c r="KQF22" t="s">
        <v>8306</v>
      </c>
      <c r="KQG22" t="s">
        <v>8307</v>
      </c>
      <c r="KQH22" t="s">
        <v>8308</v>
      </c>
      <c r="KQI22" t="s">
        <v>8309</v>
      </c>
      <c r="KQJ22" t="s">
        <v>8310</v>
      </c>
      <c r="KQK22" t="s">
        <v>8311</v>
      </c>
      <c r="KQL22" t="s">
        <v>8312</v>
      </c>
      <c r="KQM22" t="s">
        <v>8313</v>
      </c>
      <c r="KQN22" t="s">
        <v>8314</v>
      </c>
      <c r="KQO22" t="s">
        <v>8315</v>
      </c>
      <c r="KQP22" t="s">
        <v>8316</v>
      </c>
      <c r="KQQ22" t="s">
        <v>8317</v>
      </c>
      <c r="KQR22" t="s">
        <v>8318</v>
      </c>
      <c r="KQS22" t="s">
        <v>8319</v>
      </c>
      <c r="KQT22" t="s">
        <v>8320</v>
      </c>
      <c r="KQU22" t="s">
        <v>8321</v>
      </c>
      <c r="KQV22" t="s">
        <v>8322</v>
      </c>
      <c r="KQW22" t="s">
        <v>8323</v>
      </c>
      <c r="KQX22" t="s">
        <v>8324</v>
      </c>
      <c r="KQY22" t="s">
        <v>8325</v>
      </c>
      <c r="KQZ22" t="s">
        <v>8326</v>
      </c>
      <c r="KRA22" t="s">
        <v>8327</v>
      </c>
      <c r="KRB22" t="s">
        <v>8328</v>
      </c>
      <c r="KRC22" t="s">
        <v>8329</v>
      </c>
      <c r="KRD22" t="s">
        <v>8330</v>
      </c>
      <c r="KRE22" t="s">
        <v>8331</v>
      </c>
      <c r="KRF22" t="s">
        <v>8332</v>
      </c>
      <c r="KRG22" t="s">
        <v>8333</v>
      </c>
      <c r="KRH22" t="s">
        <v>8334</v>
      </c>
      <c r="KRI22" t="s">
        <v>8335</v>
      </c>
      <c r="KRJ22" t="s">
        <v>8336</v>
      </c>
      <c r="KRK22" t="s">
        <v>8337</v>
      </c>
      <c r="KRL22" t="s">
        <v>8338</v>
      </c>
      <c r="KRM22" t="s">
        <v>8339</v>
      </c>
      <c r="KRN22" t="s">
        <v>8340</v>
      </c>
      <c r="KRO22" t="s">
        <v>8341</v>
      </c>
      <c r="KRP22" t="s">
        <v>8342</v>
      </c>
      <c r="KRQ22" t="s">
        <v>8343</v>
      </c>
      <c r="KRR22" t="s">
        <v>8344</v>
      </c>
      <c r="KRS22" t="s">
        <v>8345</v>
      </c>
      <c r="KRT22" t="s">
        <v>8346</v>
      </c>
      <c r="KRU22" t="s">
        <v>8347</v>
      </c>
      <c r="KRV22" t="s">
        <v>8348</v>
      </c>
      <c r="KRW22" t="s">
        <v>8349</v>
      </c>
      <c r="KRX22" t="s">
        <v>8350</v>
      </c>
      <c r="KRY22" t="s">
        <v>8351</v>
      </c>
      <c r="KRZ22" t="s">
        <v>8352</v>
      </c>
      <c r="KSA22" t="s">
        <v>8353</v>
      </c>
      <c r="KSB22" t="s">
        <v>8354</v>
      </c>
      <c r="KSC22" t="s">
        <v>8355</v>
      </c>
      <c r="KSD22" t="s">
        <v>8356</v>
      </c>
      <c r="KSE22" t="s">
        <v>8357</v>
      </c>
      <c r="KSF22" t="s">
        <v>8358</v>
      </c>
      <c r="KSG22" t="s">
        <v>8359</v>
      </c>
      <c r="KSH22" t="s">
        <v>8360</v>
      </c>
      <c r="KSI22" t="s">
        <v>8361</v>
      </c>
      <c r="KSJ22" t="s">
        <v>8362</v>
      </c>
      <c r="KSK22" t="s">
        <v>8363</v>
      </c>
      <c r="KSL22" t="s">
        <v>8364</v>
      </c>
      <c r="KSM22" t="s">
        <v>8365</v>
      </c>
      <c r="KSN22" t="s">
        <v>8366</v>
      </c>
      <c r="KSO22" t="s">
        <v>8367</v>
      </c>
      <c r="KSP22" t="s">
        <v>8368</v>
      </c>
      <c r="KSQ22" t="s">
        <v>8369</v>
      </c>
      <c r="KSR22" t="s">
        <v>8370</v>
      </c>
      <c r="KSS22" t="s">
        <v>8371</v>
      </c>
      <c r="KST22" t="s">
        <v>8372</v>
      </c>
      <c r="KSU22" t="s">
        <v>8373</v>
      </c>
      <c r="KSV22" t="s">
        <v>8374</v>
      </c>
      <c r="KSW22" t="s">
        <v>8375</v>
      </c>
      <c r="KSX22" t="s">
        <v>8376</v>
      </c>
      <c r="KSY22" t="s">
        <v>8377</v>
      </c>
      <c r="KSZ22" t="s">
        <v>8378</v>
      </c>
      <c r="KTA22" t="s">
        <v>8379</v>
      </c>
      <c r="KTB22" t="s">
        <v>8380</v>
      </c>
      <c r="KTC22" t="s">
        <v>8381</v>
      </c>
      <c r="KTD22" t="s">
        <v>8382</v>
      </c>
      <c r="KTE22" t="s">
        <v>8383</v>
      </c>
      <c r="KTF22" t="s">
        <v>8384</v>
      </c>
      <c r="KTG22" t="s">
        <v>8385</v>
      </c>
      <c r="KTH22" t="s">
        <v>8386</v>
      </c>
      <c r="KTI22" t="s">
        <v>8387</v>
      </c>
      <c r="KTJ22" t="s">
        <v>8388</v>
      </c>
      <c r="KTK22" t="s">
        <v>8389</v>
      </c>
      <c r="KTL22" t="s">
        <v>8390</v>
      </c>
      <c r="KTM22" t="s">
        <v>8391</v>
      </c>
      <c r="KTN22" t="s">
        <v>8392</v>
      </c>
      <c r="KTO22" t="s">
        <v>8393</v>
      </c>
      <c r="KTP22" t="s">
        <v>8394</v>
      </c>
      <c r="KTQ22" t="s">
        <v>8395</v>
      </c>
      <c r="KTR22" t="s">
        <v>8396</v>
      </c>
      <c r="KTS22" t="s">
        <v>8397</v>
      </c>
      <c r="KTT22" t="s">
        <v>8398</v>
      </c>
      <c r="KTU22" t="s">
        <v>8399</v>
      </c>
      <c r="KTV22" t="s">
        <v>8400</v>
      </c>
      <c r="KTW22" t="s">
        <v>8401</v>
      </c>
      <c r="KTX22" t="s">
        <v>8402</v>
      </c>
      <c r="KTY22" t="s">
        <v>8403</v>
      </c>
      <c r="KTZ22" t="s">
        <v>8404</v>
      </c>
      <c r="KUA22" t="s">
        <v>8405</v>
      </c>
      <c r="KUB22" t="s">
        <v>8406</v>
      </c>
      <c r="KUC22" t="s">
        <v>8407</v>
      </c>
      <c r="KUD22" t="s">
        <v>8408</v>
      </c>
      <c r="KUE22" t="s">
        <v>8409</v>
      </c>
      <c r="KUF22" t="s">
        <v>8410</v>
      </c>
      <c r="KUG22" t="s">
        <v>8411</v>
      </c>
      <c r="KUH22" t="s">
        <v>8412</v>
      </c>
      <c r="KUI22" t="s">
        <v>8413</v>
      </c>
      <c r="KUJ22" t="s">
        <v>8414</v>
      </c>
      <c r="KUK22" t="s">
        <v>8415</v>
      </c>
      <c r="KUL22" t="s">
        <v>8416</v>
      </c>
      <c r="KUM22" t="s">
        <v>8417</v>
      </c>
      <c r="KUN22" t="s">
        <v>8418</v>
      </c>
      <c r="KUO22" t="s">
        <v>8419</v>
      </c>
      <c r="KUP22" t="s">
        <v>8420</v>
      </c>
      <c r="KUQ22" t="s">
        <v>8421</v>
      </c>
      <c r="KUR22" t="s">
        <v>8422</v>
      </c>
      <c r="KUS22" t="s">
        <v>8423</v>
      </c>
      <c r="KUT22" t="s">
        <v>8424</v>
      </c>
      <c r="KUU22" t="s">
        <v>8425</v>
      </c>
      <c r="KUV22" t="s">
        <v>8426</v>
      </c>
      <c r="KUW22" t="s">
        <v>8427</v>
      </c>
      <c r="KUX22" t="s">
        <v>8428</v>
      </c>
      <c r="KUY22" t="s">
        <v>8429</v>
      </c>
      <c r="KUZ22" t="s">
        <v>8430</v>
      </c>
      <c r="KVA22" t="s">
        <v>8431</v>
      </c>
      <c r="KVB22" t="s">
        <v>8432</v>
      </c>
      <c r="KVC22" t="s">
        <v>8433</v>
      </c>
      <c r="KVD22" t="s">
        <v>8434</v>
      </c>
      <c r="KVE22" t="s">
        <v>8435</v>
      </c>
      <c r="KVF22" t="s">
        <v>8436</v>
      </c>
      <c r="KVG22" t="s">
        <v>8437</v>
      </c>
      <c r="KVH22" t="s">
        <v>8438</v>
      </c>
      <c r="KVI22" t="s">
        <v>8439</v>
      </c>
      <c r="KVJ22" t="s">
        <v>8440</v>
      </c>
      <c r="KVK22" t="s">
        <v>8441</v>
      </c>
      <c r="KVL22" t="s">
        <v>8442</v>
      </c>
      <c r="KVM22" t="s">
        <v>8443</v>
      </c>
      <c r="KVN22" t="s">
        <v>8444</v>
      </c>
      <c r="KVO22" t="s">
        <v>8445</v>
      </c>
      <c r="KVP22" t="s">
        <v>8446</v>
      </c>
      <c r="KVQ22" t="s">
        <v>8447</v>
      </c>
      <c r="KVR22" t="s">
        <v>8448</v>
      </c>
      <c r="KVS22" t="s">
        <v>8449</v>
      </c>
      <c r="KVT22" t="s">
        <v>8450</v>
      </c>
      <c r="KVU22" t="s">
        <v>8451</v>
      </c>
      <c r="KVV22" t="s">
        <v>8452</v>
      </c>
      <c r="KVW22" t="s">
        <v>8453</v>
      </c>
      <c r="KVX22" t="s">
        <v>8454</v>
      </c>
      <c r="KVY22" t="s">
        <v>8455</v>
      </c>
      <c r="KVZ22" t="s">
        <v>8456</v>
      </c>
      <c r="KWA22" t="s">
        <v>8457</v>
      </c>
      <c r="KWB22" t="s">
        <v>8458</v>
      </c>
      <c r="KWC22" t="s">
        <v>8459</v>
      </c>
      <c r="KWD22" t="s">
        <v>8460</v>
      </c>
      <c r="KWE22" t="s">
        <v>8461</v>
      </c>
      <c r="KWF22" t="s">
        <v>8462</v>
      </c>
      <c r="KWG22" t="s">
        <v>8463</v>
      </c>
      <c r="KWH22" t="s">
        <v>8464</v>
      </c>
      <c r="KWI22" t="s">
        <v>8465</v>
      </c>
      <c r="KWJ22" t="s">
        <v>8466</v>
      </c>
      <c r="KWK22" t="s">
        <v>8467</v>
      </c>
      <c r="KWL22" t="s">
        <v>8468</v>
      </c>
      <c r="KWM22" t="s">
        <v>8469</v>
      </c>
      <c r="KWN22" t="s">
        <v>8470</v>
      </c>
      <c r="KWO22" t="s">
        <v>8471</v>
      </c>
      <c r="KWP22" t="s">
        <v>8472</v>
      </c>
      <c r="KWQ22" t="s">
        <v>8473</v>
      </c>
      <c r="KWR22" t="s">
        <v>8474</v>
      </c>
      <c r="KWS22" t="s">
        <v>8475</v>
      </c>
      <c r="KWT22" t="s">
        <v>8476</v>
      </c>
      <c r="KWU22" t="s">
        <v>8477</v>
      </c>
      <c r="KWV22" t="s">
        <v>8478</v>
      </c>
      <c r="KWW22" t="s">
        <v>8479</v>
      </c>
      <c r="KWX22" t="s">
        <v>8480</v>
      </c>
      <c r="KWY22" t="s">
        <v>8481</v>
      </c>
      <c r="KWZ22" t="s">
        <v>8482</v>
      </c>
      <c r="KXA22" t="s">
        <v>8483</v>
      </c>
      <c r="KXB22" t="s">
        <v>8484</v>
      </c>
      <c r="KXC22" t="s">
        <v>8485</v>
      </c>
      <c r="KXD22" t="s">
        <v>8486</v>
      </c>
      <c r="KXE22" t="s">
        <v>8487</v>
      </c>
      <c r="KXF22" t="s">
        <v>8488</v>
      </c>
      <c r="KXG22" t="s">
        <v>8489</v>
      </c>
      <c r="KXH22" t="s">
        <v>8490</v>
      </c>
      <c r="KXI22" t="s">
        <v>8491</v>
      </c>
      <c r="KXJ22" t="s">
        <v>8492</v>
      </c>
      <c r="KXK22" t="s">
        <v>8493</v>
      </c>
      <c r="KXL22" t="s">
        <v>8494</v>
      </c>
      <c r="KXM22" t="s">
        <v>8495</v>
      </c>
      <c r="KXN22" t="s">
        <v>8496</v>
      </c>
      <c r="KXO22" t="s">
        <v>8497</v>
      </c>
      <c r="KXP22" t="s">
        <v>8498</v>
      </c>
      <c r="KXQ22" t="s">
        <v>8499</v>
      </c>
      <c r="KXR22" t="s">
        <v>8500</v>
      </c>
      <c r="KXS22" t="s">
        <v>8501</v>
      </c>
      <c r="KXT22" t="s">
        <v>8502</v>
      </c>
      <c r="KXU22" t="s">
        <v>8503</v>
      </c>
      <c r="KXV22" t="s">
        <v>8504</v>
      </c>
      <c r="KXW22" t="s">
        <v>8505</v>
      </c>
      <c r="KXX22" t="s">
        <v>8506</v>
      </c>
      <c r="KXY22" t="s">
        <v>8507</v>
      </c>
      <c r="KXZ22" t="s">
        <v>8508</v>
      </c>
      <c r="KYA22" t="s">
        <v>8509</v>
      </c>
      <c r="KYB22" t="s">
        <v>8510</v>
      </c>
      <c r="KYC22" t="s">
        <v>8511</v>
      </c>
      <c r="KYD22" t="s">
        <v>8512</v>
      </c>
      <c r="KYE22" t="s">
        <v>8513</v>
      </c>
      <c r="KYF22" t="s">
        <v>8514</v>
      </c>
      <c r="KYG22" t="s">
        <v>8515</v>
      </c>
      <c r="KYH22" t="s">
        <v>8516</v>
      </c>
      <c r="KYI22" t="s">
        <v>8517</v>
      </c>
      <c r="KYJ22" t="s">
        <v>8518</v>
      </c>
      <c r="KYK22" t="s">
        <v>8519</v>
      </c>
      <c r="KYL22" t="s">
        <v>8520</v>
      </c>
      <c r="KYM22" t="s">
        <v>8521</v>
      </c>
      <c r="KYN22" t="s">
        <v>8522</v>
      </c>
      <c r="KYO22" t="s">
        <v>8523</v>
      </c>
      <c r="KYP22" t="s">
        <v>8524</v>
      </c>
      <c r="KYQ22" t="s">
        <v>8525</v>
      </c>
      <c r="KYR22" t="s">
        <v>8526</v>
      </c>
      <c r="KYS22" t="s">
        <v>8527</v>
      </c>
      <c r="KYT22" t="s">
        <v>8528</v>
      </c>
      <c r="KYU22" t="s">
        <v>8529</v>
      </c>
      <c r="KYV22" t="s">
        <v>8530</v>
      </c>
      <c r="KYW22" t="s">
        <v>8531</v>
      </c>
      <c r="KYX22" t="s">
        <v>8532</v>
      </c>
      <c r="KYY22" t="s">
        <v>8533</v>
      </c>
      <c r="KYZ22" t="s">
        <v>8534</v>
      </c>
      <c r="KZA22" t="s">
        <v>8535</v>
      </c>
      <c r="KZB22" t="s">
        <v>8536</v>
      </c>
      <c r="KZC22" t="s">
        <v>8537</v>
      </c>
      <c r="KZD22" t="s">
        <v>8538</v>
      </c>
      <c r="KZE22" t="s">
        <v>8539</v>
      </c>
      <c r="KZF22" t="s">
        <v>8540</v>
      </c>
      <c r="KZG22" t="s">
        <v>8541</v>
      </c>
      <c r="KZH22" t="s">
        <v>8542</v>
      </c>
      <c r="KZI22" t="s">
        <v>8543</v>
      </c>
      <c r="KZJ22" t="s">
        <v>8544</v>
      </c>
      <c r="KZK22" t="s">
        <v>8545</v>
      </c>
      <c r="KZL22" t="s">
        <v>8546</v>
      </c>
      <c r="KZM22" t="s">
        <v>8547</v>
      </c>
      <c r="KZN22" t="s">
        <v>8548</v>
      </c>
      <c r="KZO22" t="s">
        <v>8549</v>
      </c>
      <c r="KZP22" t="s">
        <v>8550</v>
      </c>
      <c r="KZQ22" t="s">
        <v>8551</v>
      </c>
      <c r="KZR22" t="s">
        <v>8552</v>
      </c>
      <c r="KZS22" t="s">
        <v>8553</v>
      </c>
      <c r="KZT22" t="s">
        <v>8554</v>
      </c>
      <c r="KZU22" t="s">
        <v>8555</v>
      </c>
      <c r="KZV22" t="s">
        <v>8556</v>
      </c>
      <c r="KZW22" t="s">
        <v>8557</v>
      </c>
      <c r="KZX22" t="s">
        <v>8558</v>
      </c>
      <c r="KZY22" t="s">
        <v>8559</v>
      </c>
      <c r="KZZ22" t="s">
        <v>8560</v>
      </c>
      <c r="LAA22" t="s">
        <v>8561</v>
      </c>
      <c r="LAB22" t="s">
        <v>8562</v>
      </c>
      <c r="LAC22" t="s">
        <v>8563</v>
      </c>
      <c r="LAD22" t="s">
        <v>8564</v>
      </c>
      <c r="LAE22" t="s">
        <v>8565</v>
      </c>
      <c r="LAF22" t="s">
        <v>8566</v>
      </c>
      <c r="LAG22" t="s">
        <v>8567</v>
      </c>
      <c r="LAH22" t="s">
        <v>8568</v>
      </c>
      <c r="LAI22" t="s">
        <v>8569</v>
      </c>
      <c r="LAJ22" t="s">
        <v>8570</v>
      </c>
      <c r="LAK22" t="s">
        <v>8571</v>
      </c>
      <c r="LAL22" t="s">
        <v>8572</v>
      </c>
      <c r="LAM22" t="s">
        <v>8573</v>
      </c>
      <c r="LAN22" t="s">
        <v>8574</v>
      </c>
      <c r="LAO22" t="s">
        <v>8575</v>
      </c>
      <c r="LAP22" t="s">
        <v>8576</v>
      </c>
      <c r="LAQ22" t="s">
        <v>8577</v>
      </c>
      <c r="LAR22" t="s">
        <v>8578</v>
      </c>
      <c r="LAS22" t="s">
        <v>8579</v>
      </c>
      <c r="LAT22" t="s">
        <v>8580</v>
      </c>
      <c r="LAU22" t="s">
        <v>8581</v>
      </c>
      <c r="LAV22" t="s">
        <v>8582</v>
      </c>
      <c r="LAW22" t="s">
        <v>8583</v>
      </c>
      <c r="LAX22" t="s">
        <v>8584</v>
      </c>
      <c r="LAY22" t="s">
        <v>8585</v>
      </c>
      <c r="LAZ22" t="s">
        <v>8586</v>
      </c>
      <c r="LBA22" t="s">
        <v>8587</v>
      </c>
      <c r="LBB22" t="s">
        <v>8588</v>
      </c>
      <c r="LBC22" t="s">
        <v>8589</v>
      </c>
      <c r="LBD22" t="s">
        <v>8590</v>
      </c>
      <c r="LBE22" t="s">
        <v>8591</v>
      </c>
      <c r="LBF22" t="s">
        <v>8592</v>
      </c>
      <c r="LBG22" t="s">
        <v>8593</v>
      </c>
      <c r="LBH22" t="s">
        <v>8594</v>
      </c>
      <c r="LBI22" t="s">
        <v>8595</v>
      </c>
      <c r="LBJ22" t="s">
        <v>8596</v>
      </c>
      <c r="LBK22" t="s">
        <v>8597</v>
      </c>
      <c r="LBL22" t="s">
        <v>8598</v>
      </c>
      <c r="LBM22" t="s">
        <v>8599</v>
      </c>
      <c r="LBN22" t="s">
        <v>8600</v>
      </c>
      <c r="LBO22" t="s">
        <v>8601</v>
      </c>
      <c r="LBP22" t="s">
        <v>8602</v>
      </c>
      <c r="LBQ22" t="s">
        <v>8603</v>
      </c>
      <c r="LBR22" t="s">
        <v>8604</v>
      </c>
      <c r="LBS22" t="s">
        <v>8605</v>
      </c>
      <c r="LBT22" t="s">
        <v>8606</v>
      </c>
      <c r="LBU22" t="s">
        <v>8607</v>
      </c>
      <c r="LBV22" t="s">
        <v>8608</v>
      </c>
      <c r="LBW22" t="s">
        <v>8609</v>
      </c>
      <c r="LBX22" t="s">
        <v>8610</v>
      </c>
      <c r="LBY22" t="s">
        <v>8611</v>
      </c>
      <c r="LBZ22" t="s">
        <v>8612</v>
      </c>
      <c r="LCA22" t="s">
        <v>8613</v>
      </c>
      <c r="LCB22" t="s">
        <v>8614</v>
      </c>
      <c r="LCC22" t="s">
        <v>8615</v>
      </c>
      <c r="LCD22" t="s">
        <v>8616</v>
      </c>
      <c r="LCE22" t="s">
        <v>8617</v>
      </c>
      <c r="LCF22" t="s">
        <v>8618</v>
      </c>
      <c r="LCG22" t="s">
        <v>8619</v>
      </c>
      <c r="LCH22" t="s">
        <v>8620</v>
      </c>
      <c r="LCI22" t="s">
        <v>8621</v>
      </c>
      <c r="LCJ22" t="s">
        <v>8622</v>
      </c>
      <c r="LCK22" t="s">
        <v>8623</v>
      </c>
      <c r="LCL22" t="s">
        <v>8624</v>
      </c>
      <c r="LCM22" t="s">
        <v>8625</v>
      </c>
      <c r="LCN22" t="s">
        <v>8626</v>
      </c>
      <c r="LCO22" t="s">
        <v>8627</v>
      </c>
      <c r="LCP22" t="s">
        <v>8628</v>
      </c>
      <c r="LCQ22" t="s">
        <v>8629</v>
      </c>
      <c r="LCR22" t="s">
        <v>8630</v>
      </c>
      <c r="LCS22" t="s">
        <v>8631</v>
      </c>
      <c r="LCT22" t="s">
        <v>8632</v>
      </c>
      <c r="LCU22" t="s">
        <v>8633</v>
      </c>
      <c r="LCV22" t="s">
        <v>8634</v>
      </c>
      <c r="LCW22" t="s">
        <v>8635</v>
      </c>
      <c r="LCX22" t="s">
        <v>8636</v>
      </c>
      <c r="LCY22" t="s">
        <v>8637</v>
      </c>
      <c r="LCZ22" t="s">
        <v>8638</v>
      </c>
      <c r="LDA22" t="s">
        <v>8639</v>
      </c>
      <c r="LDB22" t="s">
        <v>8640</v>
      </c>
      <c r="LDC22" t="s">
        <v>8641</v>
      </c>
      <c r="LDD22" t="s">
        <v>8642</v>
      </c>
      <c r="LDE22" t="s">
        <v>8643</v>
      </c>
      <c r="LDF22" t="s">
        <v>8644</v>
      </c>
      <c r="LDG22" t="s">
        <v>8645</v>
      </c>
      <c r="LDH22" t="s">
        <v>8646</v>
      </c>
      <c r="LDI22" t="s">
        <v>8647</v>
      </c>
      <c r="LDJ22" t="s">
        <v>8648</v>
      </c>
      <c r="LDK22" t="s">
        <v>8649</v>
      </c>
      <c r="LDL22" t="s">
        <v>8650</v>
      </c>
      <c r="LDM22" t="s">
        <v>8651</v>
      </c>
      <c r="LDN22" t="s">
        <v>8652</v>
      </c>
      <c r="LDO22" t="s">
        <v>8653</v>
      </c>
      <c r="LDP22" t="s">
        <v>8654</v>
      </c>
      <c r="LDQ22" t="s">
        <v>8655</v>
      </c>
      <c r="LDR22" t="s">
        <v>8656</v>
      </c>
      <c r="LDS22" t="s">
        <v>8657</v>
      </c>
      <c r="LDT22" t="s">
        <v>8658</v>
      </c>
      <c r="LDU22" t="s">
        <v>8659</v>
      </c>
      <c r="LDV22" t="s">
        <v>8660</v>
      </c>
      <c r="LDW22" t="s">
        <v>8661</v>
      </c>
      <c r="LDX22" t="s">
        <v>8662</v>
      </c>
      <c r="LDY22" t="s">
        <v>8663</v>
      </c>
      <c r="LDZ22" t="s">
        <v>8664</v>
      </c>
      <c r="LEA22" t="s">
        <v>8665</v>
      </c>
      <c r="LEB22" t="s">
        <v>8666</v>
      </c>
      <c r="LEC22" t="s">
        <v>8667</v>
      </c>
      <c r="LED22" t="s">
        <v>8668</v>
      </c>
      <c r="LEE22" t="s">
        <v>8669</v>
      </c>
      <c r="LEF22" t="s">
        <v>8670</v>
      </c>
      <c r="LEG22" t="s">
        <v>8671</v>
      </c>
      <c r="LEH22" t="s">
        <v>8672</v>
      </c>
      <c r="LEI22" t="s">
        <v>8673</v>
      </c>
      <c r="LEJ22" t="s">
        <v>8674</v>
      </c>
      <c r="LEK22" t="s">
        <v>8675</v>
      </c>
      <c r="LEL22" t="s">
        <v>8676</v>
      </c>
      <c r="LEM22" t="s">
        <v>8677</v>
      </c>
      <c r="LEN22" t="s">
        <v>8678</v>
      </c>
      <c r="LEO22" t="s">
        <v>8679</v>
      </c>
      <c r="LEP22" t="s">
        <v>8680</v>
      </c>
      <c r="LEQ22" t="s">
        <v>8681</v>
      </c>
      <c r="LER22" t="s">
        <v>8682</v>
      </c>
      <c r="LES22" t="s">
        <v>8683</v>
      </c>
      <c r="LET22" t="s">
        <v>8684</v>
      </c>
      <c r="LEU22" t="s">
        <v>8685</v>
      </c>
      <c r="LEV22" t="s">
        <v>8686</v>
      </c>
      <c r="LEW22" t="s">
        <v>8687</v>
      </c>
      <c r="LEX22" t="s">
        <v>8688</v>
      </c>
      <c r="LEY22" t="s">
        <v>8689</v>
      </c>
      <c r="LEZ22" t="s">
        <v>8690</v>
      </c>
      <c r="LFA22" t="s">
        <v>8691</v>
      </c>
      <c r="LFB22" t="s">
        <v>8692</v>
      </c>
      <c r="LFC22" t="s">
        <v>8693</v>
      </c>
      <c r="LFD22" t="s">
        <v>8694</v>
      </c>
      <c r="LFE22" t="s">
        <v>8695</v>
      </c>
      <c r="LFF22" t="s">
        <v>8696</v>
      </c>
      <c r="LFG22" t="s">
        <v>8697</v>
      </c>
      <c r="LFH22" t="s">
        <v>8698</v>
      </c>
      <c r="LFI22" t="s">
        <v>8699</v>
      </c>
      <c r="LFJ22" t="s">
        <v>8700</v>
      </c>
      <c r="LFK22" t="s">
        <v>8701</v>
      </c>
      <c r="LFL22" t="s">
        <v>8702</v>
      </c>
      <c r="LFM22" t="s">
        <v>8703</v>
      </c>
      <c r="LFN22" t="s">
        <v>8704</v>
      </c>
      <c r="LFO22" t="s">
        <v>8705</v>
      </c>
      <c r="LFP22" t="s">
        <v>8706</v>
      </c>
      <c r="LFQ22" t="s">
        <v>8707</v>
      </c>
      <c r="LFR22" t="s">
        <v>8708</v>
      </c>
      <c r="LFS22" t="s">
        <v>8709</v>
      </c>
      <c r="LFT22" t="s">
        <v>8710</v>
      </c>
      <c r="LFU22" t="s">
        <v>8711</v>
      </c>
      <c r="LFV22" t="s">
        <v>8712</v>
      </c>
      <c r="LFW22" t="s">
        <v>8713</v>
      </c>
      <c r="LFX22" t="s">
        <v>8714</v>
      </c>
      <c r="LFY22" t="s">
        <v>8715</v>
      </c>
      <c r="LFZ22" t="s">
        <v>8716</v>
      </c>
      <c r="LGA22" t="s">
        <v>8717</v>
      </c>
      <c r="LGB22" t="s">
        <v>8718</v>
      </c>
      <c r="LGC22" t="s">
        <v>8719</v>
      </c>
      <c r="LGD22" t="s">
        <v>8720</v>
      </c>
      <c r="LGE22" t="s">
        <v>8721</v>
      </c>
      <c r="LGF22" t="s">
        <v>8722</v>
      </c>
      <c r="LGG22" t="s">
        <v>8723</v>
      </c>
      <c r="LGH22" t="s">
        <v>8724</v>
      </c>
      <c r="LGI22" t="s">
        <v>8725</v>
      </c>
      <c r="LGJ22" t="s">
        <v>8726</v>
      </c>
      <c r="LGK22" t="s">
        <v>8727</v>
      </c>
      <c r="LGL22" t="s">
        <v>8728</v>
      </c>
      <c r="LGM22" t="s">
        <v>8729</v>
      </c>
      <c r="LGN22" t="s">
        <v>8730</v>
      </c>
      <c r="LGO22" t="s">
        <v>8731</v>
      </c>
      <c r="LGP22" t="s">
        <v>8732</v>
      </c>
      <c r="LGQ22" t="s">
        <v>8733</v>
      </c>
      <c r="LGR22" t="s">
        <v>8734</v>
      </c>
      <c r="LGS22" t="s">
        <v>8735</v>
      </c>
      <c r="LGT22" t="s">
        <v>8736</v>
      </c>
      <c r="LGU22" t="s">
        <v>8737</v>
      </c>
      <c r="LGV22" t="s">
        <v>8738</v>
      </c>
      <c r="LGW22" t="s">
        <v>8739</v>
      </c>
      <c r="LGX22" t="s">
        <v>8740</v>
      </c>
      <c r="LGY22" t="s">
        <v>8741</v>
      </c>
      <c r="LGZ22" t="s">
        <v>8742</v>
      </c>
      <c r="LHA22" t="s">
        <v>8743</v>
      </c>
      <c r="LHB22" t="s">
        <v>8744</v>
      </c>
      <c r="LHC22" t="s">
        <v>8745</v>
      </c>
      <c r="LHD22" t="s">
        <v>8746</v>
      </c>
      <c r="LHE22" t="s">
        <v>8747</v>
      </c>
      <c r="LHF22" t="s">
        <v>8748</v>
      </c>
      <c r="LHG22" t="s">
        <v>8749</v>
      </c>
      <c r="LHH22" t="s">
        <v>8750</v>
      </c>
      <c r="LHI22" t="s">
        <v>8751</v>
      </c>
      <c r="LHJ22" t="s">
        <v>8752</v>
      </c>
      <c r="LHK22" t="s">
        <v>8753</v>
      </c>
      <c r="LHL22" t="s">
        <v>8754</v>
      </c>
      <c r="LHM22" t="s">
        <v>8755</v>
      </c>
      <c r="LHN22" t="s">
        <v>8756</v>
      </c>
      <c r="LHO22" t="s">
        <v>8757</v>
      </c>
      <c r="LHP22" t="s">
        <v>8758</v>
      </c>
      <c r="LHQ22" t="s">
        <v>8759</v>
      </c>
      <c r="LHR22" t="s">
        <v>8760</v>
      </c>
      <c r="LHS22" t="s">
        <v>8761</v>
      </c>
      <c r="LHT22" t="s">
        <v>8762</v>
      </c>
      <c r="LHU22" t="s">
        <v>8763</v>
      </c>
      <c r="LHV22" t="s">
        <v>8764</v>
      </c>
      <c r="LHW22" t="s">
        <v>8765</v>
      </c>
      <c r="LHX22" t="s">
        <v>8766</v>
      </c>
      <c r="LHY22" t="s">
        <v>8767</v>
      </c>
      <c r="LHZ22" t="s">
        <v>8768</v>
      </c>
      <c r="LIA22" t="s">
        <v>8769</v>
      </c>
      <c r="LIB22" t="s">
        <v>8770</v>
      </c>
      <c r="LIC22" t="s">
        <v>8771</v>
      </c>
      <c r="LID22" t="s">
        <v>8772</v>
      </c>
      <c r="LIE22" t="s">
        <v>8773</v>
      </c>
      <c r="LIF22" t="s">
        <v>8774</v>
      </c>
      <c r="LIG22" t="s">
        <v>8775</v>
      </c>
      <c r="LIH22" t="s">
        <v>8776</v>
      </c>
      <c r="LII22" t="s">
        <v>8777</v>
      </c>
      <c r="LIJ22" t="s">
        <v>8778</v>
      </c>
      <c r="LIK22" t="s">
        <v>8779</v>
      </c>
      <c r="LIL22" t="s">
        <v>8780</v>
      </c>
      <c r="LIM22" t="s">
        <v>8781</v>
      </c>
      <c r="LIN22" t="s">
        <v>8782</v>
      </c>
      <c r="LIO22" t="s">
        <v>8783</v>
      </c>
      <c r="LIP22" t="s">
        <v>8784</v>
      </c>
      <c r="LIQ22" t="s">
        <v>8785</v>
      </c>
      <c r="LIR22" t="s">
        <v>8786</v>
      </c>
      <c r="LIS22" t="s">
        <v>8787</v>
      </c>
      <c r="LIT22" t="s">
        <v>8788</v>
      </c>
      <c r="LIU22" t="s">
        <v>8789</v>
      </c>
      <c r="LIV22" t="s">
        <v>8790</v>
      </c>
      <c r="LIW22" t="s">
        <v>8791</v>
      </c>
      <c r="LIX22" t="s">
        <v>8792</v>
      </c>
      <c r="LIY22" t="s">
        <v>8793</v>
      </c>
      <c r="LIZ22" t="s">
        <v>8794</v>
      </c>
      <c r="LJA22" t="s">
        <v>8795</v>
      </c>
      <c r="LJB22" t="s">
        <v>8796</v>
      </c>
      <c r="LJC22" t="s">
        <v>8797</v>
      </c>
      <c r="LJD22" t="s">
        <v>8798</v>
      </c>
      <c r="LJE22" t="s">
        <v>8799</v>
      </c>
      <c r="LJF22" t="s">
        <v>8800</v>
      </c>
      <c r="LJG22" t="s">
        <v>8801</v>
      </c>
      <c r="LJH22" t="s">
        <v>8802</v>
      </c>
      <c r="LJI22" t="s">
        <v>8803</v>
      </c>
      <c r="LJJ22" t="s">
        <v>8804</v>
      </c>
      <c r="LJK22" t="s">
        <v>8805</v>
      </c>
      <c r="LJL22" t="s">
        <v>8806</v>
      </c>
      <c r="LJM22" t="s">
        <v>8807</v>
      </c>
      <c r="LJN22" t="s">
        <v>8808</v>
      </c>
      <c r="LJO22" t="s">
        <v>8809</v>
      </c>
      <c r="LJP22" t="s">
        <v>8810</v>
      </c>
      <c r="LJQ22" t="s">
        <v>8811</v>
      </c>
      <c r="LJR22" t="s">
        <v>8812</v>
      </c>
      <c r="LJS22" t="s">
        <v>8813</v>
      </c>
      <c r="LJT22" t="s">
        <v>8814</v>
      </c>
      <c r="LJU22" t="s">
        <v>8815</v>
      </c>
      <c r="LJV22" t="s">
        <v>8816</v>
      </c>
      <c r="LJW22" t="s">
        <v>8817</v>
      </c>
      <c r="LJX22" t="s">
        <v>8818</v>
      </c>
      <c r="LJY22" t="s">
        <v>8819</v>
      </c>
      <c r="LJZ22" t="s">
        <v>8820</v>
      </c>
      <c r="LKA22" t="s">
        <v>8821</v>
      </c>
      <c r="LKB22" t="s">
        <v>8822</v>
      </c>
      <c r="LKC22" t="s">
        <v>8823</v>
      </c>
      <c r="LKD22" t="s">
        <v>8824</v>
      </c>
      <c r="LKE22" t="s">
        <v>8825</v>
      </c>
      <c r="LKF22" t="s">
        <v>8826</v>
      </c>
      <c r="LKG22" t="s">
        <v>8827</v>
      </c>
      <c r="LKH22" t="s">
        <v>8828</v>
      </c>
      <c r="LKI22" t="s">
        <v>8829</v>
      </c>
      <c r="LKJ22" t="s">
        <v>8830</v>
      </c>
      <c r="LKK22" t="s">
        <v>8831</v>
      </c>
      <c r="LKL22" t="s">
        <v>8832</v>
      </c>
      <c r="LKM22" t="s">
        <v>8833</v>
      </c>
      <c r="LKN22" t="s">
        <v>8834</v>
      </c>
      <c r="LKO22" t="s">
        <v>8835</v>
      </c>
      <c r="LKP22" t="s">
        <v>8836</v>
      </c>
      <c r="LKQ22" t="s">
        <v>8837</v>
      </c>
      <c r="LKR22" t="s">
        <v>8838</v>
      </c>
      <c r="LKS22" t="s">
        <v>8839</v>
      </c>
      <c r="LKT22" t="s">
        <v>8840</v>
      </c>
      <c r="LKU22" t="s">
        <v>8841</v>
      </c>
      <c r="LKV22" t="s">
        <v>8842</v>
      </c>
      <c r="LKW22" t="s">
        <v>8843</v>
      </c>
      <c r="LKX22" t="s">
        <v>8844</v>
      </c>
      <c r="LKY22" t="s">
        <v>8845</v>
      </c>
      <c r="LKZ22" t="s">
        <v>8846</v>
      </c>
      <c r="LLA22" t="s">
        <v>8847</v>
      </c>
      <c r="LLB22" t="s">
        <v>8848</v>
      </c>
      <c r="LLC22" t="s">
        <v>8849</v>
      </c>
      <c r="LLD22" t="s">
        <v>8850</v>
      </c>
      <c r="LLE22" t="s">
        <v>8851</v>
      </c>
      <c r="LLF22" t="s">
        <v>8852</v>
      </c>
      <c r="LLG22" t="s">
        <v>8853</v>
      </c>
      <c r="LLH22" t="s">
        <v>8854</v>
      </c>
      <c r="LLI22" t="s">
        <v>8855</v>
      </c>
      <c r="LLJ22" t="s">
        <v>8856</v>
      </c>
      <c r="LLK22" t="s">
        <v>8857</v>
      </c>
      <c r="LLL22" t="s">
        <v>8858</v>
      </c>
      <c r="LLM22" t="s">
        <v>8859</v>
      </c>
      <c r="LLN22" t="s">
        <v>8860</v>
      </c>
      <c r="LLO22" t="s">
        <v>8861</v>
      </c>
      <c r="LLP22" t="s">
        <v>8862</v>
      </c>
      <c r="LLQ22" t="s">
        <v>8863</v>
      </c>
      <c r="LLR22" t="s">
        <v>8864</v>
      </c>
      <c r="LLS22" t="s">
        <v>8865</v>
      </c>
      <c r="LLT22" t="s">
        <v>8866</v>
      </c>
      <c r="LLU22" t="s">
        <v>8867</v>
      </c>
      <c r="LLV22" t="s">
        <v>8868</v>
      </c>
      <c r="LLW22" t="s">
        <v>8869</v>
      </c>
      <c r="LLX22" t="s">
        <v>8870</v>
      </c>
      <c r="LLY22" t="s">
        <v>8871</v>
      </c>
      <c r="LLZ22" t="s">
        <v>8872</v>
      </c>
      <c r="LMA22" t="s">
        <v>8873</v>
      </c>
      <c r="LMB22" t="s">
        <v>8874</v>
      </c>
      <c r="LMC22" t="s">
        <v>8875</v>
      </c>
      <c r="LMD22" t="s">
        <v>8876</v>
      </c>
      <c r="LME22" t="s">
        <v>8877</v>
      </c>
      <c r="LMF22" t="s">
        <v>8878</v>
      </c>
      <c r="LMG22" t="s">
        <v>8879</v>
      </c>
      <c r="LMH22" t="s">
        <v>8880</v>
      </c>
      <c r="LMI22" t="s">
        <v>8881</v>
      </c>
      <c r="LMJ22" t="s">
        <v>8882</v>
      </c>
      <c r="LMK22" t="s">
        <v>8883</v>
      </c>
      <c r="LML22" t="s">
        <v>8884</v>
      </c>
      <c r="LMM22" t="s">
        <v>8885</v>
      </c>
      <c r="LMN22" t="s">
        <v>8886</v>
      </c>
      <c r="LMO22" t="s">
        <v>8887</v>
      </c>
      <c r="LMP22" t="s">
        <v>8888</v>
      </c>
      <c r="LMQ22" t="s">
        <v>8889</v>
      </c>
      <c r="LMR22" t="s">
        <v>8890</v>
      </c>
      <c r="LMS22" t="s">
        <v>8891</v>
      </c>
      <c r="LMT22" t="s">
        <v>8892</v>
      </c>
      <c r="LMU22" t="s">
        <v>8893</v>
      </c>
      <c r="LMV22" t="s">
        <v>8894</v>
      </c>
      <c r="LMW22" t="s">
        <v>8895</v>
      </c>
      <c r="LMX22" t="s">
        <v>8896</v>
      </c>
      <c r="LMY22" t="s">
        <v>8897</v>
      </c>
      <c r="LMZ22" t="s">
        <v>8898</v>
      </c>
      <c r="LNA22" t="s">
        <v>8899</v>
      </c>
      <c r="LNB22" t="s">
        <v>8900</v>
      </c>
      <c r="LNC22" t="s">
        <v>8901</v>
      </c>
      <c r="LND22" t="s">
        <v>8902</v>
      </c>
      <c r="LNE22" t="s">
        <v>8903</v>
      </c>
      <c r="LNF22" t="s">
        <v>8904</v>
      </c>
      <c r="LNG22" t="s">
        <v>8905</v>
      </c>
      <c r="LNH22" t="s">
        <v>8906</v>
      </c>
      <c r="LNI22" t="s">
        <v>8907</v>
      </c>
      <c r="LNJ22" t="s">
        <v>8908</v>
      </c>
      <c r="LNK22" t="s">
        <v>8909</v>
      </c>
      <c r="LNL22" t="s">
        <v>8910</v>
      </c>
      <c r="LNM22" t="s">
        <v>8911</v>
      </c>
      <c r="LNN22" t="s">
        <v>8912</v>
      </c>
      <c r="LNO22" t="s">
        <v>8913</v>
      </c>
      <c r="LNP22" t="s">
        <v>8914</v>
      </c>
      <c r="LNQ22" t="s">
        <v>8915</v>
      </c>
      <c r="LNR22" t="s">
        <v>8916</v>
      </c>
      <c r="LNS22" t="s">
        <v>8917</v>
      </c>
      <c r="LNT22" t="s">
        <v>8918</v>
      </c>
      <c r="LNU22" t="s">
        <v>8919</v>
      </c>
      <c r="LNV22" t="s">
        <v>8920</v>
      </c>
      <c r="LNW22" t="s">
        <v>8921</v>
      </c>
      <c r="LNX22" t="s">
        <v>8922</v>
      </c>
      <c r="LNY22" t="s">
        <v>8923</v>
      </c>
      <c r="LNZ22" t="s">
        <v>8924</v>
      </c>
      <c r="LOA22" t="s">
        <v>8925</v>
      </c>
      <c r="LOB22" t="s">
        <v>8926</v>
      </c>
      <c r="LOC22" t="s">
        <v>8927</v>
      </c>
      <c r="LOD22" t="s">
        <v>8928</v>
      </c>
      <c r="LOE22" t="s">
        <v>8929</v>
      </c>
      <c r="LOF22" t="s">
        <v>8930</v>
      </c>
      <c r="LOG22" t="s">
        <v>8931</v>
      </c>
      <c r="LOH22" t="s">
        <v>8932</v>
      </c>
      <c r="LOI22" t="s">
        <v>8933</v>
      </c>
      <c r="LOJ22" t="s">
        <v>8934</v>
      </c>
      <c r="LOK22" t="s">
        <v>8935</v>
      </c>
      <c r="LOL22" t="s">
        <v>8936</v>
      </c>
      <c r="LOM22" t="s">
        <v>8937</v>
      </c>
      <c r="LON22" t="s">
        <v>8938</v>
      </c>
      <c r="LOO22" t="s">
        <v>8939</v>
      </c>
      <c r="LOP22" t="s">
        <v>8940</v>
      </c>
      <c r="LOQ22" t="s">
        <v>8941</v>
      </c>
      <c r="LOR22" t="s">
        <v>8942</v>
      </c>
      <c r="LOS22" t="s">
        <v>8943</v>
      </c>
      <c r="LOT22" t="s">
        <v>8944</v>
      </c>
      <c r="LOU22" t="s">
        <v>8945</v>
      </c>
      <c r="LOV22" t="s">
        <v>8946</v>
      </c>
      <c r="LOW22" t="s">
        <v>8947</v>
      </c>
      <c r="LOX22" t="s">
        <v>8948</v>
      </c>
      <c r="LOY22" t="s">
        <v>8949</v>
      </c>
      <c r="LOZ22" t="s">
        <v>8950</v>
      </c>
      <c r="LPA22" t="s">
        <v>8951</v>
      </c>
      <c r="LPB22" t="s">
        <v>8952</v>
      </c>
      <c r="LPC22" t="s">
        <v>8953</v>
      </c>
      <c r="LPD22" t="s">
        <v>8954</v>
      </c>
      <c r="LPE22" t="s">
        <v>8955</v>
      </c>
      <c r="LPF22" t="s">
        <v>8956</v>
      </c>
      <c r="LPG22" t="s">
        <v>8957</v>
      </c>
      <c r="LPH22" t="s">
        <v>8958</v>
      </c>
      <c r="LPI22" t="s">
        <v>8959</v>
      </c>
      <c r="LPJ22" t="s">
        <v>8960</v>
      </c>
      <c r="LPK22" t="s">
        <v>8961</v>
      </c>
      <c r="LPL22" t="s">
        <v>8962</v>
      </c>
      <c r="LPM22" t="s">
        <v>8963</v>
      </c>
      <c r="LPN22" t="s">
        <v>8964</v>
      </c>
      <c r="LPO22" t="s">
        <v>8965</v>
      </c>
      <c r="LPP22" t="s">
        <v>8966</v>
      </c>
      <c r="LPQ22" t="s">
        <v>8967</v>
      </c>
      <c r="LPR22" t="s">
        <v>8968</v>
      </c>
      <c r="LPS22" t="s">
        <v>8969</v>
      </c>
      <c r="LPT22" t="s">
        <v>8970</v>
      </c>
      <c r="LPU22" t="s">
        <v>8971</v>
      </c>
      <c r="LPV22" t="s">
        <v>8972</v>
      </c>
      <c r="LPW22" t="s">
        <v>8973</v>
      </c>
      <c r="LPX22" t="s">
        <v>8974</v>
      </c>
      <c r="LPY22" t="s">
        <v>8975</v>
      </c>
      <c r="LPZ22" t="s">
        <v>8976</v>
      </c>
      <c r="LQA22" t="s">
        <v>8977</v>
      </c>
      <c r="LQB22" t="s">
        <v>8978</v>
      </c>
      <c r="LQC22" t="s">
        <v>8979</v>
      </c>
      <c r="LQD22" t="s">
        <v>8980</v>
      </c>
      <c r="LQE22" t="s">
        <v>8981</v>
      </c>
      <c r="LQF22" t="s">
        <v>8982</v>
      </c>
      <c r="LQG22" t="s">
        <v>8983</v>
      </c>
      <c r="LQH22" t="s">
        <v>8984</v>
      </c>
      <c r="LQI22" t="s">
        <v>8985</v>
      </c>
      <c r="LQJ22" t="s">
        <v>8986</v>
      </c>
      <c r="LQK22" t="s">
        <v>8987</v>
      </c>
      <c r="LQL22" t="s">
        <v>8988</v>
      </c>
      <c r="LQM22" t="s">
        <v>8989</v>
      </c>
      <c r="LQN22" t="s">
        <v>8990</v>
      </c>
      <c r="LQO22" t="s">
        <v>8991</v>
      </c>
      <c r="LQP22" t="s">
        <v>8992</v>
      </c>
      <c r="LQQ22" t="s">
        <v>8993</v>
      </c>
      <c r="LQR22" t="s">
        <v>8994</v>
      </c>
      <c r="LQS22" t="s">
        <v>8995</v>
      </c>
      <c r="LQT22" t="s">
        <v>8996</v>
      </c>
      <c r="LQU22" t="s">
        <v>8997</v>
      </c>
      <c r="LQV22" t="s">
        <v>8998</v>
      </c>
      <c r="LQW22" t="s">
        <v>8999</v>
      </c>
      <c r="LQX22" t="s">
        <v>9000</v>
      </c>
      <c r="LQY22" t="s">
        <v>9001</v>
      </c>
      <c r="LQZ22" t="s">
        <v>9002</v>
      </c>
      <c r="LRA22" t="s">
        <v>9003</v>
      </c>
      <c r="LRB22" t="s">
        <v>9004</v>
      </c>
      <c r="LRC22" t="s">
        <v>9005</v>
      </c>
      <c r="LRD22" t="s">
        <v>9006</v>
      </c>
      <c r="LRE22" t="s">
        <v>9007</v>
      </c>
      <c r="LRF22" t="s">
        <v>9008</v>
      </c>
      <c r="LRG22" t="s">
        <v>9009</v>
      </c>
      <c r="LRH22" t="s">
        <v>9010</v>
      </c>
      <c r="LRI22" t="s">
        <v>9011</v>
      </c>
      <c r="LRJ22" t="s">
        <v>9012</v>
      </c>
      <c r="LRK22" t="s">
        <v>9013</v>
      </c>
      <c r="LRL22" t="s">
        <v>9014</v>
      </c>
      <c r="LRM22" t="s">
        <v>9015</v>
      </c>
      <c r="LRN22" t="s">
        <v>9016</v>
      </c>
      <c r="LRO22" t="s">
        <v>9017</v>
      </c>
      <c r="LRP22" t="s">
        <v>9018</v>
      </c>
      <c r="LRQ22" t="s">
        <v>9019</v>
      </c>
      <c r="LRR22" t="s">
        <v>9020</v>
      </c>
      <c r="LRS22" t="s">
        <v>9021</v>
      </c>
      <c r="LRT22" t="s">
        <v>9022</v>
      </c>
      <c r="LRU22" t="s">
        <v>9023</v>
      </c>
      <c r="LRV22" t="s">
        <v>9024</v>
      </c>
      <c r="LRW22" t="s">
        <v>9025</v>
      </c>
      <c r="LRX22" t="s">
        <v>9026</v>
      </c>
      <c r="LRY22" t="s">
        <v>9027</v>
      </c>
      <c r="LRZ22" t="s">
        <v>9028</v>
      </c>
      <c r="LSA22" t="s">
        <v>9029</v>
      </c>
      <c r="LSB22" t="s">
        <v>9030</v>
      </c>
      <c r="LSC22" t="s">
        <v>9031</v>
      </c>
      <c r="LSD22" t="s">
        <v>9032</v>
      </c>
      <c r="LSE22" t="s">
        <v>9033</v>
      </c>
      <c r="LSF22" t="s">
        <v>9034</v>
      </c>
      <c r="LSG22" t="s">
        <v>9035</v>
      </c>
      <c r="LSH22" t="s">
        <v>9036</v>
      </c>
      <c r="LSI22" t="s">
        <v>9037</v>
      </c>
      <c r="LSJ22" t="s">
        <v>9038</v>
      </c>
      <c r="LSK22" t="s">
        <v>9039</v>
      </c>
      <c r="LSL22" t="s">
        <v>9040</v>
      </c>
      <c r="LSM22" t="s">
        <v>9041</v>
      </c>
      <c r="LSN22" t="s">
        <v>9042</v>
      </c>
      <c r="LSO22" t="s">
        <v>9043</v>
      </c>
      <c r="LSP22" t="s">
        <v>9044</v>
      </c>
      <c r="LSQ22" t="s">
        <v>9045</v>
      </c>
      <c r="LSR22" t="s">
        <v>9046</v>
      </c>
      <c r="LSS22" t="s">
        <v>9047</v>
      </c>
      <c r="LST22" t="s">
        <v>9048</v>
      </c>
      <c r="LSU22" t="s">
        <v>9049</v>
      </c>
      <c r="LSV22" t="s">
        <v>9050</v>
      </c>
      <c r="LSW22" t="s">
        <v>9051</v>
      </c>
      <c r="LSX22" t="s">
        <v>9052</v>
      </c>
      <c r="LSY22" t="s">
        <v>9053</v>
      </c>
      <c r="LSZ22" t="s">
        <v>9054</v>
      </c>
      <c r="LTA22" t="s">
        <v>9055</v>
      </c>
      <c r="LTB22" t="s">
        <v>9056</v>
      </c>
      <c r="LTC22" t="s">
        <v>9057</v>
      </c>
      <c r="LTD22" t="s">
        <v>9058</v>
      </c>
      <c r="LTE22" t="s">
        <v>9059</v>
      </c>
      <c r="LTF22" t="s">
        <v>9060</v>
      </c>
      <c r="LTG22" t="s">
        <v>9061</v>
      </c>
      <c r="LTH22" t="s">
        <v>9062</v>
      </c>
      <c r="LTI22" t="s">
        <v>9063</v>
      </c>
      <c r="LTJ22" t="s">
        <v>9064</v>
      </c>
      <c r="LTK22" t="s">
        <v>9065</v>
      </c>
      <c r="LTL22" t="s">
        <v>9066</v>
      </c>
      <c r="LTM22" t="s">
        <v>9067</v>
      </c>
      <c r="LTN22" t="s">
        <v>9068</v>
      </c>
      <c r="LTO22" t="s">
        <v>9069</v>
      </c>
      <c r="LTP22" t="s">
        <v>9070</v>
      </c>
      <c r="LTQ22" t="s">
        <v>9071</v>
      </c>
      <c r="LTR22" t="s">
        <v>9072</v>
      </c>
      <c r="LTS22" t="s">
        <v>9073</v>
      </c>
      <c r="LTT22" t="s">
        <v>9074</v>
      </c>
      <c r="LTU22" t="s">
        <v>9075</v>
      </c>
      <c r="LTV22" t="s">
        <v>9076</v>
      </c>
      <c r="LTW22" t="s">
        <v>9077</v>
      </c>
      <c r="LTX22" t="s">
        <v>9078</v>
      </c>
      <c r="LTY22" t="s">
        <v>9079</v>
      </c>
      <c r="LTZ22" t="s">
        <v>9080</v>
      </c>
      <c r="LUA22" t="s">
        <v>9081</v>
      </c>
      <c r="LUB22" t="s">
        <v>9082</v>
      </c>
      <c r="LUC22" t="s">
        <v>9083</v>
      </c>
      <c r="LUD22" t="s">
        <v>9084</v>
      </c>
      <c r="LUE22" t="s">
        <v>9085</v>
      </c>
      <c r="LUF22" t="s">
        <v>9086</v>
      </c>
      <c r="LUG22" t="s">
        <v>9087</v>
      </c>
      <c r="LUH22" t="s">
        <v>9088</v>
      </c>
      <c r="LUI22" t="s">
        <v>9089</v>
      </c>
      <c r="LUJ22" t="s">
        <v>9090</v>
      </c>
      <c r="LUK22" t="s">
        <v>9091</v>
      </c>
      <c r="LUL22" t="s">
        <v>9092</v>
      </c>
      <c r="LUM22" t="s">
        <v>9093</v>
      </c>
      <c r="LUN22" t="s">
        <v>9094</v>
      </c>
      <c r="LUO22" t="s">
        <v>9095</v>
      </c>
      <c r="LUP22" t="s">
        <v>9096</v>
      </c>
      <c r="LUQ22" t="s">
        <v>9097</v>
      </c>
      <c r="LUR22" t="s">
        <v>9098</v>
      </c>
      <c r="LUS22" t="s">
        <v>9099</v>
      </c>
      <c r="LUT22" t="s">
        <v>9100</v>
      </c>
      <c r="LUU22" t="s">
        <v>9101</v>
      </c>
      <c r="LUV22" t="s">
        <v>9102</v>
      </c>
      <c r="LUW22" t="s">
        <v>9103</v>
      </c>
      <c r="LUX22" t="s">
        <v>9104</v>
      </c>
      <c r="LUY22" t="s">
        <v>9105</v>
      </c>
      <c r="LUZ22" t="s">
        <v>9106</v>
      </c>
      <c r="LVA22" t="s">
        <v>9107</v>
      </c>
      <c r="LVB22" t="s">
        <v>9108</v>
      </c>
      <c r="LVC22" t="s">
        <v>9109</v>
      </c>
      <c r="LVD22" t="s">
        <v>9110</v>
      </c>
      <c r="LVE22" t="s">
        <v>9111</v>
      </c>
      <c r="LVF22" t="s">
        <v>9112</v>
      </c>
      <c r="LVG22" t="s">
        <v>9113</v>
      </c>
      <c r="LVH22" t="s">
        <v>9114</v>
      </c>
      <c r="LVI22" t="s">
        <v>9115</v>
      </c>
      <c r="LVJ22" t="s">
        <v>9116</v>
      </c>
      <c r="LVK22" t="s">
        <v>9117</v>
      </c>
      <c r="LVL22" t="s">
        <v>9118</v>
      </c>
      <c r="LVM22" t="s">
        <v>9119</v>
      </c>
      <c r="LVN22" t="s">
        <v>9120</v>
      </c>
      <c r="LVO22" t="s">
        <v>9121</v>
      </c>
      <c r="LVP22" t="s">
        <v>9122</v>
      </c>
      <c r="LVQ22" t="s">
        <v>9123</v>
      </c>
      <c r="LVR22" t="s">
        <v>9124</v>
      </c>
      <c r="LVS22" t="s">
        <v>9125</v>
      </c>
      <c r="LVT22" t="s">
        <v>9126</v>
      </c>
      <c r="LVU22" t="s">
        <v>9127</v>
      </c>
      <c r="LVV22" t="s">
        <v>9128</v>
      </c>
      <c r="LVW22" t="s">
        <v>9129</v>
      </c>
      <c r="LVX22" t="s">
        <v>9130</v>
      </c>
      <c r="LVY22" t="s">
        <v>9131</v>
      </c>
      <c r="LVZ22" t="s">
        <v>9132</v>
      </c>
      <c r="LWA22" t="s">
        <v>9133</v>
      </c>
      <c r="LWB22" t="s">
        <v>9134</v>
      </c>
      <c r="LWC22" t="s">
        <v>9135</v>
      </c>
      <c r="LWD22" t="s">
        <v>9136</v>
      </c>
      <c r="LWE22" t="s">
        <v>9137</v>
      </c>
      <c r="LWF22" t="s">
        <v>9138</v>
      </c>
      <c r="LWG22" t="s">
        <v>9139</v>
      </c>
      <c r="LWH22" t="s">
        <v>9140</v>
      </c>
      <c r="LWI22" t="s">
        <v>9141</v>
      </c>
      <c r="LWJ22" t="s">
        <v>9142</v>
      </c>
      <c r="LWK22" t="s">
        <v>9143</v>
      </c>
      <c r="LWL22" t="s">
        <v>9144</v>
      </c>
      <c r="LWM22" t="s">
        <v>9145</v>
      </c>
      <c r="LWN22" t="s">
        <v>9146</v>
      </c>
      <c r="LWO22" t="s">
        <v>9147</v>
      </c>
      <c r="LWP22" t="s">
        <v>9148</v>
      </c>
      <c r="LWQ22" t="s">
        <v>9149</v>
      </c>
      <c r="LWR22" t="s">
        <v>9150</v>
      </c>
      <c r="LWS22" t="s">
        <v>9151</v>
      </c>
      <c r="LWT22" t="s">
        <v>9152</v>
      </c>
      <c r="LWU22" t="s">
        <v>9153</v>
      </c>
      <c r="LWV22" t="s">
        <v>9154</v>
      </c>
      <c r="LWW22" t="s">
        <v>9155</v>
      </c>
      <c r="LWX22" t="s">
        <v>9156</v>
      </c>
      <c r="LWY22" t="s">
        <v>9157</v>
      </c>
      <c r="LWZ22" t="s">
        <v>9158</v>
      </c>
      <c r="LXA22" t="s">
        <v>9159</v>
      </c>
      <c r="LXB22" t="s">
        <v>9160</v>
      </c>
      <c r="LXC22" t="s">
        <v>9161</v>
      </c>
      <c r="LXD22" t="s">
        <v>9162</v>
      </c>
      <c r="LXE22" t="s">
        <v>9163</v>
      </c>
      <c r="LXF22" t="s">
        <v>9164</v>
      </c>
      <c r="LXG22" t="s">
        <v>9165</v>
      </c>
      <c r="LXH22" t="s">
        <v>9166</v>
      </c>
      <c r="LXI22" t="s">
        <v>9167</v>
      </c>
      <c r="LXJ22" t="s">
        <v>9168</v>
      </c>
      <c r="LXK22" t="s">
        <v>9169</v>
      </c>
      <c r="LXL22" t="s">
        <v>9170</v>
      </c>
      <c r="LXM22" t="s">
        <v>9171</v>
      </c>
      <c r="LXN22" t="s">
        <v>9172</v>
      </c>
      <c r="LXO22" t="s">
        <v>9173</v>
      </c>
      <c r="LXP22" t="s">
        <v>9174</v>
      </c>
      <c r="LXQ22" t="s">
        <v>9175</v>
      </c>
      <c r="LXR22" t="s">
        <v>9176</v>
      </c>
      <c r="LXS22" t="s">
        <v>9177</v>
      </c>
      <c r="LXT22" t="s">
        <v>9178</v>
      </c>
      <c r="LXU22" t="s">
        <v>9179</v>
      </c>
      <c r="LXV22" t="s">
        <v>9180</v>
      </c>
      <c r="LXW22" t="s">
        <v>9181</v>
      </c>
      <c r="LXX22" t="s">
        <v>9182</v>
      </c>
      <c r="LXY22" t="s">
        <v>9183</v>
      </c>
      <c r="LXZ22" t="s">
        <v>9184</v>
      </c>
      <c r="LYA22" t="s">
        <v>9185</v>
      </c>
      <c r="LYB22" t="s">
        <v>9186</v>
      </c>
      <c r="LYC22" t="s">
        <v>9187</v>
      </c>
      <c r="LYD22" t="s">
        <v>9188</v>
      </c>
      <c r="LYE22" t="s">
        <v>9189</v>
      </c>
      <c r="LYF22" t="s">
        <v>9190</v>
      </c>
      <c r="LYG22" t="s">
        <v>9191</v>
      </c>
      <c r="LYH22" t="s">
        <v>9192</v>
      </c>
      <c r="LYI22" t="s">
        <v>9193</v>
      </c>
      <c r="LYJ22" t="s">
        <v>9194</v>
      </c>
      <c r="LYK22" t="s">
        <v>9195</v>
      </c>
      <c r="LYL22" t="s">
        <v>9196</v>
      </c>
      <c r="LYM22" t="s">
        <v>9197</v>
      </c>
      <c r="LYN22" t="s">
        <v>9198</v>
      </c>
      <c r="LYO22" t="s">
        <v>9199</v>
      </c>
      <c r="LYP22" t="s">
        <v>9200</v>
      </c>
      <c r="LYQ22" t="s">
        <v>9201</v>
      </c>
      <c r="LYR22" t="s">
        <v>9202</v>
      </c>
      <c r="LYS22" t="s">
        <v>9203</v>
      </c>
      <c r="LYT22" t="s">
        <v>9204</v>
      </c>
      <c r="LYU22" t="s">
        <v>9205</v>
      </c>
      <c r="LYV22" t="s">
        <v>9206</v>
      </c>
      <c r="LYW22" t="s">
        <v>9207</v>
      </c>
      <c r="LYX22" t="s">
        <v>9208</v>
      </c>
      <c r="LYY22" t="s">
        <v>9209</v>
      </c>
      <c r="LYZ22" t="s">
        <v>9210</v>
      </c>
      <c r="LZA22" t="s">
        <v>9211</v>
      </c>
      <c r="LZB22" t="s">
        <v>9212</v>
      </c>
      <c r="LZC22" t="s">
        <v>9213</v>
      </c>
      <c r="LZD22" t="s">
        <v>9214</v>
      </c>
      <c r="LZE22" t="s">
        <v>9215</v>
      </c>
      <c r="LZF22" t="s">
        <v>9216</v>
      </c>
      <c r="LZG22" t="s">
        <v>9217</v>
      </c>
      <c r="LZH22" t="s">
        <v>9218</v>
      </c>
      <c r="LZI22" t="s">
        <v>9219</v>
      </c>
      <c r="LZJ22" t="s">
        <v>9220</v>
      </c>
      <c r="LZK22" t="s">
        <v>9221</v>
      </c>
      <c r="LZL22" t="s">
        <v>9222</v>
      </c>
      <c r="LZM22" t="s">
        <v>9223</v>
      </c>
      <c r="LZN22" t="s">
        <v>9224</v>
      </c>
      <c r="LZO22" t="s">
        <v>9225</v>
      </c>
      <c r="LZP22" t="s">
        <v>9226</v>
      </c>
      <c r="LZQ22" t="s">
        <v>9227</v>
      </c>
      <c r="LZR22" t="s">
        <v>9228</v>
      </c>
      <c r="LZS22" t="s">
        <v>9229</v>
      </c>
      <c r="LZT22" t="s">
        <v>9230</v>
      </c>
      <c r="LZU22" t="s">
        <v>9231</v>
      </c>
      <c r="LZV22" t="s">
        <v>9232</v>
      </c>
      <c r="LZW22" t="s">
        <v>9233</v>
      </c>
      <c r="LZX22" t="s">
        <v>9234</v>
      </c>
      <c r="LZY22" t="s">
        <v>9235</v>
      </c>
      <c r="LZZ22" t="s">
        <v>9236</v>
      </c>
      <c r="MAA22" t="s">
        <v>9237</v>
      </c>
      <c r="MAB22" t="s">
        <v>9238</v>
      </c>
      <c r="MAC22" t="s">
        <v>9239</v>
      </c>
      <c r="MAD22" t="s">
        <v>9240</v>
      </c>
      <c r="MAE22" t="s">
        <v>9241</v>
      </c>
      <c r="MAF22" t="s">
        <v>9242</v>
      </c>
      <c r="MAG22" t="s">
        <v>9243</v>
      </c>
      <c r="MAH22" t="s">
        <v>9244</v>
      </c>
      <c r="MAI22" t="s">
        <v>9245</v>
      </c>
      <c r="MAJ22" t="s">
        <v>9246</v>
      </c>
      <c r="MAK22" t="s">
        <v>9247</v>
      </c>
      <c r="MAL22" t="s">
        <v>9248</v>
      </c>
      <c r="MAM22" t="s">
        <v>9249</v>
      </c>
      <c r="MAN22" t="s">
        <v>9250</v>
      </c>
      <c r="MAO22" t="s">
        <v>9251</v>
      </c>
      <c r="MAP22" t="s">
        <v>9252</v>
      </c>
      <c r="MAQ22" t="s">
        <v>9253</v>
      </c>
      <c r="MAR22" t="s">
        <v>9254</v>
      </c>
      <c r="MAS22" t="s">
        <v>9255</v>
      </c>
      <c r="MAT22" t="s">
        <v>9256</v>
      </c>
      <c r="MAU22" t="s">
        <v>9257</v>
      </c>
      <c r="MAV22" t="s">
        <v>9258</v>
      </c>
      <c r="MAW22" t="s">
        <v>9259</v>
      </c>
      <c r="MAX22" t="s">
        <v>9260</v>
      </c>
      <c r="MAY22" t="s">
        <v>9261</v>
      </c>
      <c r="MAZ22" t="s">
        <v>9262</v>
      </c>
      <c r="MBA22" t="s">
        <v>9263</v>
      </c>
      <c r="MBB22" t="s">
        <v>9264</v>
      </c>
      <c r="MBC22" t="s">
        <v>9265</v>
      </c>
      <c r="MBD22" t="s">
        <v>9266</v>
      </c>
      <c r="MBE22" t="s">
        <v>9267</v>
      </c>
      <c r="MBF22" t="s">
        <v>9268</v>
      </c>
      <c r="MBG22" t="s">
        <v>9269</v>
      </c>
      <c r="MBH22" t="s">
        <v>9270</v>
      </c>
      <c r="MBI22" t="s">
        <v>9271</v>
      </c>
      <c r="MBJ22" t="s">
        <v>9272</v>
      </c>
      <c r="MBK22" t="s">
        <v>9273</v>
      </c>
      <c r="MBL22" t="s">
        <v>9274</v>
      </c>
      <c r="MBM22" t="s">
        <v>9275</v>
      </c>
      <c r="MBN22" t="s">
        <v>9276</v>
      </c>
      <c r="MBO22" t="s">
        <v>9277</v>
      </c>
      <c r="MBP22" t="s">
        <v>9278</v>
      </c>
      <c r="MBQ22" t="s">
        <v>9279</v>
      </c>
      <c r="MBR22" t="s">
        <v>9280</v>
      </c>
      <c r="MBS22" t="s">
        <v>9281</v>
      </c>
      <c r="MBT22" t="s">
        <v>9282</v>
      </c>
      <c r="MBU22" t="s">
        <v>9283</v>
      </c>
      <c r="MBV22" t="s">
        <v>9284</v>
      </c>
      <c r="MBW22" t="s">
        <v>9285</v>
      </c>
      <c r="MBX22" t="s">
        <v>9286</v>
      </c>
      <c r="MBY22" t="s">
        <v>9287</v>
      </c>
      <c r="MBZ22" t="s">
        <v>9288</v>
      </c>
      <c r="MCA22" t="s">
        <v>9289</v>
      </c>
      <c r="MCB22" t="s">
        <v>9290</v>
      </c>
      <c r="MCC22" t="s">
        <v>9291</v>
      </c>
      <c r="MCD22" t="s">
        <v>9292</v>
      </c>
      <c r="MCE22" t="s">
        <v>9293</v>
      </c>
      <c r="MCF22" t="s">
        <v>9294</v>
      </c>
      <c r="MCG22" t="s">
        <v>9295</v>
      </c>
      <c r="MCH22" t="s">
        <v>9296</v>
      </c>
      <c r="MCI22" t="s">
        <v>9297</v>
      </c>
      <c r="MCJ22" t="s">
        <v>9298</v>
      </c>
      <c r="MCK22" t="s">
        <v>9299</v>
      </c>
      <c r="MCL22" t="s">
        <v>9300</v>
      </c>
      <c r="MCM22" t="s">
        <v>9301</v>
      </c>
      <c r="MCN22" t="s">
        <v>9302</v>
      </c>
      <c r="MCO22" t="s">
        <v>9303</v>
      </c>
      <c r="MCP22" t="s">
        <v>9304</v>
      </c>
      <c r="MCQ22" t="s">
        <v>9305</v>
      </c>
      <c r="MCR22" t="s">
        <v>9306</v>
      </c>
      <c r="MCS22" t="s">
        <v>9307</v>
      </c>
      <c r="MCT22" t="s">
        <v>9308</v>
      </c>
      <c r="MCU22" t="s">
        <v>9309</v>
      </c>
      <c r="MCV22" t="s">
        <v>9310</v>
      </c>
      <c r="MCW22" t="s">
        <v>9311</v>
      </c>
      <c r="MCX22" t="s">
        <v>9312</v>
      </c>
      <c r="MCY22" t="s">
        <v>9313</v>
      </c>
      <c r="MCZ22" t="s">
        <v>9314</v>
      </c>
      <c r="MDA22" t="s">
        <v>9315</v>
      </c>
      <c r="MDB22" t="s">
        <v>9316</v>
      </c>
      <c r="MDC22" t="s">
        <v>9317</v>
      </c>
      <c r="MDD22" t="s">
        <v>9318</v>
      </c>
      <c r="MDE22" t="s">
        <v>9319</v>
      </c>
      <c r="MDF22" t="s">
        <v>9320</v>
      </c>
      <c r="MDG22" t="s">
        <v>9321</v>
      </c>
      <c r="MDH22" t="s">
        <v>9322</v>
      </c>
      <c r="MDI22" t="s">
        <v>9323</v>
      </c>
      <c r="MDJ22" t="s">
        <v>9324</v>
      </c>
      <c r="MDK22" t="s">
        <v>9325</v>
      </c>
      <c r="MDL22" t="s">
        <v>9326</v>
      </c>
      <c r="MDM22" t="s">
        <v>9327</v>
      </c>
      <c r="MDN22" t="s">
        <v>9328</v>
      </c>
      <c r="MDO22" t="s">
        <v>9329</v>
      </c>
      <c r="MDP22" t="s">
        <v>9330</v>
      </c>
      <c r="MDQ22" t="s">
        <v>9331</v>
      </c>
      <c r="MDR22" t="s">
        <v>9332</v>
      </c>
      <c r="MDS22" t="s">
        <v>9333</v>
      </c>
      <c r="MDT22" t="s">
        <v>9334</v>
      </c>
      <c r="MDU22" t="s">
        <v>9335</v>
      </c>
      <c r="MDV22" t="s">
        <v>9336</v>
      </c>
      <c r="MDW22" t="s">
        <v>9337</v>
      </c>
      <c r="MDX22" t="s">
        <v>9338</v>
      </c>
      <c r="MDY22" t="s">
        <v>9339</v>
      </c>
      <c r="MDZ22" t="s">
        <v>9340</v>
      </c>
      <c r="MEA22" t="s">
        <v>9341</v>
      </c>
      <c r="MEB22" t="s">
        <v>9342</v>
      </c>
      <c r="MEC22" t="s">
        <v>9343</v>
      </c>
      <c r="MED22" t="s">
        <v>9344</v>
      </c>
      <c r="MEE22" t="s">
        <v>9345</v>
      </c>
      <c r="MEF22" t="s">
        <v>9346</v>
      </c>
      <c r="MEG22" t="s">
        <v>9347</v>
      </c>
      <c r="MEH22" t="s">
        <v>9348</v>
      </c>
      <c r="MEI22" t="s">
        <v>9349</v>
      </c>
      <c r="MEJ22" t="s">
        <v>9350</v>
      </c>
      <c r="MEK22" t="s">
        <v>9351</v>
      </c>
      <c r="MEL22" t="s">
        <v>9352</v>
      </c>
      <c r="MEM22" t="s">
        <v>9353</v>
      </c>
      <c r="MEN22" t="s">
        <v>9354</v>
      </c>
      <c r="MEO22" t="s">
        <v>9355</v>
      </c>
      <c r="MEP22" t="s">
        <v>9356</v>
      </c>
      <c r="MEQ22" t="s">
        <v>9357</v>
      </c>
      <c r="MER22" t="s">
        <v>9358</v>
      </c>
      <c r="MES22" t="s">
        <v>9359</v>
      </c>
      <c r="MET22" t="s">
        <v>9360</v>
      </c>
      <c r="MEU22" t="s">
        <v>9361</v>
      </c>
      <c r="MEV22" t="s">
        <v>9362</v>
      </c>
      <c r="MEW22" t="s">
        <v>9363</v>
      </c>
      <c r="MEX22" t="s">
        <v>9364</v>
      </c>
      <c r="MEY22" t="s">
        <v>9365</v>
      </c>
      <c r="MEZ22" t="s">
        <v>9366</v>
      </c>
      <c r="MFA22" t="s">
        <v>9367</v>
      </c>
      <c r="MFB22" t="s">
        <v>9368</v>
      </c>
      <c r="MFC22" t="s">
        <v>9369</v>
      </c>
      <c r="MFD22" t="s">
        <v>9370</v>
      </c>
      <c r="MFE22" t="s">
        <v>9371</v>
      </c>
      <c r="MFF22" t="s">
        <v>9372</v>
      </c>
      <c r="MFG22" t="s">
        <v>9373</v>
      </c>
      <c r="MFH22" t="s">
        <v>9374</v>
      </c>
      <c r="MFI22" t="s">
        <v>9375</v>
      </c>
      <c r="MFJ22" t="s">
        <v>9376</v>
      </c>
      <c r="MFK22" t="s">
        <v>9377</v>
      </c>
      <c r="MFL22" t="s">
        <v>9378</v>
      </c>
      <c r="MFM22" t="s">
        <v>9379</v>
      </c>
      <c r="MFN22" t="s">
        <v>9380</v>
      </c>
      <c r="MFO22" t="s">
        <v>9381</v>
      </c>
      <c r="MFP22" t="s">
        <v>9382</v>
      </c>
      <c r="MFQ22" t="s">
        <v>9383</v>
      </c>
      <c r="MFR22" t="s">
        <v>9384</v>
      </c>
      <c r="MFS22" t="s">
        <v>9385</v>
      </c>
      <c r="MFT22" t="s">
        <v>9386</v>
      </c>
      <c r="MFU22" t="s">
        <v>9387</v>
      </c>
      <c r="MFV22" t="s">
        <v>9388</v>
      </c>
      <c r="MFW22" t="s">
        <v>9389</v>
      </c>
      <c r="MFX22" t="s">
        <v>9390</v>
      </c>
      <c r="MFY22" t="s">
        <v>9391</v>
      </c>
      <c r="MFZ22" t="s">
        <v>9392</v>
      </c>
      <c r="MGA22" t="s">
        <v>9393</v>
      </c>
      <c r="MGB22" t="s">
        <v>9394</v>
      </c>
      <c r="MGC22" t="s">
        <v>9395</v>
      </c>
      <c r="MGD22" t="s">
        <v>9396</v>
      </c>
      <c r="MGE22" t="s">
        <v>9397</v>
      </c>
      <c r="MGF22" t="s">
        <v>9398</v>
      </c>
      <c r="MGG22" t="s">
        <v>9399</v>
      </c>
      <c r="MGH22" t="s">
        <v>9400</v>
      </c>
      <c r="MGI22" t="s">
        <v>9401</v>
      </c>
      <c r="MGJ22" t="s">
        <v>9402</v>
      </c>
      <c r="MGK22" t="s">
        <v>9403</v>
      </c>
      <c r="MGL22" t="s">
        <v>9404</v>
      </c>
      <c r="MGM22" t="s">
        <v>9405</v>
      </c>
      <c r="MGN22" t="s">
        <v>9406</v>
      </c>
      <c r="MGO22" t="s">
        <v>9407</v>
      </c>
      <c r="MGP22" t="s">
        <v>9408</v>
      </c>
      <c r="MGQ22" t="s">
        <v>9409</v>
      </c>
      <c r="MGR22" t="s">
        <v>9410</v>
      </c>
      <c r="MGS22" t="s">
        <v>9411</v>
      </c>
      <c r="MGT22" t="s">
        <v>9412</v>
      </c>
      <c r="MGU22" t="s">
        <v>9413</v>
      </c>
      <c r="MGV22" t="s">
        <v>9414</v>
      </c>
      <c r="MGW22" t="s">
        <v>9415</v>
      </c>
      <c r="MGX22" t="s">
        <v>9416</v>
      </c>
      <c r="MGY22" t="s">
        <v>9417</v>
      </c>
      <c r="MGZ22" t="s">
        <v>9418</v>
      </c>
      <c r="MHA22" t="s">
        <v>9419</v>
      </c>
      <c r="MHB22" t="s">
        <v>9420</v>
      </c>
      <c r="MHC22" t="s">
        <v>9421</v>
      </c>
      <c r="MHD22" t="s">
        <v>9422</v>
      </c>
      <c r="MHE22" t="s">
        <v>9423</v>
      </c>
      <c r="MHF22" t="s">
        <v>9424</v>
      </c>
      <c r="MHG22" t="s">
        <v>9425</v>
      </c>
      <c r="MHH22" t="s">
        <v>9426</v>
      </c>
      <c r="MHI22" t="s">
        <v>9427</v>
      </c>
      <c r="MHJ22" t="s">
        <v>9428</v>
      </c>
      <c r="MHK22" t="s">
        <v>9429</v>
      </c>
      <c r="MHL22" t="s">
        <v>9430</v>
      </c>
      <c r="MHM22" t="s">
        <v>9431</v>
      </c>
      <c r="MHN22" t="s">
        <v>9432</v>
      </c>
      <c r="MHO22" t="s">
        <v>9433</v>
      </c>
      <c r="MHP22" t="s">
        <v>9434</v>
      </c>
      <c r="MHQ22" t="s">
        <v>9435</v>
      </c>
      <c r="MHR22" t="s">
        <v>9436</v>
      </c>
      <c r="MHS22" t="s">
        <v>9437</v>
      </c>
      <c r="MHT22" t="s">
        <v>9438</v>
      </c>
      <c r="MHU22" t="s">
        <v>9439</v>
      </c>
      <c r="MHV22" t="s">
        <v>9440</v>
      </c>
      <c r="MHW22" t="s">
        <v>9441</v>
      </c>
      <c r="MHX22" t="s">
        <v>9442</v>
      </c>
      <c r="MHY22" t="s">
        <v>9443</v>
      </c>
      <c r="MHZ22" t="s">
        <v>9444</v>
      </c>
      <c r="MIA22" t="s">
        <v>9445</v>
      </c>
      <c r="MIB22" t="s">
        <v>9446</v>
      </c>
      <c r="MIC22" t="s">
        <v>9447</v>
      </c>
      <c r="MID22" t="s">
        <v>9448</v>
      </c>
      <c r="MIE22" t="s">
        <v>9449</v>
      </c>
      <c r="MIF22" t="s">
        <v>9450</v>
      </c>
      <c r="MIG22" t="s">
        <v>9451</v>
      </c>
      <c r="MIH22" t="s">
        <v>9452</v>
      </c>
      <c r="MII22" t="s">
        <v>9453</v>
      </c>
      <c r="MIJ22" t="s">
        <v>9454</v>
      </c>
      <c r="MIK22" t="s">
        <v>9455</v>
      </c>
      <c r="MIL22" t="s">
        <v>9456</v>
      </c>
      <c r="MIM22" t="s">
        <v>9457</v>
      </c>
      <c r="MIN22" t="s">
        <v>9458</v>
      </c>
      <c r="MIO22" t="s">
        <v>9459</v>
      </c>
      <c r="MIP22" t="s">
        <v>9460</v>
      </c>
      <c r="MIQ22" t="s">
        <v>9461</v>
      </c>
      <c r="MIR22" t="s">
        <v>9462</v>
      </c>
      <c r="MIS22" t="s">
        <v>9463</v>
      </c>
      <c r="MIT22" t="s">
        <v>9464</v>
      </c>
      <c r="MIU22" t="s">
        <v>9465</v>
      </c>
      <c r="MIV22" t="s">
        <v>9466</v>
      </c>
      <c r="MIW22" t="s">
        <v>9467</v>
      </c>
      <c r="MIX22" t="s">
        <v>9468</v>
      </c>
      <c r="MIY22" t="s">
        <v>9469</v>
      </c>
      <c r="MIZ22" t="s">
        <v>9470</v>
      </c>
      <c r="MJA22" t="s">
        <v>9471</v>
      </c>
      <c r="MJB22" t="s">
        <v>9472</v>
      </c>
      <c r="MJC22" t="s">
        <v>9473</v>
      </c>
      <c r="MJD22" t="s">
        <v>9474</v>
      </c>
      <c r="MJE22" t="s">
        <v>9475</v>
      </c>
      <c r="MJF22" t="s">
        <v>9476</v>
      </c>
      <c r="MJG22" t="s">
        <v>9477</v>
      </c>
      <c r="MJH22" t="s">
        <v>9478</v>
      </c>
      <c r="MJI22" t="s">
        <v>9479</v>
      </c>
      <c r="MJJ22" t="s">
        <v>9480</v>
      </c>
      <c r="MJK22" t="s">
        <v>9481</v>
      </c>
      <c r="MJL22" t="s">
        <v>9482</v>
      </c>
      <c r="MJM22" t="s">
        <v>9483</v>
      </c>
      <c r="MJN22" t="s">
        <v>9484</v>
      </c>
      <c r="MJO22" t="s">
        <v>9485</v>
      </c>
      <c r="MJP22" t="s">
        <v>9486</v>
      </c>
      <c r="MJQ22" t="s">
        <v>9487</v>
      </c>
      <c r="MJR22" t="s">
        <v>9488</v>
      </c>
      <c r="MJS22" t="s">
        <v>9489</v>
      </c>
      <c r="MJT22" t="s">
        <v>9490</v>
      </c>
      <c r="MJU22" t="s">
        <v>9491</v>
      </c>
      <c r="MJV22" t="s">
        <v>9492</v>
      </c>
      <c r="MJW22" t="s">
        <v>9493</v>
      </c>
      <c r="MJX22" t="s">
        <v>9494</v>
      </c>
      <c r="MJY22" t="s">
        <v>9495</v>
      </c>
      <c r="MJZ22" t="s">
        <v>9496</v>
      </c>
      <c r="MKA22" t="s">
        <v>9497</v>
      </c>
      <c r="MKB22" t="s">
        <v>9498</v>
      </c>
      <c r="MKC22" t="s">
        <v>9499</v>
      </c>
      <c r="MKD22" t="s">
        <v>9500</v>
      </c>
      <c r="MKE22" t="s">
        <v>9501</v>
      </c>
      <c r="MKF22" t="s">
        <v>9502</v>
      </c>
      <c r="MKG22" t="s">
        <v>9503</v>
      </c>
      <c r="MKH22" t="s">
        <v>9504</v>
      </c>
      <c r="MKI22" t="s">
        <v>9505</v>
      </c>
      <c r="MKJ22" t="s">
        <v>9506</v>
      </c>
      <c r="MKK22" t="s">
        <v>9507</v>
      </c>
      <c r="MKL22" t="s">
        <v>9508</v>
      </c>
      <c r="MKM22" t="s">
        <v>9509</v>
      </c>
      <c r="MKN22" t="s">
        <v>9510</v>
      </c>
      <c r="MKO22" t="s">
        <v>9511</v>
      </c>
      <c r="MKP22" t="s">
        <v>9512</v>
      </c>
      <c r="MKQ22" t="s">
        <v>9513</v>
      </c>
      <c r="MKR22" t="s">
        <v>9514</v>
      </c>
      <c r="MKS22" t="s">
        <v>9515</v>
      </c>
      <c r="MKT22" t="s">
        <v>9516</v>
      </c>
      <c r="MKU22" t="s">
        <v>9517</v>
      </c>
      <c r="MKV22" t="s">
        <v>9518</v>
      </c>
      <c r="MKW22" t="s">
        <v>9519</v>
      </c>
      <c r="MKX22" t="s">
        <v>9520</v>
      </c>
      <c r="MKY22" t="s">
        <v>9521</v>
      </c>
      <c r="MKZ22" t="s">
        <v>9522</v>
      </c>
      <c r="MLA22" t="s">
        <v>9523</v>
      </c>
      <c r="MLB22" t="s">
        <v>9524</v>
      </c>
      <c r="MLC22" t="s">
        <v>9525</v>
      </c>
      <c r="MLD22" t="s">
        <v>9526</v>
      </c>
      <c r="MLE22" t="s">
        <v>9527</v>
      </c>
      <c r="MLF22" t="s">
        <v>9528</v>
      </c>
      <c r="MLG22" t="s">
        <v>9529</v>
      </c>
      <c r="MLH22" t="s">
        <v>9530</v>
      </c>
      <c r="MLI22" t="s">
        <v>9531</v>
      </c>
      <c r="MLJ22" t="s">
        <v>9532</v>
      </c>
      <c r="MLK22" t="s">
        <v>9533</v>
      </c>
      <c r="MLL22" t="s">
        <v>9534</v>
      </c>
      <c r="MLM22" t="s">
        <v>9535</v>
      </c>
      <c r="MLN22" t="s">
        <v>9536</v>
      </c>
      <c r="MLO22" t="s">
        <v>9537</v>
      </c>
      <c r="MLP22" t="s">
        <v>9538</v>
      </c>
      <c r="MLQ22" t="s">
        <v>9539</v>
      </c>
      <c r="MLR22" t="s">
        <v>9540</v>
      </c>
      <c r="MLS22" t="s">
        <v>9541</v>
      </c>
      <c r="MLT22" t="s">
        <v>9542</v>
      </c>
      <c r="MLU22" t="s">
        <v>9543</v>
      </c>
      <c r="MLV22" t="s">
        <v>9544</v>
      </c>
      <c r="MLW22" t="s">
        <v>9545</v>
      </c>
      <c r="MLX22" t="s">
        <v>9546</v>
      </c>
      <c r="MLY22" t="s">
        <v>9547</v>
      </c>
      <c r="MLZ22" t="s">
        <v>9548</v>
      </c>
      <c r="MMA22" t="s">
        <v>9549</v>
      </c>
      <c r="MMB22" t="s">
        <v>9550</v>
      </c>
      <c r="MMC22" t="s">
        <v>9551</v>
      </c>
      <c r="MMD22" t="s">
        <v>9552</v>
      </c>
      <c r="MME22" t="s">
        <v>9553</v>
      </c>
      <c r="MMF22" t="s">
        <v>9554</v>
      </c>
      <c r="MMG22" t="s">
        <v>9555</v>
      </c>
      <c r="MMH22" t="s">
        <v>9556</v>
      </c>
      <c r="MMI22" t="s">
        <v>9557</v>
      </c>
      <c r="MMJ22" t="s">
        <v>9558</v>
      </c>
      <c r="MMK22" t="s">
        <v>9559</v>
      </c>
      <c r="MML22" t="s">
        <v>9560</v>
      </c>
      <c r="MMM22" t="s">
        <v>9561</v>
      </c>
      <c r="MMN22" t="s">
        <v>9562</v>
      </c>
      <c r="MMO22" t="s">
        <v>9563</v>
      </c>
      <c r="MMP22" t="s">
        <v>9564</v>
      </c>
      <c r="MMQ22" t="s">
        <v>9565</v>
      </c>
      <c r="MMR22" t="s">
        <v>9566</v>
      </c>
      <c r="MMS22" t="s">
        <v>9567</v>
      </c>
      <c r="MMT22" t="s">
        <v>9568</v>
      </c>
      <c r="MMU22" t="s">
        <v>9569</v>
      </c>
      <c r="MMV22" t="s">
        <v>9570</v>
      </c>
      <c r="MMW22" t="s">
        <v>9571</v>
      </c>
      <c r="MMX22" t="s">
        <v>9572</v>
      </c>
      <c r="MMY22" t="s">
        <v>9573</v>
      </c>
      <c r="MMZ22" t="s">
        <v>9574</v>
      </c>
      <c r="MNA22" t="s">
        <v>9575</v>
      </c>
      <c r="MNB22" t="s">
        <v>9576</v>
      </c>
      <c r="MNC22" t="s">
        <v>9577</v>
      </c>
      <c r="MND22" t="s">
        <v>9578</v>
      </c>
      <c r="MNE22" t="s">
        <v>9579</v>
      </c>
      <c r="MNF22" t="s">
        <v>9580</v>
      </c>
      <c r="MNG22" t="s">
        <v>9581</v>
      </c>
      <c r="MNH22" t="s">
        <v>9582</v>
      </c>
      <c r="MNI22" t="s">
        <v>9583</v>
      </c>
      <c r="MNJ22" t="s">
        <v>9584</v>
      </c>
      <c r="MNK22" t="s">
        <v>9585</v>
      </c>
      <c r="MNL22" t="s">
        <v>9586</v>
      </c>
      <c r="MNM22" t="s">
        <v>9587</v>
      </c>
      <c r="MNN22" t="s">
        <v>9588</v>
      </c>
      <c r="MNO22" t="s">
        <v>9589</v>
      </c>
      <c r="MNP22" t="s">
        <v>9590</v>
      </c>
      <c r="MNQ22" t="s">
        <v>9591</v>
      </c>
      <c r="MNR22" t="s">
        <v>9592</v>
      </c>
      <c r="MNS22" t="s">
        <v>9593</v>
      </c>
      <c r="MNT22" t="s">
        <v>9594</v>
      </c>
      <c r="MNU22" t="s">
        <v>9595</v>
      </c>
      <c r="MNV22" t="s">
        <v>9596</v>
      </c>
      <c r="MNW22" t="s">
        <v>9597</v>
      </c>
      <c r="MNX22" t="s">
        <v>9598</v>
      </c>
      <c r="MNY22" t="s">
        <v>9599</v>
      </c>
      <c r="MNZ22" t="s">
        <v>9600</v>
      </c>
      <c r="MOA22" t="s">
        <v>9601</v>
      </c>
      <c r="MOB22" t="s">
        <v>9602</v>
      </c>
      <c r="MOC22" t="s">
        <v>9603</v>
      </c>
      <c r="MOD22" t="s">
        <v>9604</v>
      </c>
      <c r="MOE22" t="s">
        <v>9605</v>
      </c>
      <c r="MOF22" t="s">
        <v>9606</v>
      </c>
      <c r="MOG22" t="s">
        <v>9607</v>
      </c>
      <c r="MOH22" t="s">
        <v>9608</v>
      </c>
      <c r="MOI22" t="s">
        <v>9609</v>
      </c>
      <c r="MOJ22" t="s">
        <v>9610</v>
      </c>
      <c r="MOK22" t="s">
        <v>9611</v>
      </c>
      <c r="MOL22" t="s">
        <v>9612</v>
      </c>
      <c r="MOM22" t="s">
        <v>9613</v>
      </c>
      <c r="MON22" t="s">
        <v>9614</v>
      </c>
      <c r="MOO22" t="s">
        <v>9615</v>
      </c>
      <c r="MOP22" t="s">
        <v>9616</v>
      </c>
      <c r="MOQ22" t="s">
        <v>9617</v>
      </c>
      <c r="MOR22" t="s">
        <v>9618</v>
      </c>
      <c r="MOS22" t="s">
        <v>9619</v>
      </c>
      <c r="MOT22" t="s">
        <v>9620</v>
      </c>
      <c r="MOU22" t="s">
        <v>9621</v>
      </c>
      <c r="MOV22" t="s">
        <v>9622</v>
      </c>
      <c r="MOW22" t="s">
        <v>9623</v>
      </c>
      <c r="MOX22" t="s">
        <v>9624</v>
      </c>
      <c r="MOY22" t="s">
        <v>9625</v>
      </c>
      <c r="MOZ22" t="s">
        <v>9626</v>
      </c>
      <c r="MPA22" t="s">
        <v>9627</v>
      </c>
      <c r="MPB22" t="s">
        <v>9628</v>
      </c>
      <c r="MPC22" t="s">
        <v>9629</v>
      </c>
      <c r="MPD22" t="s">
        <v>9630</v>
      </c>
      <c r="MPE22" t="s">
        <v>9631</v>
      </c>
      <c r="MPF22" t="s">
        <v>9632</v>
      </c>
      <c r="MPG22" t="s">
        <v>9633</v>
      </c>
      <c r="MPH22" t="s">
        <v>9634</v>
      </c>
      <c r="MPI22" t="s">
        <v>9635</v>
      </c>
      <c r="MPJ22" t="s">
        <v>9636</v>
      </c>
      <c r="MPK22" t="s">
        <v>9637</v>
      </c>
      <c r="MPL22" t="s">
        <v>9638</v>
      </c>
      <c r="MPM22" t="s">
        <v>9639</v>
      </c>
      <c r="MPN22" t="s">
        <v>9640</v>
      </c>
      <c r="MPO22" t="s">
        <v>9641</v>
      </c>
      <c r="MPP22" t="s">
        <v>9642</v>
      </c>
      <c r="MPQ22" t="s">
        <v>9643</v>
      </c>
      <c r="MPR22" t="s">
        <v>9644</v>
      </c>
      <c r="MPS22" t="s">
        <v>9645</v>
      </c>
      <c r="MPT22" t="s">
        <v>9646</v>
      </c>
      <c r="MPU22" t="s">
        <v>9647</v>
      </c>
      <c r="MPV22" t="s">
        <v>9648</v>
      </c>
      <c r="MPW22" t="s">
        <v>9649</v>
      </c>
      <c r="MPX22" t="s">
        <v>9650</v>
      </c>
      <c r="MPY22" t="s">
        <v>9651</v>
      </c>
      <c r="MPZ22" t="s">
        <v>9652</v>
      </c>
      <c r="MQA22" t="s">
        <v>9653</v>
      </c>
      <c r="MQB22" t="s">
        <v>9654</v>
      </c>
      <c r="MQC22" t="s">
        <v>9655</v>
      </c>
      <c r="MQD22" t="s">
        <v>9656</v>
      </c>
      <c r="MQE22" t="s">
        <v>9657</v>
      </c>
      <c r="MQF22" t="s">
        <v>9658</v>
      </c>
      <c r="MQG22" t="s">
        <v>9659</v>
      </c>
      <c r="MQH22" t="s">
        <v>9660</v>
      </c>
      <c r="MQI22" t="s">
        <v>9661</v>
      </c>
      <c r="MQJ22" t="s">
        <v>9662</v>
      </c>
      <c r="MQK22" t="s">
        <v>9663</v>
      </c>
      <c r="MQL22" t="s">
        <v>9664</v>
      </c>
      <c r="MQM22" t="s">
        <v>9665</v>
      </c>
      <c r="MQN22" t="s">
        <v>9666</v>
      </c>
      <c r="MQO22" t="s">
        <v>9667</v>
      </c>
      <c r="MQP22" t="s">
        <v>9668</v>
      </c>
      <c r="MQQ22" t="s">
        <v>9669</v>
      </c>
      <c r="MQR22" t="s">
        <v>9670</v>
      </c>
      <c r="MQS22" t="s">
        <v>9671</v>
      </c>
      <c r="MQT22" t="s">
        <v>9672</v>
      </c>
      <c r="MQU22" t="s">
        <v>9673</v>
      </c>
      <c r="MQV22" t="s">
        <v>9674</v>
      </c>
      <c r="MQW22" t="s">
        <v>9675</v>
      </c>
      <c r="MQX22" t="s">
        <v>9676</v>
      </c>
      <c r="MQY22" t="s">
        <v>9677</v>
      </c>
      <c r="MQZ22" t="s">
        <v>9678</v>
      </c>
      <c r="MRA22" t="s">
        <v>9679</v>
      </c>
      <c r="MRB22" t="s">
        <v>9680</v>
      </c>
      <c r="MRC22" t="s">
        <v>9681</v>
      </c>
      <c r="MRD22" t="s">
        <v>9682</v>
      </c>
      <c r="MRE22" t="s">
        <v>9683</v>
      </c>
      <c r="MRF22" t="s">
        <v>9684</v>
      </c>
      <c r="MRG22" t="s">
        <v>9685</v>
      </c>
      <c r="MRH22" t="s">
        <v>9686</v>
      </c>
      <c r="MRI22" t="s">
        <v>9687</v>
      </c>
      <c r="MRJ22" t="s">
        <v>9688</v>
      </c>
      <c r="MRK22" t="s">
        <v>9689</v>
      </c>
      <c r="MRL22" t="s">
        <v>9690</v>
      </c>
      <c r="MRM22" t="s">
        <v>9691</v>
      </c>
      <c r="MRN22" t="s">
        <v>9692</v>
      </c>
      <c r="MRO22" t="s">
        <v>9693</v>
      </c>
      <c r="MRP22" t="s">
        <v>9694</v>
      </c>
      <c r="MRQ22" t="s">
        <v>9695</v>
      </c>
      <c r="MRR22" t="s">
        <v>9696</v>
      </c>
      <c r="MRS22" t="s">
        <v>9697</v>
      </c>
      <c r="MRT22" t="s">
        <v>9698</v>
      </c>
      <c r="MRU22" t="s">
        <v>9699</v>
      </c>
      <c r="MRV22" t="s">
        <v>9700</v>
      </c>
      <c r="MRW22" t="s">
        <v>9701</v>
      </c>
      <c r="MRX22" t="s">
        <v>9702</v>
      </c>
      <c r="MRY22" t="s">
        <v>9703</v>
      </c>
      <c r="MRZ22" t="s">
        <v>9704</v>
      </c>
      <c r="MSA22" t="s">
        <v>9705</v>
      </c>
      <c r="MSB22" t="s">
        <v>9706</v>
      </c>
      <c r="MSC22" t="s">
        <v>9707</v>
      </c>
      <c r="MSD22" t="s">
        <v>9708</v>
      </c>
      <c r="MSE22" t="s">
        <v>9709</v>
      </c>
      <c r="MSF22" t="s">
        <v>9710</v>
      </c>
      <c r="MSG22" t="s">
        <v>9711</v>
      </c>
      <c r="MSH22" t="s">
        <v>9712</v>
      </c>
      <c r="MSI22" t="s">
        <v>9713</v>
      </c>
      <c r="MSJ22" t="s">
        <v>9714</v>
      </c>
      <c r="MSK22" t="s">
        <v>9715</v>
      </c>
      <c r="MSL22" t="s">
        <v>9716</v>
      </c>
      <c r="MSM22" t="s">
        <v>9717</v>
      </c>
      <c r="MSN22" t="s">
        <v>9718</v>
      </c>
      <c r="MSO22" t="s">
        <v>9719</v>
      </c>
      <c r="MSP22" t="s">
        <v>9720</v>
      </c>
      <c r="MSQ22" t="s">
        <v>9721</v>
      </c>
      <c r="MSR22" t="s">
        <v>9722</v>
      </c>
      <c r="MSS22" t="s">
        <v>9723</v>
      </c>
      <c r="MST22" t="s">
        <v>9724</v>
      </c>
      <c r="MSU22" t="s">
        <v>9725</v>
      </c>
      <c r="MSV22" t="s">
        <v>9726</v>
      </c>
      <c r="MSW22" t="s">
        <v>9727</v>
      </c>
      <c r="MSX22" t="s">
        <v>9728</v>
      </c>
      <c r="MSY22" t="s">
        <v>9729</v>
      </c>
      <c r="MSZ22" t="s">
        <v>9730</v>
      </c>
      <c r="MTA22" t="s">
        <v>9731</v>
      </c>
      <c r="MTB22" t="s">
        <v>9732</v>
      </c>
      <c r="MTC22" t="s">
        <v>9733</v>
      </c>
      <c r="MTD22" t="s">
        <v>9734</v>
      </c>
      <c r="MTE22" t="s">
        <v>9735</v>
      </c>
      <c r="MTF22" t="s">
        <v>9736</v>
      </c>
      <c r="MTG22" t="s">
        <v>9737</v>
      </c>
      <c r="MTH22" t="s">
        <v>9738</v>
      </c>
      <c r="MTI22" t="s">
        <v>9739</v>
      </c>
      <c r="MTJ22" t="s">
        <v>9740</v>
      </c>
      <c r="MTK22" t="s">
        <v>9741</v>
      </c>
      <c r="MTL22" t="s">
        <v>9742</v>
      </c>
      <c r="MTM22" t="s">
        <v>9743</v>
      </c>
      <c r="MTN22" t="s">
        <v>9744</v>
      </c>
      <c r="MTO22" t="s">
        <v>9745</v>
      </c>
      <c r="MTP22" t="s">
        <v>9746</v>
      </c>
      <c r="MTQ22" t="s">
        <v>9747</v>
      </c>
      <c r="MTR22" t="s">
        <v>9748</v>
      </c>
      <c r="MTS22" t="s">
        <v>9749</v>
      </c>
      <c r="MTT22" t="s">
        <v>9750</v>
      </c>
      <c r="MTU22" t="s">
        <v>9751</v>
      </c>
      <c r="MTV22" t="s">
        <v>9752</v>
      </c>
      <c r="MTW22" t="s">
        <v>9753</v>
      </c>
      <c r="MTX22" t="s">
        <v>9754</v>
      </c>
      <c r="MTY22" t="s">
        <v>9755</v>
      </c>
      <c r="MTZ22" t="s">
        <v>9756</v>
      </c>
      <c r="MUA22" t="s">
        <v>9757</v>
      </c>
      <c r="MUB22" t="s">
        <v>9758</v>
      </c>
      <c r="MUC22" t="s">
        <v>9759</v>
      </c>
      <c r="MUD22" t="s">
        <v>9760</v>
      </c>
      <c r="MUE22" t="s">
        <v>9761</v>
      </c>
      <c r="MUF22" t="s">
        <v>9762</v>
      </c>
      <c r="MUG22" t="s">
        <v>9763</v>
      </c>
      <c r="MUH22" t="s">
        <v>9764</v>
      </c>
      <c r="MUI22" t="s">
        <v>9765</v>
      </c>
      <c r="MUJ22" t="s">
        <v>9766</v>
      </c>
      <c r="MUK22" t="s">
        <v>9767</v>
      </c>
      <c r="MUL22" t="s">
        <v>9768</v>
      </c>
      <c r="MUM22" t="s">
        <v>9769</v>
      </c>
      <c r="MUN22" t="s">
        <v>9770</v>
      </c>
      <c r="MUO22" t="s">
        <v>9771</v>
      </c>
      <c r="MUP22" t="s">
        <v>9772</v>
      </c>
      <c r="MUQ22" t="s">
        <v>9773</v>
      </c>
      <c r="MUR22" t="s">
        <v>9774</v>
      </c>
      <c r="MUS22" t="s">
        <v>9775</v>
      </c>
      <c r="MUT22" t="s">
        <v>9776</v>
      </c>
      <c r="MUU22" t="s">
        <v>9777</v>
      </c>
      <c r="MUV22" t="s">
        <v>9778</v>
      </c>
      <c r="MUW22" t="s">
        <v>9779</v>
      </c>
      <c r="MUX22" t="s">
        <v>9780</v>
      </c>
      <c r="MUY22" t="s">
        <v>9781</v>
      </c>
      <c r="MUZ22" t="s">
        <v>9782</v>
      </c>
      <c r="MVA22" t="s">
        <v>9783</v>
      </c>
      <c r="MVB22" t="s">
        <v>9784</v>
      </c>
      <c r="MVC22" t="s">
        <v>9785</v>
      </c>
      <c r="MVD22" t="s">
        <v>9786</v>
      </c>
      <c r="MVE22" t="s">
        <v>9787</v>
      </c>
      <c r="MVF22" t="s">
        <v>9788</v>
      </c>
      <c r="MVG22" t="s">
        <v>9789</v>
      </c>
      <c r="MVH22" t="s">
        <v>9790</v>
      </c>
      <c r="MVI22" t="s">
        <v>9791</v>
      </c>
      <c r="MVJ22" t="s">
        <v>9792</v>
      </c>
      <c r="MVK22" t="s">
        <v>9793</v>
      </c>
      <c r="MVL22" t="s">
        <v>9794</v>
      </c>
      <c r="MVM22" t="s">
        <v>9795</v>
      </c>
      <c r="MVN22" t="s">
        <v>9796</v>
      </c>
      <c r="MVO22" t="s">
        <v>9797</v>
      </c>
      <c r="MVP22" t="s">
        <v>9798</v>
      </c>
      <c r="MVQ22" t="s">
        <v>9799</v>
      </c>
      <c r="MVR22" t="s">
        <v>9800</v>
      </c>
      <c r="MVS22" t="s">
        <v>9801</v>
      </c>
      <c r="MVT22" t="s">
        <v>9802</v>
      </c>
      <c r="MVU22" t="s">
        <v>9803</v>
      </c>
      <c r="MVV22" t="s">
        <v>9804</v>
      </c>
      <c r="MVW22" t="s">
        <v>9805</v>
      </c>
      <c r="MVX22" t="s">
        <v>9806</v>
      </c>
      <c r="MVY22" t="s">
        <v>9807</v>
      </c>
      <c r="MVZ22" t="s">
        <v>9808</v>
      </c>
      <c r="MWA22" t="s">
        <v>9809</v>
      </c>
      <c r="MWB22" t="s">
        <v>9810</v>
      </c>
      <c r="MWC22" t="s">
        <v>9811</v>
      </c>
      <c r="MWD22" t="s">
        <v>9812</v>
      </c>
      <c r="MWE22" t="s">
        <v>9813</v>
      </c>
      <c r="MWF22" t="s">
        <v>9814</v>
      </c>
      <c r="MWG22" t="s">
        <v>9815</v>
      </c>
      <c r="MWH22" t="s">
        <v>9816</v>
      </c>
      <c r="MWI22" t="s">
        <v>9817</v>
      </c>
      <c r="MWJ22" t="s">
        <v>9818</v>
      </c>
      <c r="MWK22" t="s">
        <v>9819</v>
      </c>
      <c r="MWL22" t="s">
        <v>9820</v>
      </c>
      <c r="MWM22" t="s">
        <v>9821</v>
      </c>
      <c r="MWN22" t="s">
        <v>9822</v>
      </c>
      <c r="MWO22" t="s">
        <v>9823</v>
      </c>
      <c r="MWP22" t="s">
        <v>9824</v>
      </c>
      <c r="MWQ22" t="s">
        <v>9825</v>
      </c>
      <c r="MWR22" t="s">
        <v>9826</v>
      </c>
      <c r="MWS22" t="s">
        <v>9827</v>
      </c>
      <c r="MWT22" t="s">
        <v>9828</v>
      </c>
      <c r="MWU22" t="s">
        <v>9829</v>
      </c>
      <c r="MWV22" t="s">
        <v>9830</v>
      </c>
      <c r="MWW22" t="s">
        <v>9831</v>
      </c>
      <c r="MWX22" t="s">
        <v>9832</v>
      </c>
      <c r="MWY22" t="s">
        <v>9833</v>
      </c>
      <c r="MWZ22" t="s">
        <v>9834</v>
      </c>
      <c r="MXA22" t="s">
        <v>9835</v>
      </c>
      <c r="MXB22" t="s">
        <v>9836</v>
      </c>
      <c r="MXC22" t="s">
        <v>9837</v>
      </c>
      <c r="MXD22" t="s">
        <v>9838</v>
      </c>
      <c r="MXE22" t="s">
        <v>9839</v>
      </c>
      <c r="MXF22" t="s">
        <v>9840</v>
      </c>
      <c r="MXG22" t="s">
        <v>9841</v>
      </c>
      <c r="MXH22" t="s">
        <v>9842</v>
      </c>
      <c r="MXI22" t="s">
        <v>9843</v>
      </c>
      <c r="MXJ22" t="s">
        <v>9844</v>
      </c>
      <c r="MXK22" t="s">
        <v>9845</v>
      </c>
      <c r="MXL22" t="s">
        <v>9846</v>
      </c>
      <c r="MXM22" t="s">
        <v>9847</v>
      </c>
      <c r="MXN22" t="s">
        <v>9848</v>
      </c>
      <c r="MXO22" t="s">
        <v>9849</v>
      </c>
      <c r="MXP22" t="s">
        <v>9850</v>
      </c>
      <c r="MXQ22" t="s">
        <v>9851</v>
      </c>
      <c r="MXR22" t="s">
        <v>9852</v>
      </c>
      <c r="MXS22" t="s">
        <v>9853</v>
      </c>
      <c r="MXT22" t="s">
        <v>9854</v>
      </c>
      <c r="MXU22" t="s">
        <v>9855</v>
      </c>
      <c r="MXV22" t="s">
        <v>9856</v>
      </c>
      <c r="MXW22" t="s">
        <v>9857</v>
      </c>
      <c r="MXX22" t="s">
        <v>9858</v>
      </c>
      <c r="MXY22" t="s">
        <v>9859</v>
      </c>
      <c r="MXZ22" t="s">
        <v>9860</v>
      </c>
      <c r="MYA22" t="s">
        <v>9861</v>
      </c>
      <c r="MYB22" t="s">
        <v>9862</v>
      </c>
      <c r="MYC22" t="s">
        <v>9863</v>
      </c>
      <c r="MYD22" t="s">
        <v>9864</v>
      </c>
      <c r="MYE22" t="s">
        <v>9865</v>
      </c>
      <c r="MYF22" t="s">
        <v>9866</v>
      </c>
      <c r="MYG22" t="s">
        <v>9867</v>
      </c>
      <c r="MYH22" t="s">
        <v>9868</v>
      </c>
      <c r="MYI22" t="s">
        <v>9869</v>
      </c>
      <c r="MYJ22" t="s">
        <v>9870</v>
      </c>
      <c r="MYK22" t="s">
        <v>9871</v>
      </c>
      <c r="MYL22" t="s">
        <v>9872</v>
      </c>
      <c r="MYM22" t="s">
        <v>9873</v>
      </c>
      <c r="MYN22" t="s">
        <v>9874</v>
      </c>
      <c r="MYO22" t="s">
        <v>9875</v>
      </c>
      <c r="MYP22" t="s">
        <v>9876</v>
      </c>
      <c r="MYQ22" t="s">
        <v>9877</v>
      </c>
      <c r="MYR22" t="s">
        <v>9878</v>
      </c>
      <c r="MYS22" t="s">
        <v>9879</v>
      </c>
      <c r="MYT22" t="s">
        <v>9880</v>
      </c>
      <c r="MYU22" t="s">
        <v>9881</v>
      </c>
      <c r="MYV22" t="s">
        <v>9882</v>
      </c>
      <c r="MYW22" t="s">
        <v>9883</v>
      </c>
      <c r="MYX22" t="s">
        <v>9884</v>
      </c>
      <c r="MYY22" t="s">
        <v>9885</v>
      </c>
      <c r="MYZ22" t="s">
        <v>9886</v>
      </c>
      <c r="MZA22" t="s">
        <v>9887</v>
      </c>
      <c r="MZB22" t="s">
        <v>9888</v>
      </c>
      <c r="MZC22" t="s">
        <v>9889</v>
      </c>
      <c r="MZD22" t="s">
        <v>9890</v>
      </c>
      <c r="MZE22" t="s">
        <v>9891</v>
      </c>
      <c r="MZF22" t="s">
        <v>9892</v>
      </c>
      <c r="MZG22" t="s">
        <v>9893</v>
      </c>
      <c r="MZH22" t="s">
        <v>9894</v>
      </c>
      <c r="MZI22" t="s">
        <v>9895</v>
      </c>
      <c r="MZJ22" t="s">
        <v>9896</v>
      </c>
      <c r="MZK22" t="s">
        <v>9897</v>
      </c>
      <c r="MZL22" t="s">
        <v>9898</v>
      </c>
      <c r="MZM22" t="s">
        <v>9899</v>
      </c>
      <c r="MZN22" t="s">
        <v>9900</v>
      </c>
      <c r="MZO22" t="s">
        <v>9901</v>
      </c>
      <c r="MZP22" t="s">
        <v>9902</v>
      </c>
      <c r="MZQ22" t="s">
        <v>9903</v>
      </c>
      <c r="MZR22" t="s">
        <v>9904</v>
      </c>
      <c r="MZS22" t="s">
        <v>9905</v>
      </c>
      <c r="MZT22" t="s">
        <v>9906</v>
      </c>
      <c r="MZU22" t="s">
        <v>9907</v>
      </c>
      <c r="MZV22" t="s">
        <v>9908</v>
      </c>
      <c r="MZW22" t="s">
        <v>9909</v>
      </c>
      <c r="MZX22" t="s">
        <v>9910</v>
      </c>
      <c r="MZY22" t="s">
        <v>9911</v>
      </c>
      <c r="MZZ22" t="s">
        <v>9912</v>
      </c>
      <c r="NAA22" t="s">
        <v>9913</v>
      </c>
      <c r="NAB22" t="s">
        <v>9914</v>
      </c>
      <c r="NAC22" t="s">
        <v>9915</v>
      </c>
      <c r="NAD22" t="s">
        <v>9916</v>
      </c>
      <c r="NAE22" t="s">
        <v>9917</v>
      </c>
      <c r="NAF22" t="s">
        <v>9918</v>
      </c>
      <c r="NAG22" t="s">
        <v>9919</v>
      </c>
      <c r="NAH22" t="s">
        <v>9920</v>
      </c>
      <c r="NAI22" t="s">
        <v>9921</v>
      </c>
      <c r="NAJ22" t="s">
        <v>9922</v>
      </c>
      <c r="NAK22" t="s">
        <v>9923</v>
      </c>
      <c r="NAL22" t="s">
        <v>9924</v>
      </c>
      <c r="NAM22" t="s">
        <v>9925</v>
      </c>
      <c r="NAN22" t="s">
        <v>9926</v>
      </c>
      <c r="NAO22" t="s">
        <v>9927</v>
      </c>
      <c r="NAP22" t="s">
        <v>9928</v>
      </c>
      <c r="NAQ22" t="s">
        <v>9929</v>
      </c>
      <c r="NAR22" t="s">
        <v>9930</v>
      </c>
      <c r="NAS22" t="s">
        <v>9931</v>
      </c>
      <c r="NAT22" t="s">
        <v>9932</v>
      </c>
      <c r="NAU22" t="s">
        <v>9933</v>
      </c>
      <c r="NAV22" t="s">
        <v>9934</v>
      </c>
      <c r="NAW22" t="s">
        <v>9935</v>
      </c>
      <c r="NAX22" t="s">
        <v>9936</v>
      </c>
      <c r="NAY22" t="s">
        <v>9937</v>
      </c>
      <c r="NAZ22" t="s">
        <v>9938</v>
      </c>
      <c r="NBA22" t="s">
        <v>9939</v>
      </c>
      <c r="NBB22" t="s">
        <v>9940</v>
      </c>
      <c r="NBC22" t="s">
        <v>9941</v>
      </c>
      <c r="NBD22" t="s">
        <v>9942</v>
      </c>
      <c r="NBE22" t="s">
        <v>9943</v>
      </c>
      <c r="NBF22" t="s">
        <v>9944</v>
      </c>
      <c r="NBG22" t="s">
        <v>9945</v>
      </c>
      <c r="NBH22" t="s">
        <v>9946</v>
      </c>
      <c r="NBI22" t="s">
        <v>9947</v>
      </c>
      <c r="NBJ22" t="s">
        <v>9948</v>
      </c>
      <c r="NBK22" t="s">
        <v>9949</v>
      </c>
      <c r="NBL22" t="s">
        <v>9950</v>
      </c>
      <c r="NBM22" t="s">
        <v>9951</v>
      </c>
      <c r="NBN22" t="s">
        <v>9952</v>
      </c>
      <c r="NBO22" t="s">
        <v>9953</v>
      </c>
      <c r="NBP22" t="s">
        <v>9954</v>
      </c>
      <c r="NBQ22" t="s">
        <v>9955</v>
      </c>
      <c r="NBR22" t="s">
        <v>9956</v>
      </c>
      <c r="NBS22" t="s">
        <v>9957</v>
      </c>
      <c r="NBT22" t="s">
        <v>9958</v>
      </c>
      <c r="NBU22" t="s">
        <v>9959</v>
      </c>
      <c r="NBV22" t="s">
        <v>9960</v>
      </c>
      <c r="NBW22" t="s">
        <v>9961</v>
      </c>
      <c r="NBX22" t="s">
        <v>9962</v>
      </c>
      <c r="NBY22" t="s">
        <v>9963</v>
      </c>
      <c r="NBZ22" t="s">
        <v>9964</v>
      </c>
      <c r="NCA22" t="s">
        <v>9965</v>
      </c>
      <c r="NCB22" t="s">
        <v>9966</v>
      </c>
      <c r="NCC22" t="s">
        <v>9967</v>
      </c>
      <c r="NCD22" t="s">
        <v>9968</v>
      </c>
      <c r="NCE22" t="s">
        <v>9969</v>
      </c>
      <c r="NCF22" t="s">
        <v>9970</v>
      </c>
      <c r="NCG22" t="s">
        <v>9971</v>
      </c>
      <c r="NCH22" t="s">
        <v>9972</v>
      </c>
      <c r="NCI22" t="s">
        <v>9973</v>
      </c>
      <c r="NCJ22" t="s">
        <v>9974</v>
      </c>
      <c r="NCK22" t="s">
        <v>9975</v>
      </c>
      <c r="NCL22" t="s">
        <v>9976</v>
      </c>
      <c r="NCM22" t="s">
        <v>9977</v>
      </c>
      <c r="NCN22" t="s">
        <v>9978</v>
      </c>
      <c r="NCO22" t="s">
        <v>9979</v>
      </c>
      <c r="NCP22" t="s">
        <v>9980</v>
      </c>
      <c r="NCQ22" t="s">
        <v>9981</v>
      </c>
      <c r="NCR22" t="s">
        <v>9982</v>
      </c>
      <c r="NCS22" t="s">
        <v>9983</v>
      </c>
      <c r="NCT22" t="s">
        <v>9984</v>
      </c>
      <c r="NCU22" t="s">
        <v>9985</v>
      </c>
      <c r="NCV22" t="s">
        <v>9986</v>
      </c>
      <c r="NCW22" t="s">
        <v>9987</v>
      </c>
      <c r="NCX22" t="s">
        <v>9988</v>
      </c>
      <c r="NCY22" t="s">
        <v>9989</v>
      </c>
      <c r="NCZ22" t="s">
        <v>9990</v>
      </c>
      <c r="NDA22" t="s">
        <v>9991</v>
      </c>
      <c r="NDB22" t="s">
        <v>9992</v>
      </c>
      <c r="NDC22" t="s">
        <v>9993</v>
      </c>
      <c r="NDD22" t="s">
        <v>9994</v>
      </c>
      <c r="NDE22" t="s">
        <v>9995</v>
      </c>
      <c r="NDF22" t="s">
        <v>9996</v>
      </c>
      <c r="NDG22" t="s">
        <v>9997</v>
      </c>
      <c r="NDH22" t="s">
        <v>9998</v>
      </c>
      <c r="NDI22" t="s">
        <v>9999</v>
      </c>
      <c r="NDJ22" t="s">
        <v>10000</v>
      </c>
      <c r="NDK22" t="s">
        <v>10001</v>
      </c>
      <c r="NDL22" t="s">
        <v>10002</v>
      </c>
      <c r="NDM22" t="s">
        <v>10003</v>
      </c>
      <c r="NDN22" t="s">
        <v>10004</v>
      </c>
      <c r="NDO22" t="s">
        <v>10005</v>
      </c>
      <c r="NDP22" t="s">
        <v>10006</v>
      </c>
      <c r="NDQ22" t="s">
        <v>10007</v>
      </c>
      <c r="NDR22" t="s">
        <v>10008</v>
      </c>
      <c r="NDS22" t="s">
        <v>10009</v>
      </c>
      <c r="NDT22" t="s">
        <v>10010</v>
      </c>
      <c r="NDU22" t="s">
        <v>10011</v>
      </c>
      <c r="NDV22" t="s">
        <v>10012</v>
      </c>
      <c r="NDW22" t="s">
        <v>10013</v>
      </c>
      <c r="NDX22" t="s">
        <v>10014</v>
      </c>
      <c r="NDY22" t="s">
        <v>10015</v>
      </c>
      <c r="NDZ22" t="s">
        <v>10016</v>
      </c>
      <c r="NEA22" t="s">
        <v>10017</v>
      </c>
      <c r="NEB22" t="s">
        <v>10018</v>
      </c>
      <c r="NEC22" t="s">
        <v>10019</v>
      </c>
      <c r="NED22" t="s">
        <v>10020</v>
      </c>
      <c r="NEE22" t="s">
        <v>10021</v>
      </c>
      <c r="NEF22" t="s">
        <v>10022</v>
      </c>
      <c r="NEG22" t="s">
        <v>10023</v>
      </c>
      <c r="NEH22" t="s">
        <v>10024</v>
      </c>
      <c r="NEI22" t="s">
        <v>10025</v>
      </c>
      <c r="NEJ22" t="s">
        <v>10026</v>
      </c>
      <c r="NEK22" t="s">
        <v>10027</v>
      </c>
      <c r="NEL22" t="s">
        <v>10028</v>
      </c>
      <c r="NEM22" t="s">
        <v>10029</v>
      </c>
      <c r="NEN22" t="s">
        <v>10030</v>
      </c>
      <c r="NEO22" t="s">
        <v>10031</v>
      </c>
      <c r="NEP22" t="s">
        <v>10032</v>
      </c>
      <c r="NEQ22" t="s">
        <v>10033</v>
      </c>
      <c r="NER22" t="s">
        <v>10034</v>
      </c>
      <c r="NES22" t="s">
        <v>10035</v>
      </c>
      <c r="NET22" t="s">
        <v>10036</v>
      </c>
      <c r="NEU22" t="s">
        <v>10037</v>
      </c>
      <c r="NEV22" t="s">
        <v>10038</v>
      </c>
      <c r="NEW22" t="s">
        <v>10039</v>
      </c>
      <c r="NEX22" t="s">
        <v>10040</v>
      </c>
      <c r="NEY22" t="s">
        <v>10041</v>
      </c>
      <c r="NEZ22" t="s">
        <v>10042</v>
      </c>
      <c r="NFA22" t="s">
        <v>10043</v>
      </c>
      <c r="NFB22" t="s">
        <v>10044</v>
      </c>
      <c r="NFC22" t="s">
        <v>10045</v>
      </c>
      <c r="NFD22" t="s">
        <v>10046</v>
      </c>
      <c r="NFE22" t="s">
        <v>10047</v>
      </c>
      <c r="NFF22" t="s">
        <v>10048</v>
      </c>
      <c r="NFG22" t="s">
        <v>10049</v>
      </c>
      <c r="NFH22" t="s">
        <v>10050</v>
      </c>
      <c r="NFI22" t="s">
        <v>10051</v>
      </c>
      <c r="NFJ22" t="s">
        <v>10052</v>
      </c>
      <c r="NFK22" t="s">
        <v>10053</v>
      </c>
      <c r="NFL22" t="s">
        <v>10054</v>
      </c>
      <c r="NFM22" t="s">
        <v>10055</v>
      </c>
      <c r="NFN22" t="s">
        <v>10056</v>
      </c>
      <c r="NFO22" t="s">
        <v>10057</v>
      </c>
      <c r="NFP22" t="s">
        <v>10058</v>
      </c>
      <c r="NFQ22" t="s">
        <v>10059</v>
      </c>
      <c r="NFR22" t="s">
        <v>10060</v>
      </c>
      <c r="NFS22" t="s">
        <v>10061</v>
      </c>
      <c r="NFT22" t="s">
        <v>10062</v>
      </c>
      <c r="NFU22" t="s">
        <v>10063</v>
      </c>
      <c r="NFV22" t="s">
        <v>10064</v>
      </c>
      <c r="NFW22" t="s">
        <v>10065</v>
      </c>
      <c r="NFX22" t="s">
        <v>10066</v>
      </c>
      <c r="NFY22" t="s">
        <v>10067</v>
      </c>
      <c r="NFZ22" t="s">
        <v>10068</v>
      </c>
      <c r="NGA22" t="s">
        <v>10069</v>
      </c>
      <c r="NGB22" t="s">
        <v>10070</v>
      </c>
      <c r="NGC22" t="s">
        <v>10071</v>
      </c>
      <c r="NGD22" t="s">
        <v>10072</v>
      </c>
      <c r="NGE22" t="s">
        <v>10073</v>
      </c>
      <c r="NGF22" t="s">
        <v>10074</v>
      </c>
      <c r="NGG22" t="s">
        <v>10075</v>
      </c>
      <c r="NGH22" t="s">
        <v>10076</v>
      </c>
      <c r="NGI22" t="s">
        <v>10077</v>
      </c>
      <c r="NGJ22" t="s">
        <v>10078</v>
      </c>
      <c r="NGK22" t="s">
        <v>10079</v>
      </c>
      <c r="NGL22" t="s">
        <v>10080</v>
      </c>
      <c r="NGM22" t="s">
        <v>10081</v>
      </c>
      <c r="NGN22" t="s">
        <v>10082</v>
      </c>
      <c r="NGO22" t="s">
        <v>10083</v>
      </c>
      <c r="NGP22" t="s">
        <v>10084</v>
      </c>
      <c r="NGQ22" t="s">
        <v>10085</v>
      </c>
      <c r="NGR22" t="s">
        <v>10086</v>
      </c>
      <c r="NGS22" t="s">
        <v>10087</v>
      </c>
      <c r="NGT22" t="s">
        <v>10088</v>
      </c>
      <c r="NGU22" t="s">
        <v>10089</v>
      </c>
      <c r="NGV22" t="s">
        <v>10090</v>
      </c>
      <c r="NGW22" t="s">
        <v>10091</v>
      </c>
      <c r="NGX22" t="s">
        <v>10092</v>
      </c>
      <c r="NGY22" t="s">
        <v>10093</v>
      </c>
      <c r="NGZ22" t="s">
        <v>10094</v>
      </c>
      <c r="NHA22" t="s">
        <v>10095</v>
      </c>
      <c r="NHB22" t="s">
        <v>10096</v>
      </c>
      <c r="NHC22" t="s">
        <v>10097</v>
      </c>
      <c r="NHD22" t="s">
        <v>10098</v>
      </c>
      <c r="NHE22" t="s">
        <v>10099</v>
      </c>
      <c r="NHF22" t="s">
        <v>10100</v>
      </c>
      <c r="NHG22" t="s">
        <v>10101</v>
      </c>
      <c r="NHH22" t="s">
        <v>10102</v>
      </c>
      <c r="NHI22" t="s">
        <v>10103</v>
      </c>
      <c r="NHJ22" t="s">
        <v>10104</v>
      </c>
      <c r="NHK22" t="s">
        <v>10105</v>
      </c>
      <c r="NHL22" t="s">
        <v>10106</v>
      </c>
      <c r="NHM22" t="s">
        <v>10107</v>
      </c>
      <c r="NHN22" t="s">
        <v>10108</v>
      </c>
      <c r="NHO22" t="s">
        <v>10109</v>
      </c>
      <c r="NHP22" t="s">
        <v>10110</v>
      </c>
      <c r="NHQ22" t="s">
        <v>10111</v>
      </c>
      <c r="NHR22" t="s">
        <v>10112</v>
      </c>
      <c r="NHS22" t="s">
        <v>10113</v>
      </c>
      <c r="NHT22" t="s">
        <v>10114</v>
      </c>
      <c r="NHU22" t="s">
        <v>10115</v>
      </c>
      <c r="NHV22" t="s">
        <v>10116</v>
      </c>
      <c r="NHW22" t="s">
        <v>10117</v>
      </c>
      <c r="NHX22" t="s">
        <v>10118</v>
      </c>
      <c r="NHY22" t="s">
        <v>10119</v>
      </c>
      <c r="NHZ22" t="s">
        <v>10120</v>
      </c>
      <c r="NIA22" t="s">
        <v>10121</v>
      </c>
      <c r="NIB22" t="s">
        <v>10122</v>
      </c>
      <c r="NIC22" t="s">
        <v>10123</v>
      </c>
      <c r="NID22" t="s">
        <v>10124</v>
      </c>
      <c r="NIE22" t="s">
        <v>10125</v>
      </c>
      <c r="NIF22" t="s">
        <v>10126</v>
      </c>
      <c r="NIG22" t="s">
        <v>10127</v>
      </c>
      <c r="NIH22" t="s">
        <v>10128</v>
      </c>
      <c r="NII22" t="s">
        <v>10129</v>
      </c>
      <c r="NIJ22" t="s">
        <v>10130</v>
      </c>
      <c r="NIK22" t="s">
        <v>10131</v>
      </c>
      <c r="NIL22" t="s">
        <v>10132</v>
      </c>
      <c r="NIM22" t="s">
        <v>10133</v>
      </c>
      <c r="NIN22" t="s">
        <v>10134</v>
      </c>
      <c r="NIO22" t="s">
        <v>10135</v>
      </c>
      <c r="NIP22" t="s">
        <v>10136</v>
      </c>
      <c r="NIQ22" t="s">
        <v>10137</v>
      </c>
      <c r="NIR22" t="s">
        <v>10138</v>
      </c>
      <c r="NIS22" t="s">
        <v>10139</v>
      </c>
      <c r="NIT22" t="s">
        <v>10140</v>
      </c>
      <c r="NIU22" t="s">
        <v>10141</v>
      </c>
      <c r="NIV22" t="s">
        <v>10142</v>
      </c>
      <c r="NIW22" t="s">
        <v>10143</v>
      </c>
      <c r="NIX22" t="s">
        <v>10144</v>
      </c>
      <c r="NIY22" t="s">
        <v>10145</v>
      </c>
      <c r="NIZ22" t="s">
        <v>10146</v>
      </c>
      <c r="NJA22" t="s">
        <v>10147</v>
      </c>
      <c r="NJB22" t="s">
        <v>10148</v>
      </c>
      <c r="NJC22" t="s">
        <v>10149</v>
      </c>
      <c r="NJD22" t="s">
        <v>10150</v>
      </c>
      <c r="NJE22" t="s">
        <v>10151</v>
      </c>
      <c r="NJF22" t="s">
        <v>10152</v>
      </c>
      <c r="NJG22" t="s">
        <v>10153</v>
      </c>
      <c r="NJH22" t="s">
        <v>10154</v>
      </c>
      <c r="NJI22" t="s">
        <v>10155</v>
      </c>
      <c r="NJJ22" t="s">
        <v>10156</v>
      </c>
      <c r="NJK22" t="s">
        <v>10157</v>
      </c>
      <c r="NJL22" t="s">
        <v>10158</v>
      </c>
      <c r="NJM22" t="s">
        <v>10159</v>
      </c>
      <c r="NJN22" t="s">
        <v>10160</v>
      </c>
      <c r="NJO22" t="s">
        <v>10161</v>
      </c>
      <c r="NJP22" t="s">
        <v>10162</v>
      </c>
      <c r="NJQ22" t="s">
        <v>10163</v>
      </c>
      <c r="NJR22" t="s">
        <v>10164</v>
      </c>
      <c r="NJS22" t="s">
        <v>10165</v>
      </c>
      <c r="NJT22" t="s">
        <v>10166</v>
      </c>
      <c r="NJU22" t="s">
        <v>10167</v>
      </c>
      <c r="NJV22" t="s">
        <v>10168</v>
      </c>
      <c r="NJW22" t="s">
        <v>10169</v>
      </c>
      <c r="NJX22" t="s">
        <v>10170</v>
      </c>
      <c r="NJY22" t="s">
        <v>10171</v>
      </c>
      <c r="NJZ22" t="s">
        <v>10172</v>
      </c>
      <c r="NKA22" t="s">
        <v>10173</v>
      </c>
      <c r="NKB22" t="s">
        <v>10174</v>
      </c>
      <c r="NKC22" t="s">
        <v>10175</v>
      </c>
      <c r="NKD22" t="s">
        <v>10176</v>
      </c>
      <c r="NKE22" t="s">
        <v>10177</v>
      </c>
      <c r="NKF22" t="s">
        <v>10178</v>
      </c>
      <c r="NKG22" t="s">
        <v>10179</v>
      </c>
      <c r="NKH22" t="s">
        <v>10180</v>
      </c>
      <c r="NKI22" t="s">
        <v>10181</v>
      </c>
      <c r="NKJ22" t="s">
        <v>10182</v>
      </c>
      <c r="NKK22" t="s">
        <v>10183</v>
      </c>
      <c r="NKL22" t="s">
        <v>10184</v>
      </c>
      <c r="NKM22" t="s">
        <v>10185</v>
      </c>
      <c r="NKN22" t="s">
        <v>10186</v>
      </c>
      <c r="NKO22" t="s">
        <v>10187</v>
      </c>
      <c r="NKP22" t="s">
        <v>10188</v>
      </c>
      <c r="NKQ22" t="s">
        <v>10189</v>
      </c>
      <c r="NKR22" t="s">
        <v>10190</v>
      </c>
      <c r="NKS22" t="s">
        <v>10191</v>
      </c>
      <c r="NKT22" t="s">
        <v>10192</v>
      </c>
      <c r="NKU22" t="s">
        <v>10193</v>
      </c>
      <c r="NKV22" t="s">
        <v>10194</v>
      </c>
      <c r="NKW22" t="s">
        <v>10195</v>
      </c>
      <c r="NKX22" t="s">
        <v>10196</v>
      </c>
      <c r="NKY22" t="s">
        <v>10197</v>
      </c>
      <c r="NKZ22" t="s">
        <v>10198</v>
      </c>
      <c r="NLA22" t="s">
        <v>10199</v>
      </c>
      <c r="NLB22" t="s">
        <v>10200</v>
      </c>
      <c r="NLC22" t="s">
        <v>10201</v>
      </c>
      <c r="NLD22" t="s">
        <v>10202</v>
      </c>
      <c r="NLE22" t="s">
        <v>10203</v>
      </c>
      <c r="NLF22" t="s">
        <v>10204</v>
      </c>
      <c r="NLG22" t="s">
        <v>10205</v>
      </c>
      <c r="NLH22" t="s">
        <v>10206</v>
      </c>
      <c r="NLI22" t="s">
        <v>10207</v>
      </c>
      <c r="NLJ22" t="s">
        <v>10208</v>
      </c>
      <c r="NLK22" t="s">
        <v>10209</v>
      </c>
      <c r="NLL22" t="s">
        <v>10210</v>
      </c>
      <c r="NLM22" t="s">
        <v>10211</v>
      </c>
      <c r="NLN22" t="s">
        <v>10212</v>
      </c>
      <c r="NLO22" t="s">
        <v>10213</v>
      </c>
      <c r="NLP22" t="s">
        <v>10214</v>
      </c>
      <c r="NLQ22" t="s">
        <v>10215</v>
      </c>
      <c r="NLR22" t="s">
        <v>10216</v>
      </c>
      <c r="NLS22" t="s">
        <v>10217</v>
      </c>
      <c r="NLT22" t="s">
        <v>10218</v>
      </c>
      <c r="NLU22" t="s">
        <v>10219</v>
      </c>
      <c r="NLV22" t="s">
        <v>10220</v>
      </c>
      <c r="NLW22" t="s">
        <v>10221</v>
      </c>
      <c r="NLX22" t="s">
        <v>10222</v>
      </c>
      <c r="NLY22" t="s">
        <v>10223</v>
      </c>
      <c r="NLZ22" t="s">
        <v>10224</v>
      </c>
      <c r="NMA22" t="s">
        <v>10225</v>
      </c>
      <c r="NMB22" t="s">
        <v>10226</v>
      </c>
      <c r="NMC22" t="s">
        <v>10227</v>
      </c>
      <c r="NMD22" t="s">
        <v>10228</v>
      </c>
      <c r="NME22" t="s">
        <v>10229</v>
      </c>
      <c r="NMF22" t="s">
        <v>10230</v>
      </c>
      <c r="NMG22" t="s">
        <v>10231</v>
      </c>
      <c r="NMH22" t="s">
        <v>10232</v>
      </c>
      <c r="NMI22" t="s">
        <v>10233</v>
      </c>
      <c r="NMJ22" t="s">
        <v>10234</v>
      </c>
      <c r="NMK22" t="s">
        <v>10235</v>
      </c>
      <c r="NML22" t="s">
        <v>10236</v>
      </c>
      <c r="NMM22" t="s">
        <v>10237</v>
      </c>
      <c r="NMN22" t="s">
        <v>10238</v>
      </c>
      <c r="NMO22" t="s">
        <v>10239</v>
      </c>
      <c r="NMP22" t="s">
        <v>10240</v>
      </c>
      <c r="NMQ22" t="s">
        <v>10241</v>
      </c>
      <c r="NMR22" t="s">
        <v>10242</v>
      </c>
      <c r="NMS22" t="s">
        <v>10243</v>
      </c>
      <c r="NMT22" t="s">
        <v>10244</v>
      </c>
      <c r="NMU22" t="s">
        <v>10245</v>
      </c>
      <c r="NMV22" t="s">
        <v>10246</v>
      </c>
      <c r="NMW22" t="s">
        <v>10247</v>
      </c>
      <c r="NMX22" t="s">
        <v>10248</v>
      </c>
      <c r="NMY22" t="s">
        <v>10249</v>
      </c>
      <c r="NMZ22" t="s">
        <v>10250</v>
      </c>
      <c r="NNA22" t="s">
        <v>10251</v>
      </c>
      <c r="NNB22" t="s">
        <v>10252</v>
      </c>
      <c r="NNC22" t="s">
        <v>10253</v>
      </c>
      <c r="NND22" t="s">
        <v>10254</v>
      </c>
      <c r="NNE22" t="s">
        <v>10255</v>
      </c>
      <c r="NNF22" t="s">
        <v>10256</v>
      </c>
      <c r="NNG22" t="s">
        <v>10257</v>
      </c>
      <c r="NNH22" t="s">
        <v>10258</v>
      </c>
      <c r="NNI22" t="s">
        <v>10259</v>
      </c>
      <c r="NNJ22" t="s">
        <v>10260</v>
      </c>
      <c r="NNK22" t="s">
        <v>10261</v>
      </c>
      <c r="NNL22" t="s">
        <v>10262</v>
      </c>
      <c r="NNM22" t="s">
        <v>10263</v>
      </c>
      <c r="NNN22" t="s">
        <v>10264</v>
      </c>
      <c r="NNO22" t="s">
        <v>10265</v>
      </c>
      <c r="NNP22" t="s">
        <v>10266</v>
      </c>
      <c r="NNQ22" t="s">
        <v>10267</v>
      </c>
      <c r="NNR22" t="s">
        <v>10268</v>
      </c>
      <c r="NNS22" t="s">
        <v>10269</v>
      </c>
      <c r="NNT22" t="s">
        <v>10270</v>
      </c>
      <c r="NNU22" t="s">
        <v>10271</v>
      </c>
      <c r="NNV22" t="s">
        <v>10272</v>
      </c>
      <c r="NNW22" t="s">
        <v>10273</v>
      </c>
      <c r="NNX22" t="s">
        <v>10274</v>
      </c>
      <c r="NNY22" t="s">
        <v>10275</v>
      </c>
      <c r="NNZ22" t="s">
        <v>10276</v>
      </c>
      <c r="NOA22" t="s">
        <v>10277</v>
      </c>
      <c r="NOB22" t="s">
        <v>10278</v>
      </c>
      <c r="NOC22" t="s">
        <v>10279</v>
      </c>
      <c r="NOD22" t="s">
        <v>10280</v>
      </c>
      <c r="NOE22" t="s">
        <v>10281</v>
      </c>
      <c r="NOF22" t="s">
        <v>10282</v>
      </c>
      <c r="NOG22" t="s">
        <v>10283</v>
      </c>
      <c r="NOH22" t="s">
        <v>10284</v>
      </c>
      <c r="NOI22" t="s">
        <v>10285</v>
      </c>
      <c r="NOJ22" t="s">
        <v>10286</v>
      </c>
      <c r="NOK22" t="s">
        <v>10287</v>
      </c>
      <c r="NOL22" t="s">
        <v>10288</v>
      </c>
      <c r="NOM22" t="s">
        <v>10289</v>
      </c>
      <c r="NON22" t="s">
        <v>10290</v>
      </c>
      <c r="NOO22" t="s">
        <v>10291</v>
      </c>
      <c r="NOP22" t="s">
        <v>10292</v>
      </c>
      <c r="NOQ22" t="s">
        <v>10293</v>
      </c>
      <c r="NOR22" t="s">
        <v>10294</v>
      </c>
      <c r="NOS22" t="s">
        <v>10295</v>
      </c>
      <c r="NOT22" t="s">
        <v>10296</v>
      </c>
      <c r="NOU22" t="s">
        <v>10297</v>
      </c>
      <c r="NOV22" t="s">
        <v>10298</v>
      </c>
      <c r="NOW22" t="s">
        <v>10299</v>
      </c>
      <c r="NOX22" t="s">
        <v>10300</v>
      </c>
      <c r="NOY22" t="s">
        <v>10301</v>
      </c>
      <c r="NOZ22" t="s">
        <v>10302</v>
      </c>
      <c r="NPA22" t="s">
        <v>10303</v>
      </c>
      <c r="NPB22" t="s">
        <v>10304</v>
      </c>
      <c r="NPC22" t="s">
        <v>10305</v>
      </c>
      <c r="NPD22" t="s">
        <v>10306</v>
      </c>
      <c r="NPE22" t="s">
        <v>10307</v>
      </c>
      <c r="NPF22" t="s">
        <v>10308</v>
      </c>
      <c r="NPG22" t="s">
        <v>10309</v>
      </c>
      <c r="NPH22" t="s">
        <v>10310</v>
      </c>
      <c r="NPI22" t="s">
        <v>10311</v>
      </c>
      <c r="NPJ22" t="s">
        <v>10312</v>
      </c>
      <c r="NPK22" t="s">
        <v>10313</v>
      </c>
      <c r="NPL22" t="s">
        <v>10314</v>
      </c>
      <c r="NPM22" t="s">
        <v>10315</v>
      </c>
      <c r="NPN22" t="s">
        <v>10316</v>
      </c>
      <c r="NPO22" t="s">
        <v>10317</v>
      </c>
      <c r="NPP22" t="s">
        <v>10318</v>
      </c>
      <c r="NPQ22" t="s">
        <v>10319</v>
      </c>
      <c r="NPR22" t="s">
        <v>10320</v>
      </c>
      <c r="NPS22" t="s">
        <v>10321</v>
      </c>
      <c r="NPT22" t="s">
        <v>10322</v>
      </c>
      <c r="NPU22" t="s">
        <v>10323</v>
      </c>
      <c r="NPV22" t="s">
        <v>10324</v>
      </c>
      <c r="NPW22" t="s">
        <v>10325</v>
      </c>
      <c r="NPX22" t="s">
        <v>10326</v>
      </c>
      <c r="NPY22" t="s">
        <v>10327</v>
      </c>
      <c r="NPZ22" t="s">
        <v>10328</v>
      </c>
      <c r="NQA22" t="s">
        <v>10329</v>
      </c>
      <c r="NQB22" t="s">
        <v>10330</v>
      </c>
      <c r="NQC22" t="s">
        <v>10331</v>
      </c>
      <c r="NQD22" t="s">
        <v>10332</v>
      </c>
      <c r="NQE22" t="s">
        <v>10333</v>
      </c>
      <c r="NQF22" t="s">
        <v>10334</v>
      </c>
      <c r="NQG22" t="s">
        <v>10335</v>
      </c>
      <c r="NQH22" t="s">
        <v>10336</v>
      </c>
      <c r="NQI22" t="s">
        <v>10337</v>
      </c>
      <c r="NQJ22" t="s">
        <v>10338</v>
      </c>
      <c r="NQK22" t="s">
        <v>10339</v>
      </c>
      <c r="NQL22" t="s">
        <v>10340</v>
      </c>
      <c r="NQM22" t="s">
        <v>10341</v>
      </c>
      <c r="NQN22" t="s">
        <v>10342</v>
      </c>
      <c r="NQO22" t="s">
        <v>10343</v>
      </c>
      <c r="NQP22" t="s">
        <v>10344</v>
      </c>
      <c r="NQQ22" t="s">
        <v>10345</v>
      </c>
      <c r="NQR22" t="s">
        <v>10346</v>
      </c>
      <c r="NQS22" t="s">
        <v>10347</v>
      </c>
      <c r="NQT22" t="s">
        <v>10348</v>
      </c>
      <c r="NQU22" t="s">
        <v>10349</v>
      </c>
      <c r="NQV22" t="s">
        <v>10350</v>
      </c>
      <c r="NQW22" t="s">
        <v>10351</v>
      </c>
      <c r="NQX22" t="s">
        <v>10352</v>
      </c>
      <c r="NQY22" t="s">
        <v>10353</v>
      </c>
      <c r="NQZ22" t="s">
        <v>10354</v>
      </c>
      <c r="NRA22" t="s">
        <v>10355</v>
      </c>
      <c r="NRB22" t="s">
        <v>10356</v>
      </c>
      <c r="NRC22" t="s">
        <v>10357</v>
      </c>
      <c r="NRD22" t="s">
        <v>10358</v>
      </c>
      <c r="NRE22" t="s">
        <v>10359</v>
      </c>
      <c r="NRF22" t="s">
        <v>10360</v>
      </c>
      <c r="NRG22" t="s">
        <v>10361</v>
      </c>
      <c r="NRH22" t="s">
        <v>10362</v>
      </c>
      <c r="NRI22" t="s">
        <v>10363</v>
      </c>
      <c r="NRJ22" t="s">
        <v>10364</v>
      </c>
      <c r="NRK22" t="s">
        <v>10365</v>
      </c>
      <c r="NRL22" t="s">
        <v>10366</v>
      </c>
      <c r="NRM22" t="s">
        <v>10367</v>
      </c>
      <c r="NRN22" t="s">
        <v>10368</v>
      </c>
      <c r="NRO22" t="s">
        <v>10369</v>
      </c>
      <c r="NRP22" t="s">
        <v>10370</v>
      </c>
      <c r="NRQ22" t="s">
        <v>10371</v>
      </c>
      <c r="NRR22" t="s">
        <v>10372</v>
      </c>
      <c r="NRS22" t="s">
        <v>10373</v>
      </c>
      <c r="NRT22" t="s">
        <v>10374</v>
      </c>
      <c r="NRU22" t="s">
        <v>10375</v>
      </c>
      <c r="NRV22" t="s">
        <v>10376</v>
      </c>
      <c r="NRW22" t="s">
        <v>10377</v>
      </c>
      <c r="NRX22" t="s">
        <v>10378</v>
      </c>
      <c r="NRY22" t="s">
        <v>10379</v>
      </c>
      <c r="NRZ22" t="s">
        <v>10380</v>
      </c>
      <c r="NSA22" t="s">
        <v>10381</v>
      </c>
      <c r="NSB22" t="s">
        <v>10382</v>
      </c>
      <c r="NSC22" t="s">
        <v>10383</v>
      </c>
      <c r="NSD22" t="s">
        <v>10384</v>
      </c>
      <c r="NSE22" t="s">
        <v>10385</v>
      </c>
      <c r="NSF22" t="s">
        <v>10386</v>
      </c>
      <c r="NSG22" t="s">
        <v>10387</v>
      </c>
      <c r="NSH22" t="s">
        <v>10388</v>
      </c>
      <c r="NSI22" t="s">
        <v>10389</v>
      </c>
      <c r="NSJ22" t="s">
        <v>10390</v>
      </c>
      <c r="NSK22" t="s">
        <v>10391</v>
      </c>
      <c r="NSL22" t="s">
        <v>10392</v>
      </c>
      <c r="NSM22" t="s">
        <v>10393</v>
      </c>
      <c r="NSN22" t="s">
        <v>10394</v>
      </c>
      <c r="NSO22" t="s">
        <v>10395</v>
      </c>
      <c r="NSP22" t="s">
        <v>10396</v>
      </c>
      <c r="NSQ22" t="s">
        <v>10397</v>
      </c>
      <c r="NSR22" t="s">
        <v>10398</v>
      </c>
      <c r="NSS22" t="s">
        <v>10399</v>
      </c>
      <c r="NST22" t="s">
        <v>10400</v>
      </c>
      <c r="NSU22" t="s">
        <v>10401</v>
      </c>
      <c r="NSV22" t="s">
        <v>10402</v>
      </c>
      <c r="NSW22" t="s">
        <v>10403</v>
      </c>
      <c r="NSX22" t="s">
        <v>10404</v>
      </c>
      <c r="NSY22" t="s">
        <v>10405</v>
      </c>
      <c r="NSZ22" t="s">
        <v>10406</v>
      </c>
      <c r="NTA22" t="s">
        <v>10407</v>
      </c>
      <c r="NTB22" t="s">
        <v>10408</v>
      </c>
      <c r="NTC22" t="s">
        <v>10409</v>
      </c>
      <c r="NTD22" t="s">
        <v>10410</v>
      </c>
      <c r="NTE22" t="s">
        <v>10411</v>
      </c>
      <c r="NTF22" t="s">
        <v>10412</v>
      </c>
      <c r="NTG22" t="s">
        <v>10413</v>
      </c>
      <c r="NTH22" t="s">
        <v>10414</v>
      </c>
      <c r="NTI22" t="s">
        <v>10415</v>
      </c>
      <c r="NTJ22" t="s">
        <v>10416</v>
      </c>
      <c r="NTK22" t="s">
        <v>10417</v>
      </c>
      <c r="NTL22" t="s">
        <v>10418</v>
      </c>
      <c r="NTM22" t="s">
        <v>10419</v>
      </c>
      <c r="NTN22" t="s">
        <v>10420</v>
      </c>
      <c r="NTO22" t="s">
        <v>10421</v>
      </c>
      <c r="NTP22" t="s">
        <v>10422</v>
      </c>
      <c r="NTQ22" t="s">
        <v>10423</v>
      </c>
      <c r="NTR22" t="s">
        <v>10424</v>
      </c>
      <c r="NTS22" t="s">
        <v>10425</v>
      </c>
      <c r="NTT22" t="s">
        <v>10426</v>
      </c>
      <c r="NTU22" t="s">
        <v>10427</v>
      </c>
      <c r="NTV22" t="s">
        <v>10428</v>
      </c>
      <c r="NTW22" t="s">
        <v>10429</v>
      </c>
      <c r="NTX22" t="s">
        <v>10430</v>
      </c>
      <c r="NTY22" t="s">
        <v>10431</v>
      </c>
      <c r="NTZ22" t="s">
        <v>10432</v>
      </c>
      <c r="NUA22" t="s">
        <v>10433</v>
      </c>
      <c r="NUB22" t="s">
        <v>10434</v>
      </c>
      <c r="NUC22" t="s">
        <v>10435</v>
      </c>
      <c r="NUD22" t="s">
        <v>10436</v>
      </c>
      <c r="NUE22" t="s">
        <v>10437</v>
      </c>
      <c r="NUF22" t="s">
        <v>10438</v>
      </c>
      <c r="NUG22" t="s">
        <v>10439</v>
      </c>
      <c r="NUH22" t="s">
        <v>10440</v>
      </c>
      <c r="NUI22" t="s">
        <v>10441</v>
      </c>
      <c r="NUJ22" t="s">
        <v>10442</v>
      </c>
      <c r="NUK22" t="s">
        <v>10443</v>
      </c>
      <c r="NUL22" t="s">
        <v>10444</v>
      </c>
      <c r="NUM22" t="s">
        <v>10445</v>
      </c>
      <c r="NUN22" t="s">
        <v>10446</v>
      </c>
      <c r="NUO22" t="s">
        <v>10447</v>
      </c>
      <c r="NUP22" t="s">
        <v>10448</v>
      </c>
      <c r="NUQ22" t="s">
        <v>10449</v>
      </c>
      <c r="NUR22" t="s">
        <v>10450</v>
      </c>
      <c r="NUS22" t="s">
        <v>10451</v>
      </c>
      <c r="NUT22" t="s">
        <v>10452</v>
      </c>
      <c r="NUU22" t="s">
        <v>10453</v>
      </c>
      <c r="NUV22" t="s">
        <v>10454</v>
      </c>
      <c r="NUW22" t="s">
        <v>10455</v>
      </c>
      <c r="NUX22" t="s">
        <v>10456</v>
      </c>
      <c r="NUY22" t="s">
        <v>10457</v>
      </c>
      <c r="NUZ22" t="s">
        <v>10458</v>
      </c>
      <c r="NVA22" t="s">
        <v>10459</v>
      </c>
      <c r="NVB22" t="s">
        <v>10460</v>
      </c>
      <c r="NVC22" t="s">
        <v>10461</v>
      </c>
      <c r="NVD22" t="s">
        <v>10462</v>
      </c>
      <c r="NVE22" t="s">
        <v>10463</v>
      </c>
      <c r="NVF22" t="s">
        <v>10464</v>
      </c>
      <c r="NVG22" t="s">
        <v>10465</v>
      </c>
      <c r="NVH22" t="s">
        <v>10466</v>
      </c>
      <c r="NVI22" t="s">
        <v>10467</v>
      </c>
      <c r="NVJ22" t="s">
        <v>10468</v>
      </c>
      <c r="NVK22" t="s">
        <v>10469</v>
      </c>
      <c r="NVL22" t="s">
        <v>10470</v>
      </c>
      <c r="NVM22" t="s">
        <v>10471</v>
      </c>
      <c r="NVN22" t="s">
        <v>10472</v>
      </c>
      <c r="NVO22" t="s">
        <v>10473</v>
      </c>
      <c r="NVP22" t="s">
        <v>10474</v>
      </c>
      <c r="NVQ22" t="s">
        <v>10475</v>
      </c>
      <c r="NVR22" t="s">
        <v>10476</v>
      </c>
      <c r="NVS22" t="s">
        <v>10477</v>
      </c>
      <c r="NVT22" t="s">
        <v>10478</v>
      </c>
      <c r="NVU22" t="s">
        <v>10479</v>
      </c>
      <c r="NVV22" t="s">
        <v>10480</v>
      </c>
      <c r="NVW22" t="s">
        <v>10481</v>
      </c>
      <c r="NVX22" t="s">
        <v>10482</v>
      </c>
      <c r="NVY22" t="s">
        <v>10483</v>
      </c>
      <c r="NVZ22" t="s">
        <v>10484</v>
      </c>
      <c r="NWA22" t="s">
        <v>10485</v>
      </c>
      <c r="NWB22" t="s">
        <v>10486</v>
      </c>
      <c r="NWC22" t="s">
        <v>10487</v>
      </c>
      <c r="NWD22" t="s">
        <v>10488</v>
      </c>
      <c r="NWE22" t="s">
        <v>10489</v>
      </c>
      <c r="NWF22" t="s">
        <v>10490</v>
      </c>
      <c r="NWG22" t="s">
        <v>10491</v>
      </c>
      <c r="NWH22" t="s">
        <v>10492</v>
      </c>
      <c r="NWI22" t="s">
        <v>10493</v>
      </c>
      <c r="NWJ22" t="s">
        <v>10494</v>
      </c>
      <c r="NWK22" t="s">
        <v>10495</v>
      </c>
      <c r="NWL22" t="s">
        <v>10496</v>
      </c>
      <c r="NWM22" t="s">
        <v>10497</v>
      </c>
      <c r="NWN22" t="s">
        <v>10498</v>
      </c>
      <c r="NWO22" t="s">
        <v>10499</v>
      </c>
      <c r="NWP22" t="s">
        <v>10500</v>
      </c>
      <c r="NWQ22" t="s">
        <v>10501</v>
      </c>
      <c r="NWR22" t="s">
        <v>10502</v>
      </c>
      <c r="NWS22" t="s">
        <v>10503</v>
      </c>
      <c r="NWT22" t="s">
        <v>10504</v>
      </c>
      <c r="NWU22" t="s">
        <v>10505</v>
      </c>
      <c r="NWV22" t="s">
        <v>10506</v>
      </c>
      <c r="NWW22" t="s">
        <v>10507</v>
      </c>
      <c r="NWX22" t="s">
        <v>10508</v>
      </c>
      <c r="NWY22" t="s">
        <v>10509</v>
      </c>
      <c r="NWZ22" t="s">
        <v>10510</v>
      </c>
      <c r="NXA22" t="s">
        <v>10511</v>
      </c>
      <c r="NXB22" t="s">
        <v>10512</v>
      </c>
      <c r="NXC22" t="s">
        <v>10513</v>
      </c>
      <c r="NXD22" t="s">
        <v>10514</v>
      </c>
      <c r="NXE22" t="s">
        <v>10515</v>
      </c>
      <c r="NXF22" t="s">
        <v>10516</v>
      </c>
      <c r="NXG22" t="s">
        <v>10517</v>
      </c>
      <c r="NXH22" t="s">
        <v>10518</v>
      </c>
      <c r="NXI22" t="s">
        <v>10519</v>
      </c>
      <c r="NXJ22" t="s">
        <v>10520</v>
      </c>
      <c r="NXK22" t="s">
        <v>10521</v>
      </c>
      <c r="NXL22" t="s">
        <v>10522</v>
      </c>
      <c r="NXM22" t="s">
        <v>10523</v>
      </c>
      <c r="NXN22" t="s">
        <v>10524</v>
      </c>
      <c r="NXO22" t="s">
        <v>10525</v>
      </c>
      <c r="NXP22" t="s">
        <v>10526</v>
      </c>
      <c r="NXQ22" t="s">
        <v>10527</v>
      </c>
      <c r="NXR22" t="s">
        <v>10528</v>
      </c>
      <c r="NXS22" t="s">
        <v>10529</v>
      </c>
      <c r="NXT22" t="s">
        <v>10530</v>
      </c>
      <c r="NXU22" t="s">
        <v>10531</v>
      </c>
      <c r="NXV22" t="s">
        <v>10532</v>
      </c>
      <c r="NXW22" t="s">
        <v>10533</v>
      </c>
      <c r="NXX22" t="s">
        <v>10534</v>
      </c>
      <c r="NXY22" t="s">
        <v>10535</v>
      </c>
      <c r="NXZ22" t="s">
        <v>10536</v>
      </c>
      <c r="NYA22" t="s">
        <v>10537</v>
      </c>
      <c r="NYB22" t="s">
        <v>10538</v>
      </c>
      <c r="NYC22" t="s">
        <v>10539</v>
      </c>
      <c r="NYD22" t="s">
        <v>10540</v>
      </c>
      <c r="NYE22" t="s">
        <v>10541</v>
      </c>
      <c r="NYF22" t="s">
        <v>10542</v>
      </c>
      <c r="NYG22" t="s">
        <v>10543</v>
      </c>
      <c r="NYH22" t="s">
        <v>10544</v>
      </c>
      <c r="NYI22" t="s">
        <v>10545</v>
      </c>
      <c r="NYJ22" t="s">
        <v>10546</v>
      </c>
      <c r="NYK22" t="s">
        <v>10547</v>
      </c>
      <c r="NYL22" t="s">
        <v>10548</v>
      </c>
      <c r="NYM22" t="s">
        <v>10549</v>
      </c>
      <c r="NYN22" t="s">
        <v>10550</v>
      </c>
      <c r="NYO22" t="s">
        <v>10551</v>
      </c>
      <c r="NYP22" t="s">
        <v>10552</v>
      </c>
      <c r="NYQ22" t="s">
        <v>10553</v>
      </c>
      <c r="NYR22" t="s">
        <v>10554</v>
      </c>
      <c r="NYS22" t="s">
        <v>10555</v>
      </c>
      <c r="NYT22" t="s">
        <v>10556</v>
      </c>
      <c r="NYU22" t="s">
        <v>10557</v>
      </c>
      <c r="NYV22" t="s">
        <v>10558</v>
      </c>
      <c r="NYW22" t="s">
        <v>10559</v>
      </c>
      <c r="NYX22" t="s">
        <v>10560</v>
      </c>
      <c r="NYY22" t="s">
        <v>10561</v>
      </c>
      <c r="NYZ22" t="s">
        <v>10562</v>
      </c>
      <c r="NZA22" t="s">
        <v>10563</v>
      </c>
      <c r="NZB22" t="s">
        <v>10564</v>
      </c>
      <c r="NZC22" t="s">
        <v>10565</v>
      </c>
      <c r="NZD22" t="s">
        <v>10566</v>
      </c>
      <c r="NZE22" t="s">
        <v>10567</v>
      </c>
      <c r="NZF22" t="s">
        <v>10568</v>
      </c>
      <c r="NZG22" t="s">
        <v>10569</v>
      </c>
      <c r="NZH22" t="s">
        <v>10570</v>
      </c>
      <c r="NZI22" t="s">
        <v>10571</v>
      </c>
      <c r="NZJ22" t="s">
        <v>10572</v>
      </c>
      <c r="NZK22" t="s">
        <v>10573</v>
      </c>
      <c r="NZL22" t="s">
        <v>10574</v>
      </c>
      <c r="NZM22" t="s">
        <v>10575</v>
      </c>
      <c r="NZN22" t="s">
        <v>10576</v>
      </c>
      <c r="NZO22" t="s">
        <v>10577</v>
      </c>
      <c r="NZP22" t="s">
        <v>10578</v>
      </c>
      <c r="NZQ22" t="s">
        <v>10579</v>
      </c>
      <c r="NZR22" t="s">
        <v>10580</v>
      </c>
      <c r="NZS22" t="s">
        <v>10581</v>
      </c>
      <c r="NZT22" t="s">
        <v>10582</v>
      </c>
      <c r="NZU22" t="s">
        <v>10583</v>
      </c>
      <c r="NZV22" t="s">
        <v>10584</v>
      </c>
      <c r="NZW22" t="s">
        <v>10585</v>
      </c>
      <c r="NZX22" t="s">
        <v>10586</v>
      </c>
      <c r="NZY22" t="s">
        <v>10587</v>
      </c>
      <c r="NZZ22" t="s">
        <v>10588</v>
      </c>
      <c r="OAA22" t="s">
        <v>10589</v>
      </c>
      <c r="OAB22" t="s">
        <v>10590</v>
      </c>
      <c r="OAC22" t="s">
        <v>10591</v>
      </c>
      <c r="OAD22" t="s">
        <v>10592</v>
      </c>
      <c r="OAE22" t="s">
        <v>10593</v>
      </c>
      <c r="OAF22" t="s">
        <v>10594</v>
      </c>
      <c r="OAG22" t="s">
        <v>10595</v>
      </c>
      <c r="OAH22" t="s">
        <v>10596</v>
      </c>
      <c r="OAI22" t="s">
        <v>10597</v>
      </c>
      <c r="OAJ22" t="s">
        <v>10598</v>
      </c>
      <c r="OAK22" t="s">
        <v>10599</v>
      </c>
      <c r="OAL22" t="s">
        <v>10600</v>
      </c>
      <c r="OAM22" t="s">
        <v>10601</v>
      </c>
      <c r="OAN22" t="s">
        <v>10602</v>
      </c>
      <c r="OAO22" t="s">
        <v>10603</v>
      </c>
      <c r="OAP22" t="s">
        <v>10604</v>
      </c>
      <c r="OAQ22" t="s">
        <v>10605</v>
      </c>
      <c r="OAR22" t="s">
        <v>10606</v>
      </c>
      <c r="OAS22" t="s">
        <v>10607</v>
      </c>
      <c r="OAT22" t="s">
        <v>10608</v>
      </c>
      <c r="OAU22" t="s">
        <v>10609</v>
      </c>
      <c r="OAV22" t="s">
        <v>10610</v>
      </c>
      <c r="OAW22" t="s">
        <v>10611</v>
      </c>
      <c r="OAX22" t="s">
        <v>10612</v>
      </c>
      <c r="OAY22" t="s">
        <v>10613</v>
      </c>
      <c r="OAZ22" t="s">
        <v>10614</v>
      </c>
      <c r="OBA22" t="s">
        <v>10615</v>
      </c>
      <c r="OBB22" t="s">
        <v>10616</v>
      </c>
      <c r="OBC22" t="s">
        <v>10617</v>
      </c>
      <c r="OBD22" t="s">
        <v>10618</v>
      </c>
      <c r="OBE22" t="s">
        <v>10619</v>
      </c>
      <c r="OBF22" t="s">
        <v>10620</v>
      </c>
      <c r="OBG22" t="s">
        <v>10621</v>
      </c>
      <c r="OBH22" t="s">
        <v>10622</v>
      </c>
      <c r="OBI22" t="s">
        <v>10623</v>
      </c>
      <c r="OBJ22" t="s">
        <v>10624</v>
      </c>
      <c r="OBK22" t="s">
        <v>10625</v>
      </c>
      <c r="OBL22" t="s">
        <v>10626</v>
      </c>
      <c r="OBM22" t="s">
        <v>10627</v>
      </c>
      <c r="OBN22" t="s">
        <v>10628</v>
      </c>
      <c r="OBO22" t="s">
        <v>10629</v>
      </c>
      <c r="OBP22" t="s">
        <v>10630</v>
      </c>
      <c r="OBQ22" t="s">
        <v>10631</v>
      </c>
      <c r="OBR22" t="s">
        <v>10632</v>
      </c>
      <c r="OBS22" t="s">
        <v>10633</v>
      </c>
      <c r="OBT22" t="s">
        <v>10634</v>
      </c>
      <c r="OBU22" t="s">
        <v>10635</v>
      </c>
      <c r="OBV22" t="s">
        <v>10636</v>
      </c>
      <c r="OBW22" t="s">
        <v>10637</v>
      </c>
      <c r="OBX22" t="s">
        <v>10638</v>
      </c>
      <c r="OBY22" t="s">
        <v>10639</v>
      </c>
      <c r="OBZ22" t="s">
        <v>10640</v>
      </c>
      <c r="OCA22" t="s">
        <v>10641</v>
      </c>
      <c r="OCB22" t="s">
        <v>10642</v>
      </c>
      <c r="OCC22" t="s">
        <v>10643</v>
      </c>
      <c r="OCD22" t="s">
        <v>10644</v>
      </c>
      <c r="OCE22" t="s">
        <v>10645</v>
      </c>
      <c r="OCF22" t="s">
        <v>10646</v>
      </c>
      <c r="OCG22" t="s">
        <v>10647</v>
      </c>
      <c r="OCH22" t="s">
        <v>10648</v>
      </c>
      <c r="OCI22" t="s">
        <v>10649</v>
      </c>
      <c r="OCJ22" t="s">
        <v>10650</v>
      </c>
      <c r="OCK22" t="s">
        <v>10651</v>
      </c>
      <c r="OCL22" t="s">
        <v>10652</v>
      </c>
      <c r="OCM22" t="s">
        <v>10653</v>
      </c>
      <c r="OCN22" t="s">
        <v>10654</v>
      </c>
      <c r="OCO22" t="s">
        <v>10655</v>
      </c>
      <c r="OCP22" t="s">
        <v>10656</v>
      </c>
      <c r="OCQ22" t="s">
        <v>10657</v>
      </c>
      <c r="OCR22" t="s">
        <v>10658</v>
      </c>
      <c r="OCS22" t="s">
        <v>10659</v>
      </c>
      <c r="OCT22" t="s">
        <v>10660</v>
      </c>
      <c r="OCU22" t="s">
        <v>10661</v>
      </c>
      <c r="OCV22" t="s">
        <v>10662</v>
      </c>
      <c r="OCW22" t="s">
        <v>10663</v>
      </c>
      <c r="OCX22" t="s">
        <v>10664</v>
      </c>
      <c r="OCY22" t="s">
        <v>10665</v>
      </c>
      <c r="OCZ22" t="s">
        <v>10666</v>
      </c>
      <c r="ODA22" t="s">
        <v>10667</v>
      </c>
      <c r="ODB22" t="s">
        <v>10668</v>
      </c>
      <c r="ODC22" t="s">
        <v>10669</v>
      </c>
      <c r="ODD22" t="s">
        <v>10670</v>
      </c>
      <c r="ODE22" t="s">
        <v>10671</v>
      </c>
      <c r="ODF22" t="s">
        <v>10672</v>
      </c>
      <c r="ODG22" t="s">
        <v>10673</v>
      </c>
      <c r="ODH22" t="s">
        <v>10674</v>
      </c>
      <c r="ODI22" t="s">
        <v>10675</v>
      </c>
      <c r="ODJ22" t="s">
        <v>10676</v>
      </c>
      <c r="ODK22" t="s">
        <v>10677</v>
      </c>
      <c r="ODL22" t="s">
        <v>10678</v>
      </c>
      <c r="ODM22" t="s">
        <v>10679</v>
      </c>
      <c r="ODN22" t="s">
        <v>10680</v>
      </c>
      <c r="ODO22" t="s">
        <v>10681</v>
      </c>
      <c r="ODP22" t="s">
        <v>10682</v>
      </c>
      <c r="ODQ22" t="s">
        <v>10683</v>
      </c>
      <c r="ODR22" t="s">
        <v>10684</v>
      </c>
      <c r="ODS22" t="s">
        <v>10685</v>
      </c>
      <c r="ODT22" t="s">
        <v>10686</v>
      </c>
      <c r="ODU22" t="s">
        <v>10687</v>
      </c>
      <c r="ODV22" t="s">
        <v>10688</v>
      </c>
      <c r="ODW22" t="s">
        <v>10689</v>
      </c>
      <c r="ODX22" t="s">
        <v>10690</v>
      </c>
      <c r="ODY22" t="s">
        <v>10691</v>
      </c>
      <c r="ODZ22" t="s">
        <v>10692</v>
      </c>
      <c r="OEA22" t="s">
        <v>10693</v>
      </c>
      <c r="OEB22" t="s">
        <v>10694</v>
      </c>
      <c r="OEC22" t="s">
        <v>10695</v>
      </c>
      <c r="OED22" t="s">
        <v>10696</v>
      </c>
      <c r="OEE22" t="s">
        <v>10697</v>
      </c>
      <c r="OEF22" t="s">
        <v>10698</v>
      </c>
      <c r="OEG22" t="s">
        <v>10699</v>
      </c>
      <c r="OEH22" t="s">
        <v>10700</v>
      </c>
      <c r="OEI22" t="s">
        <v>10701</v>
      </c>
      <c r="OEJ22" t="s">
        <v>10702</v>
      </c>
      <c r="OEK22" t="s">
        <v>10703</v>
      </c>
      <c r="OEL22" t="s">
        <v>10704</v>
      </c>
      <c r="OEM22" t="s">
        <v>10705</v>
      </c>
      <c r="OEN22" t="s">
        <v>10706</v>
      </c>
      <c r="OEO22" t="s">
        <v>10707</v>
      </c>
      <c r="OEP22" t="s">
        <v>10708</v>
      </c>
      <c r="OEQ22" t="s">
        <v>10709</v>
      </c>
      <c r="OER22" t="s">
        <v>10710</v>
      </c>
      <c r="OES22" t="s">
        <v>10711</v>
      </c>
      <c r="OET22" t="s">
        <v>10712</v>
      </c>
      <c r="OEU22" t="s">
        <v>10713</v>
      </c>
      <c r="OEV22" t="s">
        <v>10714</v>
      </c>
      <c r="OEW22" t="s">
        <v>10715</v>
      </c>
      <c r="OEX22" t="s">
        <v>10716</v>
      </c>
      <c r="OEY22" t="s">
        <v>10717</v>
      </c>
      <c r="OEZ22" t="s">
        <v>10718</v>
      </c>
      <c r="OFA22" t="s">
        <v>10719</v>
      </c>
      <c r="OFB22" t="s">
        <v>10720</v>
      </c>
      <c r="OFC22" t="s">
        <v>10721</v>
      </c>
      <c r="OFD22" t="s">
        <v>10722</v>
      </c>
      <c r="OFE22" t="s">
        <v>10723</v>
      </c>
      <c r="OFF22" t="s">
        <v>10724</v>
      </c>
      <c r="OFG22" t="s">
        <v>10725</v>
      </c>
      <c r="OFH22" t="s">
        <v>10726</v>
      </c>
      <c r="OFI22" t="s">
        <v>10727</v>
      </c>
      <c r="OFJ22" t="s">
        <v>10728</v>
      </c>
      <c r="OFK22" t="s">
        <v>10729</v>
      </c>
      <c r="OFL22" t="s">
        <v>10730</v>
      </c>
      <c r="OFM22" t="s">
        <v>10731</v>
      </c>
      <c r="OFN22" t="s">
        <v>10732</v>
      </c>
      <c r="OFO22" t="s">
        <v>10733</v>
      </c>
      <c r="OFP22" t="s">
        <v>10734</v>
      </c>
      <c r="OFQ22" t="s">
        <v>10735</v>
      </c>
      <c r="OFR22" t="s">
        <v>10736</v>
      </c>
      <c r="OFS22" t="s">
        <v>10737</v>
      </c>
      <c r="OFT22" t="s">
        <v>10738</v>
      </c>
      <c r="OFU22" t="s">
        <v>10739</v>
      </c>
      <c r="OFV22" t="s">
        <v>10740</v>
      </c>
      <c r="OFW22" t="s">
        <v>10741</v>
      </c>
      <c r="OFX22" t="s">
        <v>10742</v>
      </c>
      <c r="OFY22" t="s">
        <v>10743</v>
      </c>
      <c r="OFZ22" t="s">
        <v>10744</v>
      </c>
      <c r="OGA22" t="s">
        <v>10745</v>
      </c>
      <c r="OGB22" t="s">
        <v>10746</v>
      </c>
      <c r="OGC22" t="s">
        <v>10747</v>
      </c>
      <c r="OGD22" t="s">
        <v>10748</v>
      </c>
      <c r="OGE22" t="s">
        <v>10749</v>
      </c>
      <c r="OGF22" t="s">
        <v>10750</v>
      </c>
      <c r="OGG22" t="s">
        <v>10751</v>
      </c>
      <c r="OGH22" t="s">
        <v>10752</v>
      </c>
      <c r="OGI22" t="s">
        <v>10753</v>
      </c>
      <c r="OGJ22" t="s">
        <v>10754</v>
      </c>
      <c r="OGK22" t="s">
        <v>10755</v>
      </c>
      <c r="OGL22" t="s">
        <v>10756</v>
      </c>
      <c r="OGM22" t="s">
        <v>10757</v>
      </c>
      <c r="OGN22" t="s">
        <v>10758</v>
      </c>
      <c r="OGO22" t="s">
        <v>10759</v>
      </c>
      <c r="OGP22" t="s">
        <v>10760</v>
      </c>
      <c r="OGQ22" t="s">
        <v>10761</v>
      </c>
      <c r="OGR22" t="s">
        <v>10762</v>
      </c>
      <c r="OGS22" t="s">
        <v>10763</v>
      </c>
      <c r="OGT22" t="s">
        <v>10764</v>
      </c>
      <c r="OGU22" t="s">
        <v>10765</v>
      </c>
      <c r="OGV22" t="s">
        <v>10766</v>
      </c>
      <c r="OGW22" t="s">
        <v>10767</v>
      </c>
      <c r="OGX22" t="s">
        <v>10768</v>
      </c>
      <c r="OGY22" t="s">
        <v>10769</v>
      </c>
      <c r="OGZ22" t="s">
        <v>10770</v>
      </c>
      <c r="OHA22" t="s">
        <v>10771</v>
      </c>
      <c r="OHB22" t="s">
        <v>10772</v>
      </c>
      <c r="OHC22" t="s">
        <v>10773</v>
      </c>
      <c r="OHD22" t="s">
        <v>10774</v>
      </c>
      <c r="OHE22" t="s">
        <v>10775</v>
      </c>
      <c r="OHF22" t="s">
        <v>10776</v>
      </c>
      <c r="OHG22" t="s">
        <v>10777</v>
      </c>
      <c r="OHH22" t="s">
        <v>10778</v>
      </c>
      <c r="OHI22" t="s">
        <v>10779</v>
      </c>
      <c r="OHJ22" t="s">
        <v>10780</v>
      </c>
      <c r="OHK22" t="s">
        <v>10781</v>
      </c>
      <c r="OHL22" t="s">
        <v>10782</v>
      </c>
      <c r="OHM22" t="s">
        <v>10783</v>
      </c>
      <c r="OHN22" t="s">
        <v>10784</v>
      </c>
      <c r="OHO22" t="s">
        <v>10785</v>
      </c>
      <c r="OHP22" t="s">
        <v>10786</v>
      </c>
      <c r="OHQ22" t="s">
        <v>10787</v>
      </c>
      <c r="OHR22" t="s">
        <v>10788</v>
      </c>
      <c r="OHS22" t="s">
        <v>10789</v>
      </c>
      <c r="OHT22" t="s">
        <v>10790</v>
      </c>
      <c r="OHU22" t="s">
        <v>10791</v>
      </c>
      <c r="OHV22" t="s">
        <v>10792</v>
      </c>
      <c r="OHW22" t="s">
        <v>10793</v>
      </c>
      <c r="OHX22" t="s">
        <v>10794</v>
      </c>
      <c r="OHY22" t="s">
        <v>10795</v>
      </c>
      <c r="OHZ22" t="s">
        <v>10796</v>
      </c>
      <c r="OIA22" t="s">
        <v>10797</v>
      </c>
      <c r="OIB22" t="s">
        <v>10798</v>
      </c>
      <c r="OIC22" t="s">
        <v>10799</v>
      </c>
      <c r="OID22" t="s">
        <v>10800</v>
      </c>
      <c r="OIE22" t="s">
        <v>10801</v>
      </c>
      <c r="OIF22" t="s">
        <v>10802</v>
      </c>
      <c r="OIG22" t="s">
        <v>10803</v>
      </c>
      <c r="OIH22" t="s">
        <v>10804</v>
      </c>
      <c r="OII22" t="s">
        <v>10805</v>
      </c>
      <c r="OIJ22" t="s">
        <v>10806</v>
      </c>
      <c r="OIK22" t="s">
        <v>10807</v>
      </c>
      <c r="OIL22" t="s">
        <v>10808</v>
      </c>
      <c r="OIM22" t="s">
        <v>10809</v>
      </c>
      <c r="OIN22" t="s">
        <v>10810</v>
      </c>
      <c r="OIO22" t="s">
        <v>10811</v>
      </c>
      <c r="OIP22" t="s">
        <v>10812</v>
      </c>
      <c r="OIQ22" t="s">
        <v>10813</v>
      </c>
      <c r="OIR22" t="s">
        <v>10814</v>
      </c>
      <c r="OIS22" t="s">
        <v>10815</v>
      </c>
      <c r="OIT22" t="s">
        <v>10816</v>
      </c>
      <c r="OIU22" t="s">
        <v>10817</v>
      </c>
      <c r="OIV22" t="s">
        <v>10818</v>
      </c>
      <c r="OIW22" t="s">
        <v>10819</v>
      </c>
      <c r="OIX22" t="s">
        <v>10820</v>
      </c>
      <c r="OIY22" t="s">
        <v>10821</v>
      </c>
      <c r="OIZ22" t="s">
        <v>10822</v>
      </c>
      <c r="OJA22" t="s">
        <v>10823</v>
      </c>
      <c r="OJB22" t="s">
        <v>10824</v>
      </c>
      <c r="OJC22" t="s">
        <v>10825</v>
      </c>
      <c r="OJD22" t="s">
        <v>10826</v>
      </c>
      <c r="OJE22" t="s">
        <v>10827</v>
      </c>
      <c r="OJF22" t="s">
        <v>10828</v>
      </c>
      <c r="OJG22" t="s">
        <v>10829</v>
      </c>
      <c r="OJH22" t="s">
        <v>10830</v>
      </c>
      <c r="OJI22" t="s">
        <v>10831</v>
      </c>
      <c r="OJJ22" t="s">
        <v>10832</v>
      </c>
      <c r="OJK22" t="s">
        <v>10833</v>
      </c>
      <c r="OJL22" t="s">
        <v>10834</v>
      </c>
      <c r="OJM22" t="s">
        <v>10835</v>
      </c>
      <c r="OJN22" t="s">
        <v>10836</v>
      </c>
      <c r="OJO22" t="s">
        <v>10837</v>
      </c>
      <c r="OJP22" t="s">
        <v>10838</v>
      </c>
      <c r="OJQ22" t="s">
        <v>10839</v>
      </c>
      <c r="OJR22" t="s">
        <v>10840</v>
      </c>
      <c r="OJS22" t="s">
        <v>10841</v>
      </c>
      <c r="OJT22" t="s">
        <v>10842</v>
      </c>
      <c r="OJU22" t="s">
        <v>10843</v>
      </c>
      <c r="OJV22" t="s">
        <v>10844</v>
      </c>
      <c r="OJW22" t="s">
        <v>10845</v>
      </c>
      <c r="OJX22" t="s">
        <v>10846</v>
      </c>
      <c r="OJY22" t="s">
        <v>10847</v>
      </c>
      <c r="OJZ22" t="s">
        <v>10848</v>
      </c>
      <c r="OKA22" t="s">
        <v>10849</v>
      </c>
      <c r="OKB22" t="s">
        <v>10850</v>
      </c>
      <c r="OKC22" t="s">
        <v>10851</v>
      </c>
      <c r="OKD22" t="s">
        <v>10852</v>
      </c>
      <c r="OKE22" t="s">
        <v>10853</v>
      </c>
      <c r="OKF22" t="s">
        <v>10854</v>
      </c>
      <c r="OKG22" t="s">
        <v>10855</v>
      </c>
      <c r="OKH22" t="s">
        <v>10856</v>
      </c>
      <c r="OKI22" t="s">
        <v>10857</v>
      </c>
      <c r="OKJ22" t="s">
        <v>10858</v>
      </c>
      <c r="OKK22" t="s">
        <v>10859</v>
      </c>
      <c r="OKL22" t="s">
        <v>10860</v>
      </c>
      <c r="OKM22" t="s">
        <v>10861</v>
      </c>
      <c r="OKN22" t="s">
        <v>10862</v>
      </c>
      <c r="OKO22" t="s">
        <v>10863</v>
      </c>
      <c r="OKP22" t="s">
        <v>10864</v>
      </c>
      <c r="OKQ22" t="s">
        <v>10865</v>
      </c>
      <c r="OKR22" t="s">
        <v>10866</v>
      </c>
      <c r="OKS22" t="s">
        <v>10867</v>
      </c>
      <c r="OKT22" t="s">
        <v>10868</v>
      </c>
      <c r="OKU22" t="s">
        <v>10869</v>
      </c>
      <c r="OKV22" t="s">
        <v>10870</v>
      </c>
      <c r="OKW22" t="s">
        <v>10871</v>
      </c>
      <c r="OKX22" t="s">
        <v>10872</v>
      </c>
      <c r="OKY22" t="s">
        <v>10873</v>
      </c>
      <c r="OKZ22" t="s">
        <v>10874</v>
      </c>
      <c r="OLA22" t="s">
        <v>10875</v>
      </c>
      <c r="OLB22" t="s">
        <v>10876</v>
      </c>
      <c r="OLC22" t="s">
        <v>10877</v>
      </c>
      <c r="OLD22" t="s">
        <v>10878</v>
      </c>
      <c r="OLE22" t="s">
        <v>10879</v>
      </c>
      <c r="OLF22" t="s">
        <v>10880</v>
      </c>
      <c r="OLG22" t="s">
        <v>10881</v>
      </c>
      <c r="OLH22" t="s">
        <v>10882</v>
      </c>
      <c r="OLI22" t="s">
        <v>10883</v>
      </c>
      <c r="OLJ22" t="s">
        <v>10884</v>
      </c>
      <c r="OLK22" t="s">
        <v>10885</v>
      </c>
      <c r="OLL22" t="s">
        <v>10886</v>
      </c>
      <c r="OLM22" t="s">
        <v>10887</v>
      </c>
      <c r="OLN22" t="s">
        <v>10888</v>
      </c>
      <c r="OLO22" t="s">
        <v>10889</v>
      </c>
      <c r="OLP22" t="s">
        <v>10890</v>
      </c>
      <c r="OLQ22" t="s">
        <v>10891</v>
      </c>
      <c r="OLR22" t="s">
        <v>10892</v>
      </c>
      <c r="OLS22" t="s">
        <v>10893</v>
      </c>
      <c r="OLT22" t="s">
        <v>10894</v>
      </c>
      <c r="OLU22" t="s">
        <v>10895</v>
      </c>
      <c r="OLV22" t="s">
        <v>10896</v>
      </c>
      <c r="OLW22" t="s">
        <v>10897</v>
      </c>
      <c r="OLX22" t="s">
        <v>10898</v>
      </c>
      <c r="OLY22" t="s">
        <v>10899</v>
      </c>
      <c r="OLZ22" t="s">
        <v>10900</v>
      </c>
      <c r="OMA22" t="s">
        <v>10901</v>
      </c>
      <c r="OMB22" t="s">
        <v>10902</v>
      </c>
      <c r="OMC22" t="s">
        <v>10903</v>
      </c>
      <c r="OMD22" t="s">
        <v>10904</v>
      </c>
      <c r="OME22" t="s">
        <v>10905</v>
      </c>
      <c r="OMF22" t="s">
        <v>10906</v>
      </c>
      <c r="OMG22" t="s">
        <v>10907</v>
      </c>
      <c r="OMH22" t="s">
        <v>10908</v>
      </c>
      <c r="OMI22" t="s">
        <v>10909</v>
      </c>
      <c r="OMJ22" t="s">
        <v>10910</v>
      </c>
      <c r="OMK22" t="s">
        <v>10911</v>
      </c>
      <c r="OML22" t="s">
        <v>10912</v>
      </c>
      <c r="OMM22" t="s">
        <v>10913</v>
      </c>
      <c r="OMN22" t="s">
        <v>10914</v>
      </c>
      <c r="OMO22" t="s">
        <v>10915</v>
      </c>
      <c r="OMP22" t="s">
        <v>10916</v>
      </c>
      <c r="OMQ22" t="s">
        <v>10917</v>
      </c>
      <c r="OMR22" t="s">
        <v>10918</v>
      </c>
      <c r="OMS22" t="s">
        <v>10919</v>
      </c>
      <c r="OMT22" t="s">
        <v>10920</v>
      </c>
      <c r="OMU22" t="s">
        <v>10921</v>
      </c>
      <c r="OMV22" t="s">
        <v>10922</v>
      </c>
      <c r="OMW22" t="s">
        <v>10923</v>
      </c>
      <c r="OMX22" t="s">
        <v>10924</v>
      </c>
      <c r="OMY22" t="s">
        <v>10925</v>
      </c>
      <c r="OMZ22" t="s">
        <v>10926</v>
      </c>
      <c r="ONA22" t="s">
        <v>10927</v>
      </c>
      <c r="ONB22" t="s">
        <v>10928</v>
      </c>
      <c r="ONC22" t="s">
        <v>10929</v>
      </c>
      <c r="OND22" t="s">
        <v>10930</v>
      </c>
      <c r="ONE22" t="s">
        <v>10931</v>
      </c>
      <c r="ONF22" t="s">
        <v>10932</v>
      </c>
      <c r="ONG22" t="s">
        <v>10933</v>
      </c>
      <c r="ONH22" t="s">
        <v>10934</v>
      </c>
      <c r="ONI22" t="s">
        <v>10935</v>
      </c>
      <c r="ONJ22" t="s">
        <v>10936</v>
      </c>
      <c r="ONK22" t="s">
        <v>10937</v>
      </c>
      <c r="ONL22" t="s">
        <v>10938</v>
      </c>
      <c r="ONM22" t="s">
        <v>10939</v>
      </c>
      <c r="ONN22" t="s">
        <v>10940</v>
      </c>
      <c r="ONO22" t="s">
        <v>10941</v>
      </c>
      <c r="ONP22" t="s">
        <v>10942</v>
      </c>
      <c r="ONQ22" t="s">
        <v>10943</v>
      </c>
      <c r="ONR22" t="s">
        <v>10944</v>
      </c>
      <c r="ONS22" t="s">
        <v>10945</v>
      </c>
      <c r="ONT22" t="s">
        <v>10946</v>
      </c>
      <c r="ONU22" t="s">
        <v>10947</v>
      </c>
      <c r="ONV22" t="s">
        <v>10948</v>
      </c>
      <c r="ONW22" t="s">
        <v>10949</v>
      </c>
      <c r="ONX22" t="s">
        <v>10950</v>
      </c>
      <c r="ONY22" t="s">
        <v>10951</v>
      </c>
      <c r="ONZ22" t="s">
        <v>10952</v>
      </c>
      <c r="OOA22" t="s">
        <v>10953</v>
      </c>
      <c r="OOB22" t="s">
        <v>10954</v>
      </c>
      <c r="OOC22" t="s">
        <v>10955</v>
      </c>
      <c r="OOD22" t="s">
        <v>10956</v>
      </c>
      <c r="OOE22" t="s">
        <v>10957</v>
      </c>
      <c r="OOF22" t="s">
        <v>10958</v>
      </c>
      <c r="OOG22" t="s">
        <v>10959</v>
      </c>
      <c r="OOH22" t="s">
        <v>10960</v>
      </c>
      <c r="OOI22" t="s">
        <v>10961</v>
      </c>
      <c r="OOJ22" t="s">
        <v>10962</v>
      </c>
      <c r="OOK22" t="s">
        <v>10963</v>
      </c>
      <c r="OOL22" t="s">
        <v>10964</v>
      </c>
      <c r="OOM22" t="s">
        <v>10965</v>
      </c>
      <c r="OON22" t="s">
        <v>10966</v>
      </c>
      <c r="OOO22" t="s">
        <v>10967</v>
      </c>
      <c r="OOP22" t="s">
        <v>10968</v>
      </c>
      <c r="OOQ22" t="s">
        <v>10969</v>
      </c>
      <c r="OOR22" t="s">
        <v>10970</v>
      </c>
      <c r="OOS22" t="s">
        <v>10971</v>
      </c>
      <c r="OOT22" t="s">
        <v>10972</v>
      </c>
      <c r="OOU22" t="s">
        <v>10973</v>
      </c>
      <c r="OOV22" t="s">
        <v>10974</v>
      </c>
      <c r="OOW22" t="s">
        <v>10975</v>
      </c>
      <c r="OOX22" t="s">
        <v>10976</v>
      </c>
      <c r="OOY22" t="s">
        <v>10977</v>
      </c>
      <c r="OOZ22" t="s">
        <v>10978</v>
      </c>
      <c r="OPA22" t="s">
        <v>10979</v>
      </c>
      <c r="OPB22" t="s">
        <v>10980</v>
      </c>
      <c r="OPC22" t="s">
        <v>10981</v>
      </c>
      <c r="OPD22" t="s">
        <v>10982</v>
      </c>
      <c r="OPE22" t="s">
        <v>10983</v>
      </c>
      <c r="OPF22" t="s">
        <v>10984</v>
      </c>
      <c r="OPG22" t="s">
        <v>10985</v>
      </c>
      <c r="OPH22" t="s">
        <v>10986</v>
      </c>
      <c r="OPI22" t="s">
        <v>10987</v>
      </c>
      <c r="OPJ22" t="s">
        <v>10988</v>
      </c>
      <c r="OPK22" t="s">
        <v>10989</v>
      </c>
      <c r="OPL22" t="s">
        <v>10990</v>
      </c>
      <c r="OPM22" t="s">
        <v>10991</v>
      </c>
      <c r="OPN22" t="s">
        <v>10992</v>
      </c>
      <c r="OPO22" t="s">
        <v>10993</v>
      </c>
      <c r="OPP22" t="s">
        <v>10994</v>
      </c>
      <c r="OPQ22" t="s">
        <v>10995</v>
      </c>
      <c r="OPR22" t="s">
        <v>10996</v>
      </c>
      <c r="OPS22" t="s">
        <v>10997</v>
      </c>
      <c r="OPT22" t="s">
        <v>10998</v>
      </c>
      <c r="OPU22" t="s">
        <v>10999</v>
      </c>
      <c r="OPV22" t="s">
        <v>11000</v>
      </c>
      <c r="OPW22" t="s">
        <v>11001</v>
      </c>
      <c r="OPX22" t="s">
        <v>11002</v>
      </c>
      <c r="OPY22" t="s">
        <v>11003</v>
      </c>
      <c r="OPZ22" t="s">
        <v>11004</v>
      </c>
      <c r="OQA22" t="s">
        <v>11005</v>
      </c>
      <c r="OQB22" t="s">
        <v>11006</v>
      </c>
      <c r="OQC22" t="s">
        <v>11007</v>
      </c>
      <c r="OQD22" t="s">
        <v>11008</v>
      </c>
      <c r="OQE22" t="s">
        <v>11009</v>
      </c>
      <c r="OQF22" t="s">
        <v>11010</v>
      </c>
      <c r="OQG22" t="s">
        <v>11011</v>
      </c>
      <c r="OQH22" t="s">
        <v>11012</v>
      </c>
      <c r="OQI22" t="s">
        <v>11013</v>
      </c>
      <c r="OQJ22" t="s">
        <v>11014</v>
      </c>
      <c r="OQK22" t="s">
        <v>11015</v>
      </c>
      <c r="OQL22" t="s">
        <v>11016</v>
      </c>
      <c r="OQM22" t="s">
        <v>11017</v>
      </c>
      <c r="OQN22" t="s">
        <v>11018</v>
      </c>
      <c r="OQO22" t="s">
        <v>11019</v>
      </c>
      <c r="OQP22" t="s">
        <v>11020</v>
      </c>
      <c r="OQQ22" t="s">
        <v>11021</v>
      </c>
      <c r="OQR22" t="s">
        <v>11022</v>
      </c>
      <c r="OQS22" t="s">
        <v>11023</v>
      </c>
      <c r="OQT22" t="s">
        <v>11024</v>
      </c>
      <c r="OQU22" t="s">
        <v>11025</v>
      </c>
      <c r="OQV22" t="s">
        <v>11026</v>
      </c>
      <c r="OQW22" t="s">
        <v>11027</v>
      </c>
      <c r="OQX22" t="s">
        <v>11028</v>
      </c>
      <c r="OQY22" t="s">
        <v>11029</v>
      </c>
      <c r="OQZ22" t="s">
        <v>11030</v>
      </c>
      <c r="ORA22" t="s">
        <v>11031</v>
      </c>
      <c r="ORB22" t="s">
        <v>11032</v>
      </c>
      <c r="ORC22" t="s">
        <v>11033</v>
      </c>
      <c r="ORD22" t="s">
        <v>11034</v>
      </c>
      <c r="ORE22" t="s">
        <v>11035</v>
      </c>
      <c r="ORF22" t="s">
        <v>11036</v>
      </c>
      <c r="ORG22" t="s">
        <v>11037</v>
      </c>
      <c r="ORH22" t="s">
        <v>11038</v>
      </c>
      <c r="ORI22" t="s">
        <v>11039</v>
      </c>
      <c r="ORJ22" t="s">
        <v>11040</v>
      </c>
      <c r="ORK22" t="s">
        <v>11041</v>
      </c>
      <c r="ORL22" t="s">
        <v>11042</v>
      </c>
      <c r="ORM22" t="s">
        <v>11043</v>
      </c>
      <c r="ORN22" t="s">
        <v>11044</v>
      </c>
      <c r="ORO22" t="s">
        <v>11045</v>
      </c>
      <c r="ORP22" t="s">
        <v>11046</v>
      </c>
      <c r="ORQ22" t="s">
        <v>11047</v>
      </c>
      <c r="ORR22" t="s">
        <v>11048</v>
      </c>
      <c r="ORS22" t="s">
        <v>11049</v>
      </c>
      <c r="ORT22" t="s">
        <v>11050</v>
      </c>
      <c r="ORU22" t="s">
        <v>11051</v>
      </c>
      <c r="ORV22" t="s">
        <v>11052</v>
      </c>
      <c r="ORW22" t="s">
        <v>11053</v>
      </c>
      <c r="ORX22" t="s">
        <v>11054</v>
      </c>
      <c r="ORY22" t="s">
        <v>11055</v>
      </c>
      <c r="ORZ22" t="s">
        <v>11056</v>
      </c>
      <c r="OSA22" t="s">
        <v>11057</v>
      </c>
      <c r="OSB22" t="s">
        <v>11058</v>
      </c>
      <c r="OSC22" t="s">
        <v>11059</v>
      </c>
      <c r="OSD22" t="s">
        <v>11060</v>
      </c>
      <c r="OSE22" t="s">
        <v>11061</v>
      </c>
      <c r="OSF22" t="s">
        <v>11062</v>
      </c>
      <c r="OSG22" t="s">
        <v>11063</v>
      </c>
      <c r="OSH22" t="s">
        <v>11064</v>
      </c>
      <c r="OSI22" t="s">
        <v>11065</v>
      </c>
      <c r="OSJ22" t="s">
        <v>11066</v>
      </c>
      <c r="OSK22" t="s">
        <v>11067</v>
      </c>
      <c r="OSL22" t="s">
        <v>11068</v>
      </c>
      <c r="OSM22" t="s">
        <v>11069</v>
      </c>
      <c r="OSN22" t="s">
        <v>11070</v>
      </c>
      <c r="OSO22" t="s">
        <v>11071</v>
      </c>
      <c r="OSP22" t="s">
        <v>11072</v>
      </c>
      <c r="OSQ22" t="s">
        <v>11073</v>
      </c>
      <c r="OSR22" t="s">
        <v>11074</v>
      </c>
      <c r="OSS22" t="s">
        <v>11075</v>
      </c>
      <c r="OST22" t="s">
        <v>11076</v>
      </c>
      <c r="OSU22" t="s">
        <v>11077</v>
      </c>
      <c r="OSV22" t="s">
        <v>11078</v>
      </c>
      <c r="OSW22" t="s">
        <v>11079</v>
      </c>
      <c r="OSX22" t="s">
        <v>11080</v>
      </c>
      <c r="OSY22" t="s">
        <v>11081</v>
      </c>
      <c r="OSZ22" t="s">
        <v>11082</v>
      </c>
      <c r="OTA22" t="s">
        <v>11083</v>
      </c>
      <c r="OTB22" t="s">
        <v>11084</v>
      </c>
      <c r="OTC22" t="s">
        <v>11085</v>
      </c>
      <c r="OTD22" t="s">
        <v>11086</v>
      </c>
      <c r="OTE22" t="s">
        <v>11087</v>
      </c>
      <c r="OTF22" t="s">
        <v>11088</v>
      </c>
      <c r="OTG22" t="s">
        <v>11089</v>
      </c>
      <c r="OTH22" t="s">
        <v>11090</v>
      </c>
      <c r="OTI22" t="s">
        <v>11091</v>
      </c>
      <c r="OTJ22" t="s">
        <v>11092</v>
      </c>
      <c r="OTK22" t="s">
        <v>11093</v>
      </c>
      <c r="OTL22" t="s">
        <v>11094</v>
      </c>
      <c r="OTM22" t="s">
        <v>11095</v>
      </c>
      <c r="OTN22" t="s">
        <v>11096</v>
      </c>
      <c r="OTO22" t="s">
        <v>11097</v>
      </c>
      <c r="OTP22" t="s">
        <v>11098</v>
      </c>
      <c r="OTQ22" t="s">
        <v>11099</v>
      </c>
      <c r="OTR22" t="s">
        <v>11100</v>
      </c>
      <c r="OTS22" t="s">
        <v>11101</v>
      </c>
      <c r="OTT22" t="s">
        <v>11102</v>
      </c>
      <c r="OTU22" t="s">
        <v>11103</v>
      </c>
      <c r="OTV22" t="s">
        <v>11104</v>
      </c>
      <c r="OTW22" t="s">
        <v>11105</v>
      </c>
      <c r="OTX22" t="s">
        <v>11106</v>
      </c>
      <c r="OTY22" t="s">
        <v>11107</v>
      </c>
      <c r="OTZ22" t="s">
        <v>11108</v>
      </c>
      <c r="OUA22" t="s">
        <v>11109</v>
      </c>
      <c r="OUB22" t="s">
        <v>11110</v>
      </c>
      <c r="OUC22" t="s">
        <v>11111</v>
      </c>
      <c r="OUD22" t="s">
        <v>11112</v>
      </c>
      <c r="OUE22" t="s">
        <v>11113</v>
      </c>
      <c r="OUF22" t="s">
        <v>11114</v>
      </c>
      <c r="OUG22" t="s">
        <v>11115</v>
      </c>
      <c r="OUH22" t="s">
        <v>11116</v>
      </c>
      <c r="OUI22" t="s">
        <v>11117</v>
      </c>
      <c r="OUJ22" t="s">
        <v>11118</v>
      </c>
      <c r="OUK22" t="s">
        <v>11119</v>
      </c>
      <c r="OUL22" t="s">
        <v>11120</v>
      </c>
      <c r="OUM22" t="s">
        <v>11121</v>
      </c>
      <c r="OUN22" t="s">
        <v>11122</v>
      </c>
      <c r="OUO22" t="s">
        <v>11123</v>
      </c>
      <c r="OUP22" t="s">
        <v>11124</v>
      </c>
      <c r="OUQ22" t="s">
        <v>11125</v>
      </c>
      <c r="OUR22" t="s">
        <v>11126</v>
      </c>
      <c r="OUS22" t="s">
        <v>11127</v>
      </c>
      <c r="OUT22" t="s">
        <v>11128</v>
      </c>
      <c r="OUU22" t="s">
        <v>11129</v>
      </c>
      <c r="OUV22" t="s">
        <v>11130</v>
      </c>
      <c r="OUW22" t="s">
        <v>11131</v>
      </c>
      <c r="OUX22" t="s">
        <v>11132</v>
      </c>
      <c r="OUY22" t="s">
        <v>11133</v>
      </c>
      <c r="OUZ22" t="s">
        <v>11134</v>
      </c>
      <c r="OVA22" t="s">
        <v>11135</v>
      </c>
      <c r="OVB22" t="s">
        <v>11136</v>
      </c>
      <c r="OVC22" t="s">
        <v>11137</v>
      </c>
      <c r="OVD22" t="s">
        <v>11138</v>
      </c>
      <c r="OVE22" t="s">
        <v>11139</v>
      </c>
      <c r="OVF22" t="s">
        <v>11140</v>
      </c>
      <c r="OVG22" t="s">
        <v>11141</v>
      </c>
      <c r="OVH22" t="s">
        <v>11142</v>
      </c>
      <c r="OVI22" t="s">
        <v>11143</v>
      </c>
      <c r="OVJ22" t="s">
        <v>11144</v>
      </c>
      <c r="OVK22" t="s">
        <v>11145</v>
      </c>
      <c r="OVL22" t="s">
        <v>11146</v>
      </c>
      <c r="OVM22" t="s">
        <v>11147</v>
      </c>
      <c r="OVN22" t="s">
        <v>11148</v>
      </c>
      <c r="OVO22" t="s">
        <v>11149</v>
      </c>
      <c r="OVP22" t="s">
        <v>11150</v>
      </c>
      <c r="OVQ22" t="s">
        <v>11151</v>
      </c>
      <c r="OVR22" t="s">
        <v>11152</v>
      </c>
      <c r="OVS22" t="s">
        <v>11153</v>
      </c>
      <c r="OVT22" t="s">
        <v>11154</v>
      </c>
      <c r="OVU22" t="s">
        <v>11155</v>
      </c>
      <c r="OVV22" t="s">
        <v>11156</v>
      </c>
      <c r="OVW22" t="s">
        <v>11157</v>
      </c>
      <c r="OVX22" t="s">
        <v>11158</v>
      </c>
      <c r="OVY22" t="s">
        <v>11159</v>
      </c>
      <c r="OVZ22" t="s">
        <v>11160</v>
      </c>
      <c r="OWA22" t="s">
        <v>11161</v>
      </c>
      <c r="OWB22" t="s">
        <v>11162</v>
      </c>
      <c r="OWC22" t="s">
        <v>11163</v>
      </c>
      <c r="OWD22" t="s">
        <v>11164</v>
      </c>
      <c r="OWE22" t="s">
        <v>11165</v>
      </c>
      <c r="OWF22" t="s">
        <v>11166</v>
      </c>
      <c r="OWG22" t="s">
        <v>11167</v>
      </c>
      <c r="OWH22" t="s">
        <v>11168</v>
      </c>
      <c r="OWI22" t="s">
        <v>11169</v>
      </c>
      <c r="OWJ22" t="s">
        <v>11170</v>
      </c>
      <c r="OWK22" t="s">
        <v>11171</v>
      </c>
      <c r="OWL22" t="s">
        <v>11172</v>
      </c>
      <c r="OWM22" t="s">
        <v>11173</v>
      </c>
      <c r="OWN22" t="s">
        <v>11174</v>
      </c>
      <c r="OWO22" t="s">
        <v>11175</v>
      </c>
      <c r="OWP22" t="s">
        <v>11176</v>
      </c>
      <c r="OWQ22" t="s">
        <v>11177</v>
      </c>
      <c r="OWR22" t="s">
        <v>11178</v>
      </c>
      <c r="OWS22" t="s">
        <v>11179</v>
      </c>
      <c r="OWT22" t="s">
        <v>11180</v>
      </c>
      <c r="OWU22" t="s">
        <v>11181</v>
      </c>
      <c r="OWV22" t="s">
        <v>11182</v>
      </c>
      <c r="OWW22" t="s">
        <v>11183</v>
      </c>
      <c r="OWX22" t="s">
        <v>11184</v>
      </c>
      <c r="OWY22" t="s">
        <v>11185</v>
      </c>
      <c r="OWZ22" t="s">
        <v>11186</v>
      </c>
      <c r="OXA22" t="s">
        <v>11187</v>
      </c>
      <c r="OXB22" t="s">
        <v>11188</v>
      </c>
      <c r="OXC22" t="s">
        <v>11189</v>
      </c>
      <c r="OXD22" t="s">
        <v>11190</v>
      </c>
      <c r="OXE22" t="s">
        <v>11191</v>
      </c>
      <c r="OXF22" t="s">
        <v>11192</v>
      </c>
      <c r="OXG22" t="s">
        <v>11193</v>
      </c>
      <c r="OXH22" t="s">
        <v>11194</v>
      </c>
      <c r="OXI22" t="s">
        <v>11195</v>
      </c>
      <c r="OXJ22" t="s">
        <v>11196</v>
      </c>
      <c r="OXK22" t="s">
        <v>11197</v>
      </c>
      <c r="OXL22" t="s">
        <v>11198</v>
      </c>
      <c r="OXM22" t="s">
        <v>11199</v>
      </c>
      <c r="OXN22" t="s">
        <v>11200</v>
      </c>
      <c r="OXO22" t="s">
        <v>11201</v>
      </c>
      <c r="OXP22" t="s">
        <v>11202</v>
      </c>
      <c r="OXQ22" t="s">
        <v>11203</v>
      </c>
      <c r="OXR22" t="s">
        <v>11204</v>
      </c>
      <c r="OXS22" t="s">
        <v>11205</v>
      </c>
      <c r="OXT22" t="s">
        <v>11206</v>
      </c>
      <c r="OXU22" t="s">
        <v>11207</v>
      </c>
      <c r="OXV22" t="s">
        <v>11208</v>
      </c>
      <c r="OXW22" t="s">
        <v>11209</v>
      </c>
      <c r="OXX22" t="s">
        <v>11210</v>
      </c>
      <c r="OXY22" t="s">
        <v>11211</v>
      </c>
      <c r="OXZ22" t="s">
        <v>11212</v>
      </c>
      <c r="OYA22" t="s">
        <v>11213</v>
      </c>
      <c r="OYB22" t="s">
        <v>11214</v>
      </c>
      <c r="OYC22" t="s">
        <v>11215</v>
      </c>
      <c r="OYD22" t="s">
        <v>11216</v>
      </c>
      <c r="OYE22" t="s">
        <v>11217</v>
      </c>
      <c r="OYF22" t="s">
        <v>11218</v>
      </c>
      <c r="OYG22" t="s">
        <v>11219</v>
      </c>
      <c r="OYH22" t="s">
        <v>11220</v>
      </c>
      <c r="OYI22" t="s">
        <v>11221</v>
      </c>
      <c r="OYJ22" t="s">
        <v>11222</v>
      </c>
      <c r="OYK22" t="s">
        <v>11223</v>
      </c>
      <c r="OYL22" t="s">
        <v>11224</v>
      </c>
      <c r="OYM22" t="s">
        <v>11225</v>
      </c>
      <c r="OYN22" t="s">
        <v>11226</v>
      </c>
      <c r="OYO22" t="s">
        <v>11227</v>
      </c>
      <c r="OYP22" t="s">
        <v>11228</v>
      </c>
      <c r="OYQ22" t="s">
        <v>11229</v>
      </c>
      <c r="OYR22" t="s">
        <v>11230</v>
      </c>
      <c r="OYS22" t="s">
        <v>11231</v>
      </c>
      <c r="OYT22" t="s">
        <v>11232</v>
      </c>
      <c r="OYU22" t="s">
        <v>11233</v>
      </c>
      <c r="OYV22" t="s">
        <v>11234</v>
      </c>
      <c r="OYW22" t="s">
        <v>11235</v>
      </c>
      <c r="OYX22" t="s">
        <v>11236</v>
      </c>
      <c r="OYY22" t="s">
        <v>11237</v>
      </c>
      <c r="OYZ22" t="s">
        <v>11238</v>
      </c>
      <c r="OZA22" t="s">
        <v>11239</v>
      </c>
      <c r="OZB22" t="s">
        <v>11240</v>
      </c>
      <c r="OZC22" t="s">
        <v>11241</v>
      </c>
      <c r="OZD22" t="s">
        <v>11242</v>
      </c>
      <c r="OZE22" t="s">
        <v>11243</v>
      </c>
      <c r="OZF22" t="s">
        <v>11244</v>
      </c>
      <c r="OZG22" t="s">
        <v>11245</v>
      </c>
      <c r="OZH22" t="s">
        <v>11246</v>
      </c>
      <c r="OZI22" t="s">
        <v>11247</v>
      </c>
      <c r="OZJ22" t="s">
        <v>11248</v>
      </c>
      <c r="OZK22" t="s">
        <v>11249</v>
      </c>
      <c r="OZL22" t="s">
        <v>11250</v>
      </c>
      <c r="OZM22" t="s">
        <v>11251</v>
      </c>
      <c r="OZN22" t="s">
        <v>11252</v>
      </c>
      <c r="OZO22" t="s">
        <v>11253</v>
      </c>
      <c r="OZP22" t="s">
        <v>11254</v>
      </c>
      <c r="OZQ22" t="s">
        <v>11255</v>
      </c>
      <c r="OZR22" t="s">
        <v>11256</v>
      </c>
      <c r="OZS22" t="s">
        <v>11257</v>
      </c>
      <c r="OZT22" t="s">
        <v>11258</v>
      </c>
      <c r="OZU22" t="s">
        <v>11259</v>
      </c>
      <c r="OZV22" t="s">
        <v>11260</v>
      </c>
      <c r="OZW22" t="s">
        <v>11261</v>
      </c>
      <c r="OZX22" t="s">
        <v>11262</v>
      </c>
      <c r="OZY22" t="s">
        <v>11263</v>
      </c>
      <c r="OZZ22" t="s">
        <v>11264</v>
      </c>
      <c r="PAA22" t="s">
        <v>11265</v>
      </c>
      <c r="PAB22" t="s">
        <v>11266</v>
      </c>
      <c r="PAC22" t="s">
        <v>11267</v>
      </c>
      <c r="PAD22" t="s">
        <v>11268</v>
      </c>
      <c r="PAE22" t="s">
        <v>11269</v>
      </c>
      <c r="PAF22" t="s">
        <v>11270</v>
      </c>
      <c r="PAG22" t="s">
        <v>11271</v>
      </c>
      <c r="PAH22" t="s">
        <v>11272</v>
      </c>
      <c r="PAI22" t="s">
        <v>11273</v>
      </c>
      <c r="PAJ22" t="s">
        <v>11274</v>
      </c>
      <c r="PAK22" t="s">
        <v>11275</v>
      </c>
      <c r="PAL22" t="s">
        <v>11276</v>
      </c>
      <c r="PAM22" t="s">
        <v>11277</v>
      </c>
      <c r="PAN22" t="s">
        <v>11278</v>
      </c>
      <c r="PAO22" t="s">
        <v>11279</v>
      </c>
      <c r="PAP22" t="s">
        <v>11280</v>
      </c>
      <c r="PAQ22" t="s">
        <v>11281</v>
      </c>
      <c r="PAR22" t="s">
        <v>11282</v>
      </c>
      <c r="PAS22" t="s">
        <v>11283</v>
      </c>
      <c r="PAT22" t="s">
        <v>11284</v>
      </c>
      <c r="PAU22" t="s">
        <v>11285</v>
      </c>
      <c r="PAV22" t="s">
        <v>11286</v>
      </c>
      <c r="PAW22" t="s">
        <v>11287</v>
      </c>
      <c r="PAX22" t="s">
        <v>11288</v>
      </c>
      <c r="PAY22" t="s">
        <v>11289</v>
      </c>
      <c r="PAZ22" t="s">
        <v>11290</v>
      </c>
      <c r="PBA22" t="s">
        <v>11291</v>
      </c>
      <c r="PBB22" t="s">
        <v>11292</v>
      </c>
      <c r="PBC22" t="s">
        <v>11293</v>
      </c>
      <c r="PBD22" t="s">
        <v>11294</v>
      </c>
      <c r="PBE22" t="s">
        <v>11295</v>
      </c>
      <c r="PBF22" t="s">
        <v>11296</v>
      </c>
      <c r="PBG22" t="s">
        <v>11297</v>
      </c>
      <c r="PBH22" t="s">
        <v>11298</v>
      </c>
      <c r="PBI22" t="s">
        <v>11299</v>
      </c>
      <c r="PBJ22" t="s">
        <v>11300</v>
      </c>
      <c r="PBK22" t="s">
        <v>11301</v>
      </c>
      <c r="PBL22" t="s">
        <v>11302</v>
      </c>
      <c r="PBM22" t="s">
        <v>11303</v>
      </c>
      <c r="PBN22" t="s">
        <v>11304</v>
      </c>
      <c r="PBO22" t="s">
        <v>11305</v>
      </c>
      <c r="PBP22" t="s">
        <v>11306</v>
      </c>
      <c r="PBQ22" t="s">
        <v>11307</v>
      </c>
      <c r="PBR22" t="s">
        <v>11308</v>
      </c>
      <c r="PBS22" t="s">
        <v>11309</v>
      </c>
      <c r="PBT22" t="s">
        <v>11310</v>
      </c>
      <c r="PBU22" t="s">
        <v>11311</v>
      </c>
      <c r="PBV22" t="s">
        <v>11312</v>
      </c>
      <c r="PBW22" t="s">
        <v>11313</v>
      </c>
      <c r="PBX22" t="s">
        <v>11314</v>
      </c>
      <c r="PBY22" t="s">
        <v>11315</v>
      </c>
      <c r="PBZ22" t="s">
        <v>11316</v>
      </c>
      <c r="PCA22" t="s">
        <v>11317</v>
      </c>
      <c r="PCB22" t="s">
        <v>11318</v>
      </c>
      <c r="PCC22" t="s">
        <v>11319</v>
      </c>
      <c r="PCD22" t="s">
        <v>11320</v>
      </c>
      <c r="PCE22" t="s">
        <v>11321</v>
      </c>
      <c r="PCF22" t="s">
        <v>11322</v>
      </c>
      <c r="PCG22" t="s">
        <v>11323</v>
      </c>
      <c r="PCH22" t="s">
        <v>11324</v>
      </c>
      <c r="PCI22" t="s">
        <v>11325</v>
      </c>
      <c r="PCJ22" t="s">
        <v>11326</v>
      </c>
      <c r="PCK22" t="s">
        <v>11327</v>
      </c>
      <c r="PCL22" t="s">
        <v>11328</v>
      </c>
      <c r="PCM22" t="s">
        <v>11329</v>
      </c>
      <c r="PCN22" t="s">
        <v>11330</v>
      </c>
      <c r="PCO22" t="s">
        <v>11331</v>
      </c>
      <c r="PCP22" t="s">
        <v>11332</v>
      </c>
      <c r="PCQ22" t="s">
        <v>11333</v>
      </c>
      <c r="PCR22" t="s">
        <v>11334</v>
      </c>
      <c r="PCS22" t="s">
        <v>11335</v>
      </c>
      <c r="PCT22" t="s">
        <v>11336</v>
      </c>
      <c r="PCU22" t="s">
        <v>11337</v>
      </c>
      <c r="PCV22" t="s">
        <v>11338</v>
      </c>
      <c r="PCW22" t="s">
        <v>11339</v>
      </c>
      <c r="PCX22" t="s">
        <v>11340</v>
      </c>
      <c r="PCY22" t="s">
        <v>11341</v>
      </c>
      <c r="PCZ22" t="s">
        <v>11342</v>
      </c>
      <c r="PDA22" t="s">
        <v>11343</v>
      </c>
      <c r="PDB22" t="s">
        <v>11344</v>
      </c>
      <c r="PDC22" t="s">
        <v>11345</v>
      </c>
      <c r="PDD22" t="s">
        <v>11346</v>
      </c>
      <c r="PDE22" t="s">
        <v>11347</v>
      </c>
      <c r="PDF22" t="s">
        <v>11348</v>
      </c>
      <c r="PDG22" t="s">
        <v>11349</v>
      </c>
      <c r="PDH22" t="s">
        <v>11350</v>
      </c>
      <c r="PDI22" t="s">
        <v>11351</v>
      </c>
      <c r="PDJ22" t="s">
        <v>11352</v>
      </c>
      <c r="PDK22" t="s">
        <v>11353</v>
      </c>
      <c r="PDL22" t="s">
        <v>11354</v>
      </c>
      <c r="PDM22" t="s">
        <v>11355</v>
      </c>
      <c r="PDN22" t="s">
        <v>11356</v>
      </c>
      <c r="PDO22" t="s">
        <v>11357</v>
      </c>
      <c r="PDP22" t="s">
        <v>11358</v>
      </c>
      <c r="PDQ22" t="s">
        <v>11359</v>
      </c>
      <c r="PDR22" t="s">
        <v>11360</v>
      </c>
      <c r="PDS22" t="s">
        <v>11361</v>
      </c>
      <c r="PDT22" t="s">
        <v>11362</v>
      </c>
      <c r="PDU22" t="s">
        <v>11363</v>
      </c>
      <c r="PDV22" t="s">
        <v>11364</v>
      </c>
      <c r="PDW22" t="s">
        <v>11365</v>
      </c>
      <c r="PDX22" t="s">
        <v>11366</v>
      </c>
      <c r="PDY22" t="s">
        <v>11367</v>
      </c>
      <c r="PDZ22" t="s">
        <v>11368</v>
      </c>
      <c r="PEA22" t="s">
        <v>11369</v>
      </c>
      <c r="PEB22" t="s">
        <v>11370</v>
      </c>
      <c r="PEC22" t="s">
        <v>11371</v>
      </c>
      <c r="PED22" t="s">
        <v>11372</v>
      </c>
      <c r="PEE22" t="s">
        <v>11373</v>
      </c>
      <c r="PEF22" t="s">
        <v>11374</v>
      </c>
      <c r="PEG22" t="s">
        <v>11375</v>
      </c>
      <c r="PEH22" t="s">
        <v>11376</v>
      </c>
      <c r="PEI22" t="s">
        <v>11377</v>
      </c>
      <c r="PEJ22" t="s">
        <v>11378</v>
      </c>
      <c r="PEK22" t="s">
        <v>11379</v>
      </c>
      <c r="PEL22" t="s">
        <v>11380</v>
      </c>
      <c r="PEM22" t="s">
        <v>11381</v>
      </c>
      <c r="PEN22" t="s">
        <v>11382</v>
      </c>
      <c r="PEO22" t="s">
        <v>11383</v>
      </c>
      <c r="PEP22" t="s">
        <v>11384</v>
      </c>
      <c r="PEQ22" t="s">
        <v>11385</v>
      </c>
      <c r="PER22" t="s">
        <v>11386</v>
      </c>
      <c r="PES22" t="s">
        <v>11387</v>
      </c>
      <c r="PET22" t="s">
        <v>11388</v>
      </c>
      <c r="PEU22" t="s">
        <v>11389</v>
      </c>
      <c r="PEV22" t="s">
        <v>11390</v>
      </c>
      <c r="PEW22" t="s">
        <v>11391</v>
      </c>
      <c r="PEX22" t="s">
        <v>11392</v>
      </c>
      <c r="PEY22" t="s">
        <v>11393</v>
      </c>
      <c r="PEZ22" t="s">
        <v>11394</v>
      </c>
      <c r="PFA22" t="s">
        <v>11395</v>
      </c>
      <c r="PFB22" t="s">
        <v>11396</v>
      </c>
      <c r="PFC22" t="s">
        <v>11397</v>
      </c>
      <c r="PFD22" t="s">
        <v>11398</v>
      </c>
      <c r="PFE22" t="s">
        <v>11399</v>
      </c>
      <c r="PFF22" t="s">
        <v>11400</v>
      </c>
      <c r="PFG22" t="s">
        <v>11401</v>
      </c>
      <c r="PFH22" t="s">
        <v>11402</v>
      </c>
      <c r="PFI22" t="s">
        <v>11403</v>
      </c>
      <c r="PFJ22" t="s">
        <v>11404</v>
      </c>
      <c r="PFK22" t="s">
        <v>11405</v>
      </c>
      <c r="PFL22" t="s">
        <v>11406</v>
      </c>
      <c r="PFM22" t="s">
        <v>11407</v>
      </c>
      <c r="PFN22" t="s">
        <v>11408</v>
      </c>
      <c r="PFO22" t="s">
        <v>11409</v>
      </c>
      <c r="PFP22" t="s">
        <v>11410</v>
      </c>
      <c r="PFQ22" t="s">
        <v>11411</v>
      </c>
      <c r="PFR22" t="s">
        <v>11412</v>
      </c>
      <c r="PFS22" t="s">
        <v>11413</v>
      </c>
      <c r="PFT22" t="s">
        <v>11414</v>
      </c>
      <c r="PFU22" t="s">
        <v>11415</v>
      </c>
      <c r="PFV22" t="s">
        <v>11416</v>
      </c>
      <c r="PFW22" t="s">
        <v>11417</v>
      </c>
      <c r="PFX22" t="s">
        <v>11418</v>
      </c>
      <c r="PFY22" t="s">
        <v>11419</v>
      </c>
      <c r="PFZ22" t="s">
        <v>11420</v>
      </c>
      <c r="PGA22" t="s">
        <v>11421</v>
      </c>
      <c r="PGB22" t="s">
        <v>11422</v>
      </c>
      <c r="PGC22" t="s">
        <v>11423</v>
      </c>
      <c r="PGD22" t="s">
        <v>11424</v>
      </c>
      <c r="PGE22" t="s">
        <v>11425</v>
      </c>
      <c r="PGF22" t="s">
        <v>11426</v>
      </c>
      <c r="PGG22" t="s">
        <v>11427</v>
      </c>
      <c r="PGH22" t="s">
        <v>11428</v>
      </c>
      <c r="PGI22" t="s">
        <v>11429</v>
      </c>
      <c r="PGJ22" t="s">
        <v>11430</v>
      </c>
      <c r="PGK22" t="s">
        <v>11431</v>
      </c>
      <c r="PGL22" t="s">
        <v>11432</v>
      </c>
      <c r="PGM22" t="s">
        <v>11433</v>
      </c>
      <c r="PGN22" t="s">
        <v>11434</v>
      </c>
      <c r="PGO22" t="s">
        <v>11435</v>
      </c>
      <c r="PGP22" t="s">
        <v>11436</v>
      </c>
      <c r="PGQ22" t="s">
        <v>11437</v>
      </c>
      <c r="PGR22" t="s">
        <v>11438</v>
      </c>
      <c r="PGS22" t="s">
        <v>11439</v>
      </c>
      <c r="PGT22" t="s">
        <v>11440</v>
      </c>
      <c r="PGU22" t="s">
        <v>11441</v>
      </c>
      <c r="PGV22" t="s">
        <v>11442</v>
      </c>
      <c r="PGW22" t="s">
        <v>11443</v>
      </c>
      <c r="PGX22" t="s">
        <v>11444</v>
      </c>
      <c r="PGY22" t="s">
        <v>11445</v>
      </c>
      <c r="PGZ22" t="s">
        <v>11446</v>
      </c>
      <c r="PHA22" t="s">
        <v>11447</v>
      </c>
      <c r="PHB22" t="s">
        <v>11448</v>
      </c>
      <c r="PHC22" t="s">
        <v>11449</v>
      </c>
      <c r="PHD22" t="s">
        <v>11450</v>
      </c>
      <c r="PHE22" t="s">
        <v>11451</v>
      </c>
      <c r="PHF22" t="s">
        <v>11452</v>
      </c>
      <c r="PHG22" t="s">
        <v>11453</v>
      </c>
      <c r="PHH22" t="s">
        <v>11454</v>
      </c>
      <c r="PHI22" t="s">
        <v>11455</v>
      </c>
      <c r="PHJ22" t="s">
        <v>11456</v>
      </c>
      <c r="PHK22" t="s">
        <v>11457</v>
      </c>
      <c r="PHL22" t="s">
        <v>11458</v>
      </c>
      <c r="PHM22" t="s">
        <v>11459</v>
      </c>
      <c r="PHN22" t="s">
        <v>11460</v>
      </c>
      <c r="PHO22" t="s">
        <v>11461</v>
      </c>
      <c r="PHP22" t="s">
        <v>11462</v>
      </c>
      <c r="PHQ22" t="s">
        <v>11463</v>
      </c>
      <c r="PHR22" t="s">
        <v>11464</v>
      </c>
      <c r="PHS22" t="s">
        <v>11465</v>
      </c>
      <c r="PHT22" t="s">
        <v>11466</v>
      </c>
      <c r="PHU22" t="s">
        <v>11467</v>
      </c>
      <c r="PHV22" t="s">
        <v>11468</v>
      </c>
      <c r="PHW22" t="s">
        <v>11469</v>
      </c>
      <c r="PHX22" t="s">
        <v>11470</v>
      </c>
      <c r="PHY22" t="s">
        <v>11471</v>
      </c>
      <c r="PHZ22" t="s">
        <v>11472</v>
      </c>
      <c r="PIA22" t="s">
        <v>11473</v>
      </c>
      <c r="PIB22" t="s">
        <v>11474</v>
      </c>
      <c r="PIC22" t="s">
        <v>11475</v>
      </c>
      <c r="PID22" t="s">
        <v>11476</v>
      </c>
      <c r="PIE22" t="s">
        <v>11477</v>
      </c>
      <c r="PIF22" t="s">
        <v>11478</v>
      </c>
      <c r="PIG22" t="s">
        <v>11479</v>
      </c>
      <c r="PIH22" t="s">
        <v>11480</v>
      </c>
      <c r="PII22" t="s">
        <v>11481</v>
      </c>
      <c r="PIJ22" t="s">
        <v>11482</v>
      </c>
      <c r="PIK22" t="s">
        <v>11483</v>
      </c>
      <c r="PIL22" t="s">
        <v>11484</v>
      </c>
      <c r="PIM22" t="s">
        <v>11485</v>
      </c>
      <c r="PIN22" t="s">
        <v>11486</v>
      </c>
      <c r="PIO22" t="s">
        <v>11487</v>
      </c>
      <c r="PIP22" t="s">
        <v>11488</v>
      </c>
      <c r="PIQ22" t="s">
        <v>11489</v>
      </c>
      <c r="PIR22" t="s">
        <v>11490</v>
      </c>
      <c r="PIS22" t="s">
        <v>11491</v>
      </c>
      <c r="PIT22" t="s">
        <v>11492</v>
      </c>
      <c r="PIU22" t="s">
        <v>11493</v>
      </c>
      <c r="PIV22" t="s">
        <v>11494</v>
      </c>
      <c r="PIW22" t="s">
        <v>11495</v>
      </c>
      <c r="PIX22" t="s">
        <v>11496</v>
      </c>
      <c r="PIY22" t="s">
        <v>11497</v>
      </c>
      <c r="PIZ22" t="s">
        <v>11498</v>
      </c>
      <c r="PJA22" t="s">
        <v>11499</v>
      </c>
      <c r="PJB22" t="s">
        <v>11500</v>
      </c>
      <c r="PJC22" t="s">
        <v>11501</v>
      </c>
      <c r="PJD22" t="s">
        <v>11502</v>
      </c>
      <c r="PJE22" t="s">
        <v>11503</v>
      </c>
      <c r="PJF22" t="s">
        <v>11504</v>
      </c>
      <c r="PJG22" t="s">
        <v>11505</v>
      </c>
      <c r="PJH22" t="s">
        <v>11506</v>
      </c>
      <c r="PJI22" t="s">
        <v>11507</v>
      </c>
      <c r="PJJ22" t="s">
        <v>11508</v>
      </c>
      <c r="PJK22" t="s">
        <v>11509</v>
      </c>
      <c r="PJL22" t="s">
        <v>11510</v>
      </c>
      <c r="PJM22" t="s">
        <v>11511</v>
      </c>
      <c r="PJN22" t="s">
        <v>11512</v>
      </c>
      <c r="PJO22" t="s">
        <v>11513</v>
      </c>
      <c r="PJP22" t="s">
        <v>11514</v>
      </c>
      <c r="PJQ22" t="s">
        <v>11515</v>
      </c>
      <c r="PJR22" t="s">
        <v>11516</v>
      </c>
      <c r="PJS22" t="s">
        <v>11517</v>
      </c>
      <c r="PJT22" t="s">
        <v>11518</v>
      </c>
      <c r="PJU22" t="s">
        <v>11519</v>
      </c>
      <c r="PJV22" t="s">
        <v>11520</v>
      </c>
      <c r="PJW22" t="s">
        <v>11521</v>
      </c>
      <c r="PJX22" t="s">
        <v>11522</v>
      </c>
      <c r="PJY22" t="s">
        <v>11523</v>
      </c>
      <c r="PJZ22" t="s">
        <v>11524</v>
      </c>
      <c r="PKA22" t="s">
        <v>11525</v>
      </c>
      <c r="PKB22" t="s">
        <v>11526</v>
      </c>
      <c r="PKC22" t="s">
        <v>11527</v>
      </c>
      <c r="PKD22" t="s">
        <v>11528</v>
      </c>
      <c r="PKE22" t="s">
        <v>11529</v>
      </c>
      <c r="PKF22" t="s">
        <v>11530</v>
      </c>
      <c r="PKG22" t="s">
        <v>11531</v>
      </c>
      <c r="PKH22" t="s">
        <v>11532</v>
      </c>
      <c r="PKI22" t="s">
        <v>11533</v>
      </c>
      <c r="PKJ22" t="s">
        <v>11534</v>
      </c>
      <c r="PKK22" t="s">
        <v>11535</v>
      </c>
      <c r="PKL22" t="s">
        <v>11536</v>
      </c>
      <c r="PKM22" t="s">
        <v>11537</v>
      </c>
      <c r="PKN22" t="s">
        <v>11538</v>
      </c>
      <c r="PKO22" t="s">
        <v>11539</v>
      </c>
      <c r="PKP22" t="s">
        <v>11540</v>
      </c>
      <c r="PKQ22" t="s">
        <v>11541</v>
      </c>
      <c r="PKR22" t="s">
        <v>11542</v>
      </c>
      <c r="PKS22" t="s">
        <v>11543</v>
      </c>
      <c r="PKT22" t="s">
        <v>11544</v>
      </c>
      <c r="PKU22" t="s">
        <v>11545</v>
      </c>
      <c r="PKV22" t="s">
        <v>11546</v>
      </c>
      <c r="PKW22" t="s">
        <v>11547</v>
      </c>
      <c r="PKX22" t="s">
        <v>11548</v>
      </c>
      <c r="PKY22" t="s">
        <v>11549</v>
      </c>
      <c r="PKZ22" t="s">
        <v>11550</v>
      </c>
      <c r="PLA22" t="s">
        <v>11551</v>
      </c>
      <c r="PLB22" t="s">
        <v>11552</v>
      </c>
      <c r="PLC22" t="s">
        <v>11553</v>
      </c>
      <c r="PLD22" t="s">
        <v>11554</v>
      </c>
      <c r="PLE22" t="s">
        <v>11555</v>
      </c>
      <c r="PLF22" t="s">
        <v>11556</v>
      </c>
      <c r="PLG22" t="s">
        <v>11557</v>
      </c>
      <c r="PLH22" t="s">
        <v>11558</v>
      </c>
      <c r="PLI22" t="s">
        <v>11559</v>
      </c>
      <c r="PLJ22" t="s">
        <v>11560</v>
      </c>
      <c r="PLK22" t="s">
        <v>11561</v>
      </c>
      <c r="PLL22" t="s">
        <v>11562</v>
      </c>
      <c r="PLM22" t="s">
        <v>11563</v>
      </c>
      <c r="PLN22" t="s">
        <v>11564</v>
      </c>
      <c r="PLO22" t="s">
        <v>11565</v>
      </c>
      <c r="PLP22" t="s">
        <v>11566</v>
      </c>
      <c r="PLQ22" t="s">
        <v>11567</v>
      </c>
      <c r="PLR22" t="s">
        <v>11568</v>
      </c>
      <c r="PLS22" t="s">
        <v>11569</v>
      </c>
      <c r="PLT22" t="s">
        <v>11570</v>
      </c>
      <c r="PLU22" t="s">
        <v>11571</v>
      </c>
      <c r="PLV22" t="s">
        <v>11572</v>
      </c>
      <c r="PLW22" t="s">
        <v>11573</v>
      </c>
      <c r="PLX22" t="s">
        <v>11574</v>
      </c>
      <c r="PLY22" t="s">
        <v>11575</v>
      </c>
      <c r="PLZ22" t="s">
        <v>11576</v>
      </c>
      <c r="PMA22" t="s">
        <v>11577</v>
      </c>
      <c r="PMB22" t="s">
        <v>11578</v>
      </c>
      <c r="PMC22" t="s">
        <v>11579</v>
      </c>
      <c r="PMD22" t="s">
        <v>11580</v>
      </c>
      <c r="PME22" t="s">
        <v>11581</v>
      </c>
      <c r="PMF22" t="s">
        <v>11582</v>
      </c>
      <c r="PMG22" t="s">
        <v>11583</v>
      </c>
      <c r="PMH22" t="s">
        <v>11584</v>
      </c>
      <c r="PMI22" t="s">
        <v>11585</v>
      </c>
      <c r="PMJ22" t="s">
        <v>11586</v>
      </c>
      <c r="PMK22" t="s">
        <v>11587</v>
      </c>
      <c r="PML22" t="s">
        <v>11588</v>
      </c>
      <c r="PMM22" t="s">
        <v>11589</v>
      </c>
      <c r="PMN22" t="s">
        <v>11590</v>
      </c>
      <c r="PMO22" t="s">
        <v>11591</v>
      </c>
      <c r="PMP22" t="s">
        <v>11592</v>
      </c>
      <c r="PMQ22" t="s">
        <v>11593</v>
      </c>
      <c r="PMR22" t="s">
        <v>11594</v>
      </c>
      <c r="PMS22" t="s">
        <v>11595</v>
      </c>
      <c r="PMT22" t="s">
        <v>11596</v>
      </c>
      <c r="PMU22" t="s">
        <v>11597</v>
      </c>
      <c r="PMV22" t="s">
        <v>11598</v>
      </c>
      <c r="PMW22" t="s">
        <v>11599</v>
      </c>
      <c r="PMX22" t="s">
        <v>11600</v>
      </c>
      <c r="PMY22" t="s">
        <v>11601</v>
      </c>
      <c r="PMZ22" t="s">
        <v>11602</v>
      </c>
      <c r="PNA22" t="s">
        <v>11603</v>
      </c>
      <c r="PNB22" t="s">
        <v>11604</v>
      </c>
      <c r="PNC22" t="s">
        <v>11605</v>
      </c>
      <c r="PND22" t="s">
        <v>11606</v>
      </c>
      <c r="PNE22" t="s">
        <v>11607</v>
      </c>
      <c r="PNF22" t="s">
        <v>11608</v>
      </c>
      <c r="PNG22" t="s">
        <v>11609</v>
      </c>
      <c r="PNH22" t="s">
        <v>11610</v>
      </c>
      <c r="PNI22" t="s">
        <v>11611</v>
      </c>
      <c r="PNJ22" t="s">
        <v>11612</v>
      </c>
      <c r="PNK22" t="s">
        <v>11613</v>
      </c>
      <c r="PNL22" t="s">
        <v>11614</v>
      </c>
      <c r="PNM22" t="s">
        <v>11615</v>
      </c>
      <c r="PNN22" t="s">
        <v>11616</v>
      </c>
      <c r="PNO22" t="s">
        <v>11617</v>
      </c>
      <c r="PNP22" t="s">
        <v>11618</v>
      </c>
      <c r="PNQ22" t="s">
        <v>11619</v>
      </c>
      <c r="PNR22" t="s">
        <v>11620</v>
      </c>
      <c r="PNS22" t="s">
        <v>11621</v>
      </c>
      <c r="PNT22" t="s">
        <v>11622</v>
      </c>
      <c r="PNU22" t="s">
        <v>11623</v>
      </c>
      <c r="PNV22" t="s">
        <v>11624</v>
      </c>
      <c r="PNW22" t="s">
        <v>11625</v>
      </c>
      <c r="PNX22" t="s">
        <v>11626</v>
      </c>
      <c r="PNY22" t="s">
        <v>11627</v>
      </c>
      <c r="PNZ22" t="s">
        <v>11628</v>
      </c>
      <c r="POA22" t="s">
        <v>11629</v>
      </c>
      <c r="POB22" t="s">
        <v>11630</v>
      </c>
      <c r="POC22" t="s">
        <v>11631</v>
      </c>
      <c r="POD22" t="s">
        <v>11632</v>
      </c>
      <c r="POE22" t="s">
        <v>11633</v>
      </c>
      <c r="POF22" t="s">
        <v>11634</v>
      </c>
      <c r="POG22" t="s">
        <v>11635</v>
      </c>
      <c r="POH22" t="s">
        <v>11636</v>
      </c>
      <c r="POI22" t="s">
        <v>11637</v>
      </c>
      <c r="POJ22" t="s">
        <v>11638</v>
      </c>
      <c r="POK22" t="s">
        <v>11639</v>
      </c>
      <c r="POL22" t="s">
        <v>11640</v>
      </c>
      <c r="POM22" t="s">
        <v>11641</v>
      </c>
      <c r="PON22" t="s">
        <v>11642</v>
      </c>
      <c r="POO22" t="s">
        <v>11643</v>
      </c>
      <c r="POP22" t="s">
        <v>11644</v>
      </c>
      <c r="POQ22" t="s">
        <v>11645</v>
      </c>
      <c r="POR22" t="s">
        <v>11646</v>
      </c>
      <c r="POS22" t="s">
        <v>11647</v>
      </c>
      <c r="POT22" t="s">
        <v>11648</v>
      </c>
      <c r="POU22" t="s">
        <v>11649</v>
      </c>
      <c r="POV22" t="s">
        <v>11650</v>
      </c>
      <c r="POW22" t="s">
        <v>11651</v>
      </c>
      <c r="POX22" t="s">
        <v>11652</v>
      </c>
      <c r="POY22" t="s">
        <v>11653</v>
      </c>
      <c r="POZ22" t="s">
        <v>11654</v>
      </c>
      <c r="PPA22" t="s">
        <v>11655</v>
      </c>
      <c r="PPB22" t="s">
        <v>11656</v>
      </c>
      <c r="PPC22" t="s">
        <v>11657</v>
      </c>
      <c r="PPD22" t="s">
        <v>11658</v>
      </c>
      <c r="PPE22" t="s">
        <v>11659</v>
      </c>
      <c r="PPF22" t="s">
        <v>11660</v>
      </c>
      <c r="PPG22" t="s">
        <v>11661</v>
      </c>
      <c r="PPH22" t="s">
        <v>11662</v>
      </c>
      <c r="PPI22" t="s">
        <v>11663</v>
      </c>
      <c r="PPJ22" t="s">
        <v>11664</v>
      </c>
      <c r="PPK22" t="s">
        <v>11665</v>
      </c>
      <c r="PPL22" t="s">
        <v>11666</v>
      </c>
      <c r="PPM22" t="s">
        <v>11667</v>
      </c>
      <c r="PPN22" t="s">
        <v>11668</v>
      </c>
      <c r="PPO22" t="s">
        <v>11669</v>
      </c>
      <c r="PPP22" t="s">
        <v>11670</v>
      </c>
      <c r="PPQ22" t="s">
        <v>11671</v>
      </c>
      <c r="PPR22" t="s">
        <v>11672</v>
      </c>
      <c r="PPS22" t="s">
        <v>11673</v>
      </c>
      <c r="PPT22" t="s">
        <v>11674</v>
      </c>
      <c r="PPU22" t="s">
        <v>11675</v>
      </c>
      <c r="PPV22" t="s">
        <v>11676</v>
      </c>
      <c r="PPW22" t="s">
        <v>11677</v>
      </c>
      <c r="PPX22" t="s">
        <v>11678</v>
      </c>
      <c r="PPY22" t="s">
        <v>11679</v>
      </c>
      <c r="PPZ22" t="s">
        <v>11680</v>
      </c>
      <c r="PQA22" t="s">
        <v>11681</v>
      </c>
      <c r="PQB22" t="s">
        <v>11682</v>
      </c>
      <c r="PQC22" t="s">
        <v>11683</v>
      </c>
      <c r="PQD22" t="s">
        <v>11684</v>
      </c>
      <c r="PQE22" t="s">
        <v>11685</v>
      </c>
      <c r="PQF22" t="s">
        <v>11686</v>
      </c>
      <c r="PQG22" t="s">
        <v>11687</v>
      </c>
      <c r="PQH22" t="s">
        <v>11688</v>
      </c>
      <c r="PQI22" t="s">
        <v>11689</v>
      </c>
      <c r="PQJ22" t="s">
        <v>11690</v>
      </c>
      <c r="PQK22" t="s">
        <v>11691</v>
      </c>
      <c r="PQL22" t="s">
        <v>11692</v>
      </c>
      <c r="PQM22" t="s">
        <v>11693</v>
      </c>
      <c r="PQN22" t="s">
        <v>11694</v>
      </c>
      <c r="PQO22" t="s">
        <v>11695</v>
      </c>
      <c r="PQP22" t="s">
        <v>11696</v>
      </c>
      <c r="PQQ22" t="s">
        <v>11697</v>
      </c>
      <c r="PQR22" t="s">
        <v>11698</v>
      </c>
      <c r="PQS22" t="s">
        <v>11699</v>
      </c>
      <c r="PQT22" t="s">
        <v>11700</v>
      </c>
      <c r="PQU22" t="s">
        <v>11701</v>
      </c>
      <c r="PQV22" t="s">
        <v>11702</v>
      </c>
      <c r="PQW22" t="s">
        <v>11703</v>
      </c>
      <c r="PQX22" t="s">
        <v>11704</v>
      </c>
      <c r="PQY22" t="s">
        <v>11705</v>
      </c>
      <c r="PQZ22" t="s">
        <v>11706</v>
      </c>
      <c r="PRA22" t="s">
        <v>11707</v>
      </c>
      <c r="PRB22" t="s">
        <v>11708</v>
      </c>
      <c r="PRC22" t="s">
        <v>11709</v>
      </c>
      <c r="PRD22" t="s">
        <v>11710</v>
      </c>
      <c r="PRE22" t="s">
        <v>11711</v>
      </c>
      <c r="PRF22" t="s">
        <v>11712</v>
      </c>
      <c r="PRG22" t="s">
        <v>11713</v>
      </c>
      <c r="PRH22" t="s">
        <v>11714</v>
      </c>
      <c r="PRI22" t="s">
        <v>11715</v>
      </c>
      <c r="PRJ22" t="s">
        <v>11716</v>
      </c>
      <c r="PRK22" t="s">
        <v>11717</v>
      </c>
      <c r="PRL22" t="s">
        <v>11718</v>
      </c>
      <c r="PRM22" t="s">
        <v>11719</v>
      </c>
      <c r="PRN22" t="s">
        <v>11720</v>
      </c>
      <c r="PRO22" t="s">
        <v>11721</v>
      </c>
      <c r="PRP22" t="s">
        <v>11722</v>
      </c>
      <c r="PRQ22" t="s">
        <v>11723</v>
      </c>
      <c r="PRR22" t="s">
        <v>11724</v>
      </c>
      <c r="PRS22" t="s">
        <v>11725</v>
      </c>
      <c r="PRT22" t="s">
        <v>11726</v>
      </c>
      <c r="PRU22" t="s">
        <v>11727</v>
      </c>
      <c r="PRV22" t="s">
        <v>11728</v>
      </c>
      <c r="PRW22" t="s">
        <v>11729</v>
      </c>
      <c r="PRX22" t="s">
        <v>11730</v>
      </c>
      <c r="PRY22" t="s">
        <v>11731</v>
      </c>
      <c r="PRZ22" t="s">
        <v>11732</v>
      </c>
      <c r="PSA22" t="s">
        <v>11733</v>
      </c>
      <c r="PSB22" t="s">
        <v>11734</v>
      </c>
      <c r="PSC22" t="s">
        <v>11735</v>
      </c>
      <c r="PSD22" t="s">
        <v>11736</v>
      </c>
      <c r="PSE22" t="s">
        <v>11737</v>
      </c>
      <c r="PSF22" t="s">
        <v>11738</v>
      </c>
      <c r="PSG22" t="s">
        <v>11739</v>
      </c>
      <c r="PSH22" t="s">
        <v>11740</v>
      </c>
      <c r="PSI22" t="s">
        <v>11741</v>
      </c>
      <c r="PSJ22" t="s">
        <v>11742</v>
      </c>
      <c r="PSK22" t="s">
        <v>11743</v>
      </c>
      <c r="PSL22" t="s">
        <v>11744</v>
      </c>
      <c r="PSM22" t="s">
        <v>11745</v>
      </c>
      <c r="PSN22" t="s">
        <v>11746</v>
      </c>
      <c r="PSO22" t="s">
        <v>11747</v>
      </c>
      <c r="PSP22" t="s">
        <v>11748</v>
      </c>
      <c r="PSQ22" t="s">
        <v>11749</v>
      </c>
      <c r="PSR22" t="s">
        <v>11750</v>
      </c>
      <c r="PSS22" t="s">
        <v>11751</v>
      </c>
      <c r="PST22" t="s">
        <v>11752</v>
      </c>
      <c r="PSU22" t="s">
        <v>11753</v>
      </c>
      <c r="PSV22" t="s">
        <v>11754</v>
      </c>
      <c r="PSW22" t="s">
        <v>11755</v>
      </c>
      <c r="PSX22" t="s">
        <v>11756</v>
      </c>
      <c r="PSY22" t="s">
        <v>11757</v>
      </c>
      <c r="PSZ22" t="s">
        <v>11758</v>
      </c>
      <c r="PTA22" t="s">
        <v>11759</v>
      </c>
      <c r="PTB22" t="s">
        <v>11760</v>
      </c>
      <c r="PTC22" t="s">
        <v>11761</v>
      </c>
      <c r="PTD22" t="s">
        <v>11762</v>
      </c>
      <c r="PTE22" t="s">
        <v>11763</v>
      </c>
      <c r="PTF22" t="s">
        <v>11764</v>
      </c>
      <c r="PTG22" t="s">
        <v>11765</v>
      </c>
      <c r="PTH22" t="s">
        <v>11766</v>
      </c>
      <c r="PTI22" t="s">
        <v>11767</v>
      </c>
      <c r="PTJ22" t="s">
        <v>11768</v>
      </c>
      <c r="PTK22" t="s">
        <v>11769</v>
      </c>
      <c r="PTL22" t="s">
        <v>11770</v>
      </c>
      <c r="PTM22" t="s">
        <v>11771</v>
      </c>
      <c r="PTN22" t="s">
        <v>11772</v>
      </c>
      <c r="PTO22" t="s">
        <v>11773</v>
      </c>
      <c r="PTP22" t="s">
        <v>11774</v>
      </c>
      <c r="PTQ22" t="s">
        <v>11775</v>
      </c>
      <c r="PTR22" t="s">
        <v>11776</v>
      </c>
      <c r="PTS22" t="s">
        <v>11777</v>
      </c>
      <c r="PTT22" t="s">
        <v>11778</v>
      </c>
      <c r="PTU22" t="s">
        <v>11779</v>
      </c>
      <c r="PTV22" t="s">
        <v>11780</v>
      </c>
      <c r="PTW22" t="s">
        <v>11781</v>
      </c>
      <c r="PTX22" t="s">
        <v>11782</v>
      </c>
      <c r="PTY22" t="s">
        <v>11783</v>
      </c>
      <c r="PTZ22" t="s">
        <v>11784</v>
      </c>
      <c r="PUA22" t="s">
        <v>11785</v>
      </c>
      <c r="PUB22" t="s">
        <v>11786</v>
      </c>
      <c r="PUC22" t="s">
        <v>11787</v>
      </c>
      <c r="PUD22" t="s">
        <v>11788</v>
      </c>
      <c r="PUE22" t="s">
        <v>11789</v>
      </c>
      <c r="PUF22" t="s">
        <v>11790</v>
      </c>
      <c r="PUG22" t="s">
        <v>11791</v>
      </c>
      <c r="PUH22" t="s">
        <v>11792</v>
      </c>
      <c r="PUI22" t="s">
        <v>11793</v>
      </c>
      <c r="PUJ22" t="s">
        <v>11794</v>
      </c>
      <c r="PUK22" t="s">
        <v>11795</v>
      </c>
      <c r="PUL22" t="s">
        <v>11796</v>
      </c>
      <c r="PUM22" t="s">
        <v>11797</v>
      </c>
      <c r="PUN22" t="s">
        <v>11798</v>
      </c>
      <c r="PUO22" t="s">
        <v>11799</v>
      </c>
      <c r="PUP22" t="s">
        <v>11800</v>
      </c>
      <c r="PUQ22" t="s">
        <v>11801</v>
      </c>
      <c r="PUR22" t="s">
        <v>11802</v>
      </c>
      <c r="PUS22" t="s">
        <v>11803</v>
      </c>
      <c r="PUT22" t="s">
        <v>11804</v>
      </c>
      <c r="PUU22" t="s">
        <v>11805</v>
      </c>
      <c r="PUV22" t="s">
        <v>11806</v>
      </c>
      <c r="PUW22" t="s">
        <v>11807</v>
      </c>
      <c r="PUX22" t="s">
        <v>11808</v>
      </c>
      <c r="PUY22" t="s">
        <v>11809</v>
      </c>
      <c r="PUZ22" t="s">
        <v>11810</v>
      </c>
      <c r="PVA22" t="s">
        <v>11811</v>
      </c>
      <c r="PVB22" t="s">
        <v>11812</v>
      </c>
      <c r="PVC22" t="s">
        <v>11813</v>
      </c>
      <c r="PVD22" t="s">
        <v>11814</v>
      </c>
      <c r="PVE22" t="s">
        <v>11815</v>
      </c>
      <c r="PVF22" t="s">
        <v>11816</v>
      </c>
      <c r="PVG22" t="s">
        <v>11817</v>
      </c>
      <c r="PVH22" t="s">
        <v>11818</v>
      </c>
      <c r="PVI22" t="s">
        <v>11819</v>
      </c>
      <c r="PVJ22" t="s">
        <v>11820</v>
      </c>
      <c r="PVK22" t="s">
        <v>11821</v>
      </c>
      <c r="PVL22" t="s">
        <v>11822</v>
      </c>
      <c r="PVM22" t="s">
        <v>11823</v>
      </c>
      <c r="PVN22" t="s">
        <v>11824</v>
      </c>
      <c r="PVO22" t="s">
        <v>11825</v>
      </c>
      <c r="PVP22" t="s">
        <v>11826</v>
      </c>
      <c r="PVQ22" t="s">
        <v>11827</v>
      </c>
      <c r="PVR22" t="s">
        <v>11828</v>
      </c>
      <c r="PVS22" t="s">
        <v>11829</v>
      </c>
      <c r="PVT22" t="s">
        <v>11830</v>
      </c>
      <c r="PVU22" t="s">
        <v>11831</v>
      </c>
      <c r="PVV22" t="s">
        <v>11832</v>
      </c>
      <c r="PVW22" t="s">
        <v>11833</v>
      </c>
      <c r="PVX22" t="s">
        <v>11834</v>
      </c>
      <c r="PVY22" t="s">
        <v>11835</v>
      </c>
      <c r="PVZ22" t="s">
        <v>11836</v>
      </c>
      <c r="PWA22" t="s">
        <v>11837</v>
      </c>
      <c r="PWB22" t="s">
        <v>11838</v>
      </c>
      <c r="PWC22" t="s">
        <v>11839</v>
      </c>
      <c r="PWD22" t="s">
        <v>11840</v>
      </c>
      <c r="PWE22" t="s">
        <v>11841</v>
      </c>
      <c r="PWF22" t="s">
        <v>11842</v>
      </c>
      <c r="PWG22" t="s">
        <v>11843</v>
      </c>
      <c r="PWH22" t="s">
        <v>11844</v>
      </c>
      <c r="PWI22" t="s">
        <v>11845</v>
      </c>
      <c r="PWJ22" t="s">
        <v>11846</v>
      </c>
      <c r="PWK22" t="s">
        <v>11847</v>
      </c>
      <c r="PWL22" t="s">
        <v>11848</v>
      </c>
      <c r="PWM22" t="s">
        <v>11849</v>
      </c>
      <c r="PWN22" t="s">
        <v>11850</v>
      </c>
      <c r="PWO22" t="s">
        <v>11851</v>
      </c>
      <c r="PWP22" t="s">
        <v>11852</v>
      </c>
      <c r="PWQ22" t="s">
        <v>11853</v>
      </c>
      <c r="PWR22" t="s">
        <v>11854</v>
      </c>
      <c r="PWS22" t="s">
        <v>11855</v>
      </c>
      <c r="PWT22" t="s">
        <v>11856</v>
      </c>
      <c r="PWU22" t="s">
        <v>11857</v>
      </c>
      <c r="PWV22" t="s">
        <v>11858</v>
      </c>
      <c r="PWW22" t="s">
        <v>11859</v>
      </c>
      <c r="PWX22" t="s">
        <v>11860</v>
      </c>
      <c r="PWY22" t="s">
        <v>11861</v>
      </c>
      <c r="PWZ22" t="s">
        <v>11862</v>
      </c>
      <c r="PXA22" t="s">
        <v>11863</v>
      </c>
      <c r="PXB22" t="s">
        <v>11864</v>
      </c>
      <c r="PXC22" t="s">
        <v>11865</v>
      </c>
      <c r="PXD22" t="s">
        <v>11866</v>
      </c>
      <c r="PXE22" t="s">
        <v>11867</v>
      </c>
      <c r="PXF22" t="s">
        <v>11868</v>
      </c>
      <c r="PXG22" t="s">
        <v>11869</v>
      </c>
      <c r="PXH22" t="s">
        <v>11870</v>
      </c>
      <c r="PXI22" t="s">
        <v>11871</v>
      </c>
      <c r="PXJ22" t="s">
        <v>11872</v>
      </c>
      <c r="PXK22" t="s">
        <v>11873</v>
      </c>
      <c r="PXL22" t="s">
        <v>11874</v>
      </c>
      <c r="PXM22" t="s">
        <v>11875</v>
      </c>
      <c r="PXN22" t="s">
        <v>11876</v>
      </c>
      <c r="PXO22" t="s">
        <v>11877</v>
      </c>
      <c r="PXP22" t="s">
        <v>11878</v>
      </c>
      <c r="PXQ22" t="s">
        <v>11879</v>
      </c>
      <c r="PXR22" t="s">
        <v>11880</v>
      </c>
      <c r="PXS22" t="s">
        <v>11881</v>
      </c>
      <c r="PXT22" t="s">
        <v>11882</v>
      </c>
      <c r="PXU22" t="s">
        <v>11883</v>
      </c>
      <c r="PXV22" t="s">
        <v>11884</v>
      </c>
      <c r="PXW22" t="s">
        <v>11885</v>
      </c>
      <c r="PXX22" t="s">
        <v>11886</v>
      </c>
      <c r="PXY22" t="s">
        <v>11887</v>
      </c>
      <c r="PXZ22" t="s">
        <v>11888</v>
      </c>
      <c r="PYA22" t="s">
        <v>11889</v>
      </c>
      <c r="PYB22" t="s">
        <v>11890</v>
      </c>
      <c r="PYC22" t="s">
        <v>11891</v>
      </c>
      <c r="PYD22" t="s">
        <v>11892</v>
      </c>
      <c r="PYE22" t="s">
        <v>11893</v>
      </c>
      <c r="PYF22" t="s">
        <v>11894</v>
      </c>
      <c r="PYG22" t="s">
        <v>11895</v>
      </c>
      <c r="PYH22" t="s">
        <v>11896</v>
      </c>
      <c r="PYI22" t="s">
        <v>11897</v>
      </c>
      <c r="PYJ22" t="s">
        <v>11898</v>
      </c>
      <c r="PYK22" t="s">
        <v>11899</v>
      </c>
      <c r="PYL22" t="s">
        <v>11900</v>
      </c>
      <c r="PYM22" t="s">
        <v>11901</v>
      </c>
      <c r="PYN22" t="s">
        <v>11902</v>
      </c>
      <c r="PYO22" t="s">
        <v>11903</v>
      </c>
      <c r="PYP22" t="s">
        <v>11904</v>
      </c>
      <c r="PYQ22" t="s">
        <v>11905</v>
      </c>
      <c r="PYR22" t="s">
        <v>11906</v>
      </c>
      <c r="PYS22" t="s">
        <v>11907</v>
      </c>
      <c r="PYT22" t="s">
        <v>11908</v>
      </c>
      <c r="PYU22" t="s">
        <v>11909</v>
      </c>
      <c r="PYV22" t="s">
        <v>11910</v>
      </c>
      <c r="PYW22" t="s">
        <v>11911</v>
      </c>
      <c r="PYX22" t="s">
        <v>11912</v>
      </c>
      <c r="PYY22" t="s">
        <v>11913</v>
      </c>
      <c r="PYZ22" t="s">
        <v>11914</v>
      </c>
      <c r="PZA22" t="s">
        <v>11915</v>
      </c>
      <c r="PZB22" t="s">
        <v>11916</v>
      </c>
      <c r="PZC22" t="s">
        <v>11917</v>
      </c>
      <c r="PZD22" t="s">
        <v>11918</v>
      </c>
      <c r="PZE22" t="s">
        <v>11919</v>
      </c>
      <c r="PZF22" t="s">
        <v>11920</v>
      </c>
      <c r="PZG22" t="s">
        <v>11921</v>
      </c>
      <c r="PZH22" t="s">
        <v>11922</v>
      </c>
      <c r="PZI22" t="s">
        <v>11923</v>
      </c>
      <c r="PZJ22" t="s">
        <v>11924</v>
      </c>
      <c r="PZK22" t="s">
        <v>11925</v>
      </c>
      <c r="PZL22" t="s">
        <v>11926</v>
      </c>
      <c r="PZM22" t="s">
        <v>11927</v>
      </c>
      <c r="PZN22" t="s">
        <v>11928</v>
      </c>
      <c r="PZO22" t="s">
        <v>11929</v>
      </c>
      <c r="PZP22" t="s">
        <v>11930</v>
      </c>
      <c r="PZQ22" t="s">
        <v>11931</v>
      </c>
      <c r="PZR22" t="s">
        <v>11932</v>
      </c>
      <c r="PZS22" t="s">
        <v>11933</v>
      </c>
      <c r="PZT22" t="s">
        <v>11934</v>
      </c>
      <c r="PZU22" t="s">
        <v>11935</v>
      </c>
      <c r="PZV22" t="s">
        <v>11936</v>
      </c>
      <c r="PZW22" t="s">
        <v>11937</v>
      </c>
      <c r="PZX22" t="s">
        <v>11938</v>
      </c>
      <c r="PZY22" t="s">
        <v>11939</v>
      </c>
      <c r="PZZ22" t="s">
        <v>11940</v>
      </c>
      <c r="QAA22" t="s">
        <v>11941</v>
      </c>
      <c r="QAB22" t="s">
        <v>11942</v>
      </c>
      <c r="QAC22" t="s">
        <v>11943</v>
      </c>
      <c r="QAD22" t="s">
        <v>11944</v>
      </c>
      <c r="QAE22" t="s">
        <v>11945</v>
      </c>
      <c r="QAF22" t="s">
        <v>11946</v>
      </c>
      <c r="QAG22" t="s">
        <v>11947</v>
      </c>
      <c r="QAH22" t="s">
        <v>11948</v>
      </c>
      <c r="QAI22" t="s">
        <v>11949</v>
      </c>
      <c r="QAJ22" t="s">
        <v>11950</v>
      </c>
      <c r="QAK22" t="s">
        <v>11951</v>
      </c>
      <c r="QAL22" t="s">
        <v>11952</v>
      </c>
      <c r="QAM22" t="s">
        <v>11953</v>
      </c>
      <c r="QAN22" t="s">
        <v>11954</v>
      </c>
      <c r="QAO22" t="s">
        <v>11955</v>
      </c>
      <c r="QAP22" t="s">
        <v>11956</v>
      </c>
      <c r="QAQ22" t="s">
        <v>11957</v>
      </c>
      <c r="QAR22" t="s">
        <v>11958</v>
      </c>
      <c r="QAS22" t="s">
        <v>11959</v>
      </c>
      <c r="QAT22" t="s">
        <v>11960</v>
      </c>
      <c r="QAU22" t="s">
        <v>11961</v>
      </c>
      <c r="QAV22" t="s">
        <v>11962</v>
      </c>
      <c r="QAW22" t="s">
        <v>11963</v>
      </c>
      <c r="QAX22" t="s">
        <v>11964</v>
      </c>
      <c r="QAY22" t="s">
        <v>11965</v>
      </c>
      <c r="QAZ22" t="s">
        <v>11966</v>
      </c>
      <c r="QBA22" t="s">
        <v>11967</v>
      </c>
      <c r="QBB22" t="s">
        <v>11968</v>
      </c>
      <c r="QBC22" t="s">
        <v>11969</v>
      </c>
      <c r="QBD22" t="s">
        <v>11970</v>
      </c>
      <c r="QBE22" t="s">
        <v>11971</v>
      </c>
      <c r="QBF22" t="s">
        <v>11972</v>
      </c>
      <c r="QBG22" t="s">
        <v>11973</v>
      </c>
      <c r="QBH22" t="s">
        <v>11974</v>
      </c>
      <c r="QBI22" t="s">
        <v>11975</v>
      </c>
      <c r="QBJ22" t="s">
        <v>11976</v>
      </c>
      <c r="QBK22" t="s">
        <v>11977</v>
      </c>
      <c r="QBL22" t="s">
        <v>11978</v>
      </c>
      <c r="QBM22" t="s">
        <v>11979</v>
      </c>
      <c r="QBN22" t="s">
        <v>11980</v>
      </c>
      <c r="QBO22" t="s">
        <v>11981</v>
      </c>
      <c r="QBP22" t="s">
        <v>11982</v>
      </c>
      <c r="QBQ22" t="s">
        <v>11983</v>
      </c>
      <c r="QBR22" t="s">
        <v>11984</v>
      </c>
      <c r="QBS22" t="s">
        <v>11985</v>
      </c>
      <c r="QBT22" t="s">
        <v>11986</v>
      </c>
      <c r="QBU22" t="s">
        <v>11987</v>
      </c>
      <c r="QBV22" t="s">
        <v>11988</v>
      </c>
      <c r="QBW22" t="s">
        <v>11989</v>
      </c>
      <c r="QBX22" t="s">
        <v>11990</v>
      </c>
      <c r="QBY22" t="s">
        <v>11991</v>
      </c>
      <c r="QBZ22" t="s">
        <v>11992</v>
      </c>
      <c r="QCA22" t="s">
        <v>11993</v>
      </c>
      <c r="QCB22" t="s">
        <v>11994</v>
      </c>
      <c r="QCC22" t="s">
        <v>11995</v>
      </c>
      <c r="QCD22" t="s">
        <v>11996</v>
      </c>
      <c r="QCE22" t="s">
        <v>11997</v>
      </c>
      <c r="QCF22" t="s">
        <v>11998</v>
      </c>
      <c r="QCG22" t="s">
        <v>11999</v>
      </c>
      <c r="QCH22" t="s">
        <v>12000</v>
      </c>
      <c r="QCI22" t="s">
        <v>12001</v>
      </c>
      <c r="QCJ22" t="s">
        <v>12002</v>
      </c>
      <c r="QCK22" t="s">
        <v>12003</v>
      </c>
      <c r="QCL22" t="s">
        <v>12004</v>
      </c>
      <c r="QCM22" t="s">
        <v>12005</v>
      </c>
      <c r="QCN22" t="s">
        <v>12006</v>
      </c>
      <c r="QCO22" t="s">
        <v>12007</v>
      </c>
      <c r="QCP22" t="s">
        <v>12008</v>
      </c>
      <c r="QCQ22" t="s">
        <v>12009</v>
      </c>
      <c r="QCR22" t="s">
        <v>12010</v>
      </c>
      <c r="QCS22" t="s">
        <v>12011</v>
      </c>
      <c r="QCT22" t="s">
        <v>12012</v>
      </c>
      <c r="QCU22" t="s">
        <v>12013</v>
      </c>
      <c r="QCV22" t="s">
        <v>12014</v>
      </c>
      <c r="QCW22" t="s">
        <v>12015</v>
      </c>
      <c r="QCX22" t="s">
        <v>12016</v>
      </c>
      <c r="QCY22" t="s">
        <v>12017</v>
      </c>
      <c r="QCZ22" t="s">
        <v>12018</v>
      </c>
      <c r="QDA22" t="s">
        <v>12019</v>
      </c>
      <c r="QDB22" t="s">
        <v>12020</v>
      </c>
      <c r="QDC22" t="s">
        <v>12021</v>
      </c>
      <c r="QDD22" t="s">
        <v>12022</v>
      </c>
      <c r="QDE22" t="s">
        <v>12023</v>
      </c>
      <c r="QDF22" t="s">
        <v>12024</v>
      </c>
      <c r="QDG22" t="s">
        <v>12025</v>
      </c>
      <c r="QDH22" t="s">
        <v>12026</v>
      </c>
      <c r="QDI22" t="s">
        <v>12027</v>
      </c>
      <c r="QDJ22" t="s">
        <v>12028</v>
      </c>
      <c r="QDK22" t="s">
        <v>12029</v>
      </c>
      <c r="QDL22" t="s">
        <v>12030</v>
      </c>
      <c r="QDM22" t="s">
        <v>12031</v>
      </c>
      <c r="QDN22" t="s">
        <v>12032</v>
      </c>
      <c r="QDO22" t="s">
        <v>12033</v>
      </c>
      <c r="QDP22" t="s">
        <v>12034</v>
      </c>
      <c r="QDQ22" t="s">
        <v>12035</v>
      </c>
      <c r="QDR22" t="s">
        <v>12036</v>
      </c>
      <c r="QDS22" t="s">
        <v>12037</v>
      </c>
      <c r="QDT22" t="s">
        <v>12038</v>
      </c>
      <c r="QDU22" t="s">
        <v>12039</v>
      </c>
      <c r="QDV22" t="s">
        <v>12040</v>
      </c>
      <c r="QDW22" t="s">
        <v>12041</v>
      </c>
      <c r="QDX22" t="s">
        <v>12042</v>
      </c>
      <c r="QDY22" t="s">
        <v>12043</v>
      </c>
      <c r="QDZ22" t="s">
        <v>12044</v>
      </c>
      <c r="QEA22" t="s">
        <v>12045</v>
      </c>
      <c r="QEB22" t="s">
        <v>12046</v>
      </c>
      <c r="QEC22" t="s">
        <v>12047</v>
      </c>
      <c r="QED22" t="s">
        <v>12048</v>
      </c>
      <c r="QEE22" t="s">
        <v>12049</v>
      </c>
      <c r="QEF22" t="s">
        <v>12050</v>
      </c>
      <c r="QEG22" t="s">
        <v>12051</v>
      </c>
      <c r="QEH22" t="s">
        <v>12052</v>
      </c>
      <c r="QEI22" t="s">
        <v>12053</v>
      </c>
      <c r="QEJ22" t="s">
        <v>12054</v>
      </c>
      <c r="QEK22" t="s">
        <v>12055</v>
      </c>
      <c r="QEL22" t="s">
        <v>12056</v>
      </c>
      <c r="QEM22" t="s">
        <v>12057</v>
      </c>
      <c r="QEN22" t="s">
        <v>12058</v>
      </c>
      <c r="QEO22" t="s">
        <v>12059</v>
      </c>
      <c r="QEP22" t="s">
        <v>12060</v>
      </c>
      <c r="QEQ22" t="s">
        <v>12061</v>
      </c>
      <c r="QER22" t="s">
        <v>12062</v>
      </c>
      <c r="QES22" t="s">
        <v>12063</v>
      </c>
      <c r="QET22" t="s">
        <v>12064</v>
      </c>
      <c r="QEU22" t="s">
        <v>12065</v>
      </c>
      <c r="QEV22" t="s">
        <v>12066</v>
      </c>
      <c r="QEW22" t="s">
        <v>12067</v>
      </c>
      <c r="QEX22" t="s">
        <v>12068</v>
      </c>
      <c r="QEY22" t="s">
        <v>12069</v>
      </c>
      <c r="QEZ22" t="s">
        <v>12070</v>
      </c>
      <c r="QFA22" t="s">
        <v>12071</v>
      </c>
      <c r="QFB22" t="s">
        <v>12072</v>
      </c>
      <c r="QFC22" t="s">
        <v>12073</v>
      </c>
      <c r="QFD22" t="s">
        <v>12074</v>
      </c>
      <c r="QFE22" t="s">
        <v>12075</v>
      </c>
      <c r="QFF22" t="s">
        <v>12076</v>
      </c>
      <c r="QFG22" t="s">
        <v>12077</v>
      </c>
      <c r="QFH22" t="s">
        <v>12078</v>
      </c>
      <c r="QFI22" t="s">
        <v>12079</v>
      </c>
      <c r="QFJ22" t="s">
        <v>12080</v>
      </c>
      <c r="QFK22" t="s">
        <v>12081</v>
      </c>
      <c r="QFL22" t="s">
        <v>12082</v>
      </c>
      <c r="QFM22" t="s">
        <v>12083</v>
      </c>
      <c r="QFN22" t="s">
        <v>12084</v>
      </c>
      <c r="QFO22" t="s">
        <v>12085</v>
      </c>
      <c r="QFP22" t="s">
        <v>12086</v>
      </c>
      <c r="QFQ22" t="s">
        <v>12087</v>
      </c>
      <c r="QFR22" t="s">
        <v>12088</v>
      </c>
      <c r="QFS22" t="s">
        <v>12089</v>
      </c>
      <c r="QFT22" t="s">
        <v>12090</v>
      </c>
      <c r="QFU22" t="s">
        <v>12091</v>
      </c>
      <c r="QFV22" t="s">
        <v>12092</v>
      </c>
      <c r="QFW22" t="s">
        <v>12093</v>
      </c>
      <c r="QFX22" t="s">
        <v>12094</v>
      </c>
      <c r="QFY22" t="s">
        <v>12095</v>
      </c>
      <c r="QFZ22" t="s">
        <v>12096</v>
      </c>
      <c r="QGA22" t="s">
        <v>12097</v>
      </c>
      <c r="QGB22" t="s">
        <v>12098</v>
      </c>
      <c r="QGC22" t="s">
        <v>12099</v>
      </c>
      <c r="QGD22" t="s">
        <v>12100</v>
      </c>
      <c r="QGE22" t="s">
        <v>12101</v>
      </c>
      <c r="QGF22" t="s">
        <v>12102</v>
      </c>
      <c r="QGG22" t="s">
        <v>12103</v>
      </c>
      <c r="QGH22" t="s">
        <v>12104</v>
      </c>
      <c r="QGI22" t="s">
        <v>12105</v>
      </c>
      <c r="QGJ22" t="s">
        <v>12106</v>
      </c>
      <c r="QGK22" t="s">
        <v>12107</v>
      </c>
      <c r="QGL22" t="s">
        <v>12108</v>
      </c>
      <c r="QGM22" t="s">
        <v>12109</v>
      </c>
      <c r="QGN22" t="s">
        <v>12110</v>
      </c>
      <c r="QGO22" t="s">
        <v>12111</v>
      </c>
      <c r="QGP22" t="s">
        <v>12112</v>
      </c>
      <c r="QGQ22" t="s">
        <v>12113</v>
      </c>
      <c r="QGR22" t="s">
        <v>12114</v>
      </c>
      <c r="QGS22" t="s">
        <v>12115</v>
      </c>
      <c r="QGT22" t="s">
        <v>12116</v>
      </c>
      <c r="QGU22" t="s">
        <v>12117</v>
      </c>
      <c r="QGV22" t="s">
        <v>12118</v>
      </c>
      <c r="QGW22" t="s">
        <v>12119</v>
      </c>
      <c r="QGX22" t="s">
        <v>12120</v>
      </c>
      <c r="QGY22" t="s">
        <v>12121</v>
      </c>
      <c r="QGZ22" t="s">
        <v>12122</v>
      </c>
      <c r="QHA22" t="s">
        <v>12123</v>
      </c>
      <c r="QHB22" t="s">
        <v>12124</v>
      </c>
      <c r="QHC22" t="s">
        <v>12125</v>
      </c>
      <c r="QHD22" t="s">
        <v>12126</v>
      </c>
      <c r="QHE22" t="s">
        <v>12127</v>
      </c>
      <c r="QHF22" t="s">
        <v>12128</v>
      </c>
      <c r="QHG22" t="s">
        <v>12129</v>
      </c>
      <c r="QHH22" t="s">
        <v>12130</v>
      </c>
      <c r="QHI22" t="s">
        <v>12131</v>
      </c>
      <c r="QHJ22" t="s">
        <v>12132</v>
      </c>
      <c r="QHK22" t="s">
        <v>12133</v>
      </c>
      <c r="QHL22" t="s">
        <v>12134</v>
      </c>
      <c r="QHM22" t="s">
        <v>12135</v>
      </c>
      <c r="QHN22" t="s">
        <v>12136</v>
      </c>
      <c r="QHO22" t="s">
        <v>12137</v>
      </c>
      <c r="QHP22" t="s">
        <v>12138</v>
      </c>
      <c r="QHQ22" t="s">
        <v>12139</v>
      </c>
      <c r="QHR22" t="s">
        <v>12140</v>
      </c>
      <c r="QHS22" t="s">
        <v>12141</v>
      </c>
      <c r="QHT22" t="s">
        <v>12142</v>
      </c>
      <c r="QHU22" t="s">
        <v>12143</v>
      </c>
      <c r="QHV22" t="s">
        <v>12144</v>
      </c>
      <c r="QHW22" t="s">
        <v>12145</v>
      </c>
      <c r="QHX22" t="s">
        <v>12146</v>
      </c>
      <c r="QHY22" t="s">
        <v>12147</v>
      </c>
      <c r="QHZ22" t="s">
        <v>12148</v>
      </c>
      <c r="QIA22" t="s">
        <v>12149</v>
      </c>
      <c r="QIB22" t="s">
        <v>12150</v>
      </c>
      <c r="QIC22" t="s">
        <v>12151</v>
      </c>
      <c r="QID22" t="s">
        <v>12152</v>
      </c>
      <c r="QIE22" t="s">
        <v>12153</v>
      </c>
      <c r="QIF22" t="s">
        <v>12154</v>
      </c>
      <c r="QIG22" t="s">
        <v>12155</v>
      </c>
      <c r="QIH22" t="s">
        <v>12156</v>
      </c>
      <c r="QII22" t="s">
        <v>12157</v>
      </c>
      <c r="QIJ22" t="s">
        <v>12158</v>
      </c>
      <c r="QIK22" t="s">
        <v>12159</v>
      </c>
      <c r="QIL22" t="s">
        <v>12160</v>
      </c>
      <c r="QIM22" t="s">
        <v>12161</v>
      </c>
      <c r="QIN22" t="s">
        <v>12162</v>
      </c>
      <c r="QIO22" t="s">
        <v>12163</v>
      </c>
      <c r="QIP22" t="s">
        <v>12164</v>
      </c>
      <c r="QIQ22" t="s">
        <v>12165</v>
      </c>
      <c r="QIR22" t="s">
        <v>12166</v>
      </c>
      <c r="QIS22" t="s">
        <v>12167</v>
      </c>
      <c r="QIT22" t="s">
        <v>12168</v>
      </c>
      <c r="QIU22" t="s">
        <v>12169</v>
      </c>
      <c r="QIV22" t="s">
        <v>12170</v>
      </c>
      <c r="QIW22" t="s">
        <v>12171</v>
      </c>
      <c r="QIX22" t="s">
        <v>12172</v>
      </c>
      <c r="QIY22" t="s">
        <v>12173</v>
      </c>
      <c r="QIZ22" t="s">
        <v>12174</v>
      </c>
      <c r="QJA22" t="s">
        <v>12175</v>
      </c>
      <c r="QJB22" t="s">
        <v>12176</v>
      </c>
      <c r="QJC22" t="s">
        <v>12177</v>
      </c>
      <c r="QJD22" t="s">
        <v>12178</v>
      </c>
      <c r="QJE22" t="s">
        <v>12179</v>
      </c>
      <c r="QJF22" t="s">
        <v>12180</v>
      </c>
      <c r="QJG22" t="s">
        <v>12181</v>
      </c>
      <c r="QJH22" t="s">
        <v>12182</v>
      </c>
      <c r="QJI22" t="s">
        <v>12183</v>
      </c>
      <c r="QJJ22" t="s">
        <v>12184</v>
      </c>
      <c r="QJK22" t="s">
        <v>12185</v>
      </c>
      <c r="QJL22" t="s">
        <v>12186</v>
      </c>
      <c r="QJM22" t="s">
        <v>12187</v>
      </c>
      <c r="QJN22" t="s">
        <v>12188</v>
      </c>
      <c r="QJO22" t="s">
        <v>12189</v>
      </c>
      <c r="QJP22" t="s">
        <v>12190</v>
      </c>
      <c r="QJQ22" t="s">
        <v>12191</v>
      </c>
      <c r="QJR22" t="s">
        <v>12192</v>
      </c>
      <c r="QJS22" t="s">
        <v>12193</v>
      </c>
      <c r="QJT22" t="s">
        <v>12194</v>
      </c>
      <c r="QJU22" t="s">
        <v>12195</v>
      </c>
      <c r="QJV22" t="s">
        <v>12196</v>
      </c>
      <c r="QJW22" t="s">
        <v>12197</v>
      </c>
      <c r="QJX22" t="s">
        <v>12198</v>
      </c>
      <c r="QJY22" t="s">
        <v>12199</v>
      </c>
      <c r="QJZ22" t="s">
        <v>12200</v>
      </c>
      <c r="QKA22" t="s">
        <v>12201</v>
      </c>
      <c r="QKB22" t="s">
        <v>12202</v>
      </c>
      <c r="QKC22" t="s">
        <v>12203</v>
      </c>
      <c r="QKD22" t="s">
        <v>12204</v>
      </c>
      <c r="QKE22" t="s">
        <v>12205</v>
      </c>
      <c r="QKF22" t="s">
        <v>12206</v>
      </c>
      <c r="QKG22" t="s">
        <v>12207</v>
      </c>
      <c r="QKH22" t="s">
        <v>12208</v>
      </c>
      <c r="QKI22" t="s">
        <v>12209</v>
      </c>
      <c r="QKJ22" t="s">
        <v>12210</v>
      </c>
      <c r="QKK22" t="s">
        <v>12211</v>
      </c>
      <c r="QKL22" t="s">
        <v>12212</v>
      </c>
      <c r="QKM22" t="s">
        <v>12213</v>
      </c>
      <c r="QKN22" t="s">
        <v>12214</v>
      </c>
      <c r="QKO22" t="s">
        <v>12215</v>
      </c>
      <c r="QKP22" t="s">
        <v>12216</v>
      </c>
      <c r="QKQ22" t="s">
        <v>12217</v>
      </c>
      <c r="QKR22" t="s">
        <v>12218</v>
      </c>
      <c r="QKS22" t="s">
        <v>12219</v>
      </c>
      <c r="QKT22" t="s">
        <v>12220</v>
      </c>
      <c r="QKU22" t="s">
        <v>12221</v>
      </c>
      <c r="QKV22" t="s">
        <v>12222</v>
      </c>
      <c r="QKW22" t="s">
        <v>12223</v>
      </c>
      <c r="QKX22" t="s">
        <v>12224</v>
      </c>
      <c r="QKY22" t="s">
        <v>12225</v>
      </c>
      <c r="QKZ22" t="s">
        <v>12226</v>
      </c>
      <c r="QLA22" t="s">
        <v>12227</v>
      </c>
      <c r="QLB22" t="s">
        <v>12228</v>
      </c>
      <c r="QLC22" t="s">
        <v>12229</v>
      </c>
      <c r="QLD22" t="s">
        <v>12230</v>
      </c>
      <c r="QLE22" t="s">
        <v>12231</v>
      </c>
      <c r="QLF22" t="s">
        <v>12232</v>
      </c>
      <c r="QLG22" t="s">
        <v>12233</v>
      </c>
      <c r="QLH22" t="s">
        <v>12234</v>
      </c>
      <c r="QLI22" t="s">
        <v>12235</v>
      </c>
      <c r="QLJ22" t="s">
        <v>12236</v>
      </c>
      <c r="QLK22" t="s">
        <v>12237</v>
      </c>
      <c r="QLL22" t="s">
        <v>12238</v>
      </c>
      <c r="QLM22" t="s">
        <v>12239</v>
      </c>
      <c r="QLN22" t="s">
        <v>12240</v>
      </c>
      <c r="QLO22" t="s">
        <v>12241</v>
      </c>
      <c r="QLP22" t="s">
        <v>12242</v>
      </c>
      <c r="QLQ22" t="s">
        <v>12243</v>
      </c>
      <c r="QLR22" t="s">
        <v>12244</v>
      </c>
      <c r="QLS22" t="s">
        <v>12245</v>
      </c>
      <c r="QLT22" t="s">
        <v>12246</v>
      </c>
      <c r="QLU22" t="s">
        <v>12247</v>
      </c>
      <c r="QLV22" t="s">
        <v>12248</v>
      </c>
      <c r="QLW22" t="s">
        <v>12249</v>
      </c>
      <c r="QLX22" t="s">
        <v>12250</v>
      </c>
      <c r="QLY22" t="s">
        <v>12251</v>
      </c>
      <c r="QLZ22" t="s">
        <v>12252</v>
      </c>
      <c r="QMA22" t="s">
        <v>12253</v>
      </c>
      <c r="QMB22" t="s">
        <v>12254</v>
      </c>
      <c r="QMC22" t="s">
        <v>12255</v>
      </c>
      <c r="QMD22" t="s">
        <v>12256</v>
      </c>
      <c r="QME22" t="s">
        <v>12257</v>
      </c>
      <c r="QMF22" t="s">
        <v>12258</v>
      </c>
      <c r="QMG22" t="s">
        <v>12259</v>
      </c>
      <c r="QMH22" t="s">
        <v>12260</v>
      </c>
      <c r="QMI22" t="s">
        <v>12261</v>
      </c>
      <c r="QMJ22" t="s">
        <v>12262</v>
      </c>
      <c r="QMK22" t="s">
        <v>12263</v>
      </c>
      <c r="QML22" t="s">
        <v>12264</v>
      </c>
      <c r="QMM22" t="s">
        <v>12265</v>
      </c>
      <c r="QMN22" t="s">
        <v>12266</v>
      </c>
      <c r="QMO22" t="s">
        <v>12267</v>
      </c>
      <c r="QMP22" t="s">
        <v>12268</v>
      </c>
      <c r="QMQ22" t="s">
        <v>12269</v>
      </c>
      <c r="QMR22" t="s">
        <v>12270</v>
      </c>
      <c r="QMS22" t="s">
        <v>12271</v>
      </c>
      <c r="QMT22" t="s">
        <v>12272</v>
      </c>
      <c r="QMU22" t="s">
        <v>12273</v>
      </c>
      <c r="QMV22" t="s">
        <v>12274</v>
      </c>
      <c r="QMW22" t="s">
        <v>12275</v>
      </c>
      <c r="QMX22" t="s">
        <v>12276</v>
      </c>
      <c r="QMY22" t="s">
        <v>12277</v>
      </c>
      <c r="QMZ22" t="s">
        <v>12278</v>
      </c>
      <c r="QNA22" t="s">
        <v>12279</v>
      </c>
      <c r="QNB22" t="s">
        <v>12280</v>
      </c>
      <c r="QNC22" t="s">
        <v>12281</v>
      </c>
      <c r="QND22" t="s">
        <v>12282</v>
      </c>
      <c r="QNE22" t="s">
        <v>12283</v>
      </c>
      <c r="QNF22" t="s">
        <v>12284</v>
      </c>
      <c r="QNG22" t="s">
        <v>12285</v>
      </c>
      <c r="QNH22" t="s">
        <v>12286</v>
      </c>
      <c r="QNI22" t="s">
        <v>12287</v>
      </c>
      <c r="QNJ22" t="s">
        <v>12288</v>
      </c>
      <c r="QNK22" t="s">
        <v>12289</v>
      </c>
      <c r="QNL22" t="s">
        <v>12290</v>
      </c>
      <c r="QNM22" t="s">
        <v>12291</v>
      </c>
      <c r="QNN22" t="s">
        <v>12292</v>
      </c>
      <c r="QNO22" t="s">
        <v>12293</v>
      </c>
      <c r="QNP22" t="s">
        <v>12294</v>
      </c>
      <c r="QNQ22" t="s">
        <v>12295</v>
      </c>
      <c r="QNR22" t="s">
        <v>12296</v>
      </c>
      <c r="QNS22" t="s">
        <v>12297</v>
      </c>
      <c r="QNT22" t="s">
        <v>12298</v>
      </c>
      <c r="QNU22" t="s">
        <v>12299</v>
      </c>
      <c r="QNV22" t="s">
        <v>12300</v>
      </c>
      <c r="QNW22" t="s">
        <v>12301</v>
      </c>
      <c r="QNX22" t="s">
        <v>12302</v>
      </c>
      <c r="QNY22" t="s">
        <v>12303</v>
      </c>
      <c r="QNZ22" t="s">
        <v>12304</v>
      </c>
      <c r="QOA22" t="s">
        <v>12305</v>
      </c>
      <c r="QOB22" t="s">
        <v>12306</v>
      </c>
      <c r="QOC22" t="s">
        <v>12307</v>
      </c>
      <c r="QOD22" t="s">
        <v>12308</v>
      </c>
      <c r="QOE22" t="s">
        <v>12309</v>
      </c>
      <c r="QOF22" t="s">
        <v>12310</v>
      </c>
      <c r="QOG22" t="s">
        <v>12311</v>
      </c>
      <c r="QOH22" t="s">
        <v>12312</v>
      </c>
      <c r="QOI22" t="s">
        <v>12313</v>
      </c>
      <c r="QOJ22" t="s">
        <v>12314</v>
      </c>
      <c r="QOK22" t="s">
        <v>12315</v>
      </c>
      <c r="QOL22" t="s">
        <v>12316</v>
      </c>
      <c r="QOM22" t="s">
        <v>12317</v>
      </c>
      <c r="QON22" t="s">
        <v>12318</v>
      </c>
      <c r="QOO22" t="s">
        <v>12319</v>
      </c>
      <c r="QOP22" t="s">
        <v>12320</v>
      </c>
      <c r="QOQ22" t="s">
        <v>12321</v>
      </c>
      <c r="QOR22" t="s">
        <v>12322</v>
      </c>
      <c r="QOS22" t="s">
        <v>12323</v>
      </c>
      <c r="QOT22" t="s">
        <v>12324</v>
      </c>
      <c r="QOU22" t="s">
        <v>12325</v>
      </c>
      <c r="QOV22" t="s">
        <v>12326</v>
      </c>
      <c r="QOW22" t="s">
        <v>12327</v>
      </c>
      <c r="QOX22" t="s">
        <v>12328</v>
      </c>
      <c r="QOY22" t="s">
        <v>12329</v>
      </c>
      <c r="QOZ22" t="s">
        <v>12330</v>
      </c>
      <c r="QPA22" t="s">
        <v>12331</v>
      </c>
      <c r="QPB22" t="s">
        <v>12332</v>
      </c>
      <c r="QPC22" t="s">
        <v>12333</v>
      </c>
      <c r="QPD22" t="s">
        <v>12334</v>
      </c>
      <c r="QPE22" t="s">
        <v>12335</v>
      </c>
      <c r="QPF22" t="s">
        <v>12336</v>
      </c>
      <c r="QPG22" t="s">
        <v>12337</v>
      </c>
      <c r="QPH22" t="s">
        <v>12338</v>
      </c>
      <c r="QPI22" t="s">
        <v>12339</v>
      </c>
      <c r="QPJ22" t="s">
        <v>12340</v>
      </c>
      <c r="QPK22" t="s">
        <v>12341</v>
      </c>
      <c r="QPL22" t="s">
        <v>12342</v>
      </c>
      <c r="QPM22" t="s">
        <v>12343</v>
      </c>
      <c r="QPN22" t="s">
        <v>12344</v>
      </c>
      <c r="QPO22" t="s">
        <v>12345</v>
      </c>
      <c r="QPP22" t="s">
        <v>12346</v>
      </c>
      <c r="QPQ22" t="s">
        <v>12347</v>
      </c>
      <c r="QPR22" t="s">
        <v>12348</v>
      </c>
      <c r="QPS22" t="s">
        <v>12349</v>
      </c>
      <c r="QPT22" t="s">
        <v>12350</v>
      </c>
      <c r="QPU22" t="s">
        <v>12351</v>
      </c>
      <c r="QPV22" t="s">
        <v>12352</v>
      </c>
      <c r="QPW22" t="s">
        <v>12353</v>
      </c>
      <c r="QPX22" t="s">
        <v>12354</v>
      </c>
      <c r="QPY22" t="s">
        <v>12355</v>
      </c>
      <c r="QPZ22" t="s">
        <v>12356</v>
      </c>
      <c r="QQA22" t="s">
        <v>12357</v>
      </c>
      <c r="QQB22" t="s">
        <v>12358</v>
      </c>
      <c r="QQC22" t="s">
        <v>12359</v>
      </c>
      <c r="QQD22" t="s">
        <v>12360</v>
      </c>
      <c r="QQE22" t="s">
        <v>12361</v>
      </c>
      <c r="QQF22" t="s">
        <v>12362</v>
      </c>
      <c r="QQG22" t="s">
        <v>12363</v>
      </c>
      <c r="QQH22" t="s">
        <v>12364</v>
      </c>
      <c r="QQI22" t="s">
        <v>12365</v>
      </c>
      <c r="QQJ22" t="s">
        <v>12366</v>
      </c>
      <c r="QQK22" t="s">
        <v>12367</v>
      </c>
      <c r="QQL22" t="s">
        <v>12368</v>
      </c>
      <c r="QQM22" t="s">
        <v>12369</v>
      </c>
      <c r="QQN22" t="s">
        <v>12370</v>
      </c>
      <c r="QQO22" t="s">
        <v>12371</v>
      </c>
      <c r="QQP22" t="s">
        <v>12372</v>
      </c>
      <c r="QQQ22" t="s">
        <v>12373</v>
      </c>
      <c r="QQR22" t="s">
        <v>12374</v>
      </c>
      <c r="QQS22" t="s">
        <v>12375</v>
      </c>
      <c r="QQT22" t="s">
        <v>12376</v>
      </c>
      <c r="QQU22" t="s">
        <v>12377</v>
      </c>
      <c r="QQV22" t="s">
        <v>12378</v>
      </c>
      <c r="QQW22" t="s">
        <v>12379</v>
      </c>
      <c r="QQX22" t="s">
        <v>12380</v>
      </c>
      <c r="QQY22" t="s">
        <v>12381</v>
      </c>
      <c r="QQZ22" t="s">
        <v>12382</v>
      </c>
      <c r="QRA22" t="s">
        <v>12383</v>
      </c>
      <c r="QRB22" t="s">
        <v>12384</v>
      </c>
      <c r="QRC22" t="s">
        <v>12385</v>
      </c>
      <c r="QRD22" t="s">
        <v>12386</v>
      </c>
      <c r="QRE22" t="s">
        <v>12387</v>
      </c>
      <c r="QRF22" t="s">
        <v>12388</v>
      </c>
      <c r="QRG22" t="s">
        <v>12389</v>
      </c>
      <c r="QRH22" t="s">
        <v>12390</v>
      </c>
      <c r="QRI22" t="s">
        <v>12391</v>
      </c>
      <c r="QRJ22" t="s">
        <v>12392</v>
      </c>
      <c r="QRK22" t="s">
        <v>12393</v>
      </c>
      <c r="QRL22" t="s">
        <v>12394</v>
      </c>
      <c r="QRM22" t="s">
        <v>12395</v>
      </c>
      <c r="QRN22" t="s">
        <v>12396</v>
      </c>
      <c r="QRO22" t="s">
        <v>12397</v>
      </c>
      <c r="QRP22" t="s">
        <v>12398</v>
      </c>
      <c r="QRQ22" t="s">
        <v>12399</v>
      </c>
      <c r="QRR22" t="s">
        <v>12400</v>
      </c>
      <c r="QRS22" t="s">
        <v>12401</v>
      </c>
      <c r="QRT22" t="s">
        <v>12402</v>
      </c>
      <c r="QRU22" t="s">
        <v>12403</v>
      </c>
      <c r="QRV22" t="s">
        <v>12404</v>
      </c>
      <c r="QRW22" t="s">
        <v>12405</v>
      </c>
      <c r="QRX22" t="s">
        <v>12406</v>
      </c>
      <c r="QRY22" t="s">
        <v>12407</v>
      </c>
      <c r="QRZ22" t="s">
        <v>12408</v>
      </c>
      <c r="QSA22" t="s">
        <v>12409</v>
      </c>
      <c r="QSB22" t="s">
        <v>12410</v>
      </c>
      <c r="QSC22" t="s">
        <v>12411</v>
      </c>
      <c r="QSD22" t="s">
        <v>12412</v>
      </c>
      <c r="QSE22" t="s">
        <v>12413</v>
      </c>
      <c r="QSF22" t="s">
        <v>12414</v>
      </c>
      <c r="QSG22" t="s">
        <v>12415</v>
      </c>
      <c r="QSH22" t="s">
        <v>12416</v>
      </c>
      <c r="QSI22" t="s">
        <v>12417</v>
      </c>
      <c r="QSJ22" t="s">
        <v>12418</v>
      </c>
      <c r="QSK22" t="s">
        <v>12419</v>
      </c>
      <c r="QSL22" t="s">
        <v>12420</v>
      </c>
      <c r="QSM22" t="s">
        <v>12421</v>
      </c>
      <c r="QSN22" t="s">
        <v>12422</v>
      </c>
      <c r="QSO22" t="s">
        <v>12423</v>
      </c>
      <c r="QSP22" t="s">
        <v>12424</v>
      </c>
      <c r="QSQ22" t="s">
        <v>12425</v>
      </c>
      <c r="QSR22" t="s">
        <v>12426</v>
      </c>
      <c r="QSS22" t="s">
        <v>12427</v>
      </c>
      <c r="QST22" t="s">
        <v>12428</v>
      </c>
      <c r="QSU22" t="s">
        <v>12429</v>
      </c>
      <c r="QSV22" t="s">
        <v>12430</v>
      </c>
      <c r="QSW22" t="s">
        <v>12431</v>
      </c>
      <c r="QSX22" t="s">
        <v>12432</v>
      </c>
      <c r="QSY22" t="s">
        <v>12433</v>
      </c>
      <c r="QSZ22" t="s">
        <v>12434</v>
      </c>
      <c r="QTA22" t="s">
        <v>12435</v>
      </c>
      <c r="QTB22" t="s">
        <v>12436</v>
      </c>
      <c r="QTC22" t="s">
        <v>12437</v>
      </c>
      <c r="QTD22" t="s">
        <v>12438</v>
      </c>
      <c r="QTE22" t="s">
        <v>12439</v>
      </c>
      <c r="QTF22" t="s">
        <v>12440</v>
      </c>
      <c r="QTG22" t="s">
        <v>12441</v>
      </c>
      <c r="QTH22" t="s">
        <v>12442</v>
      </c>
      <c r="QTI22" t="s">
        <v>12443</v>
      </c>
      <c r="QTJ22" t="s">
        <v>12444</v>
      </c>
      <c r="QTK22" t="s">
        <v>12445</v>
      </c>
      <c r="QTL22" t="s">
        <v>12446</v>
      </c>
      <c r="QTM22" t="s">
        <v>12447</v>
      </c>
      <c r="QTN22" t="s">
        <v>12448</v>
      </c>
      <c r="QTO22" t="s">
        <v>12449</v>
      </c>
      <c r="QTP22" t="s">
        <v>12450</v>
      </c>
      <c r="QTQ22" t="s">
        <v>12451</v>
      </c>
      <c r="QTR22" t="s">
        <v>12452</v>
      </c>
      <c r="QTS22" t="s">
        <v>12453</v>
      </c>
      <c r="QTT22" t="s">
        <v>12454</v>
      </c>
      <c r="QTU22" t="s">
        <v>12455</v>
      </c>
      <c r="QTV22" t="s">
        <v>12456</v>
      </c>
      <c r="QTW22" t="s">
        <v>12457</v>
      </c>
      <c r="QTX22" t="s">
        <v>12458</v>
      </c>
      <c r="QTY22" t="s">
        <v>12459</v>
      </c>
      <c r="QTZ22" t="s">
        <v>12460</v>
      </c>
      <c r="QUA22" t="s">
        <v>12461</v>
      </c>
      <c r="QUB22" t="s">
        <v>12462</v>
      </c>
      <c r="QUC22" t="s">
        <v>12463</v>
      </c>
      <c r="QUD22" t="s">
        <v>12464</v>
      </c>
      <c r="QUE22" t="s">
        <v>12465</v>
      </c>
      <c r="QUF22" t="s">
        <v>12466</v>
      </c>
      <c r="QUG22" t="s">
        <v>12467</v>
      </c>
      <c r="QUH22" t="s">
        <v>12468</v>
      </c>
      <c r="QUI22" t="s">
        <v>12469</v>
      </c>
      <c r="QUJ22" t="s">
        <v>12470</v>
      </c>
      <c r="QUK22" t="s">
        <v>12471</v>
      </c>
      <c r="QUL22" t="s">
        <v>12472</v>
      </c>
      <c r="QUM22" t="s">
        <v>12473</v>
      </c>
      <c r="QUN22" t="s">
        <v>12474</v>
      </c>
      <c r="QUO22" t="s">
        <v>12475</v>
      </c>
      <c r="QUP22" t="s">
        <v>12476</v>
      </c>
      <c r="QUQ22" t="s">
        <v>12477</v>
      </c>
      <c r="QUR22" t="s">
        <v>12478</v>
      </c>
      <c r="QUS22" t="s">
        <v>12479</v>
      </c>
      <c r="QUT22" t="s">
        <v>12480</v>
      </c>
      <c r="QUU22" t="s">
        <v>12481</v>
      </c>
      <c r="QUV22" t="s">
        <v>12482</v>
      </c>
      <c r="QUW22" t="s">
        <v>12483</v>
      </c>
      <c r="QUX22" t="s">
        <v>12484</v>
      </c>
      <c r="QUY22" t="s">
        <v>12485</v>
      </c>
      <c r="QUZ22" t="s">
        <v>12486</v>
      </c>
      <c r="QVA22" t="s">
        <v>12487</v>
      </c>
      <c r="QVB22" t="s">
        <v>12488</v>
      </c>
      <c r="QVC22" t="s">
        <v>12489</v>
      </c>
      <c r="QVD22" t="s">
        <v>12490</v>
      </c>
      <c r="QVE22" t="s">
        <v>12491</v>
      </c>
      <c r="QVF22" t="s">
        <v>12492</v>
      </c>
      <c r="QVG22" t="s">
        <v>12493</v>
      </c>
      <c r="QVH22" t="s">
        <v>12494</v>
      </c>
      <c r="QVI22" t="s">
        <v>12495</v>
      </c>
      <c r="QVJ22" t="s">
        <v>12496</v>
      </c>
      <c r="QVK22" t="s">
        <v>12497</v>
      </c>
      <c r="QVL22" t="s">
        <v>12498</v>
      </c>
      <c r="QVM22" t="s">
        <v>12499</v>
      </c>
      <c r="QVN22" t="s">
        <v>12500</v>
      </c>
      <c r="QVO22" t="s">
        <v>12501</v>
      </c>
      <c r="QVP22" t="s">
        <v>12502</v>
      </c>
      <c r="QVQ22" t="s">
        <v>12503</v>
      </c>
      <c r="QVR22" t="s">
        <v>12504</v>
      </c>
      <c r="QVS22" t="s">
        <v>12505</v>
      </c>
      <c r="QVT22" t="s">
        <v>12506</v>
      </c>
      <c r="QVU22" t="s">
        <v>12507</v>
      </c>
      <c r="QVV22" t="s">
        <v>12508</v>
      </c>
      <c r="QVW22" t="s">
        <v>12509</v>
      </c>
      <c r="QVX22" t="s">
        <v>12510</v>
      </c>
      <c r="QVY22" t="s">
        <v>12511</v>
      </c>
      <c r="QVZ22" t="s">
        <v>12512</v>
      </c>
      <c r="QWA22" t="s">
        <v>12513</v>
      </c>
      <c r="QWB22" t="s">
        <v>12514</v>
      </c>
      <c r="QWC22" t="s">
        <v>12515</v>
      </c>
      <c r="QWD22" t="s">
        <v>12516</v>
      </c>
      <c r="QWE22" t="s">
        <v>12517</v>
      </c>
      <c r="QWF22" t="s">
        <v>12518</v>
      </c>
      <c r="QWG22" t="s">
        <v>12519</v>
      </c>
      <c r="QWH22" t="s">
        <v>12520</v>
      </c>
      <c r="QWI22" t="s">
        <v>12521</v>
      </c>
      <c r="QWJ22" t="s">
        <v>12522</v>
      </c>
      <c r="QWK22" t="s">
        <v>12523</v>
      </c>
      <c r="QWL22" t="s">
        <v>12524</v>
      </c>
      <c r="QWM22" t="s">
        <v>12525</v>
      </c>
      <c r="QWN22" t="s">
        <v>12526</v>
      </c>
      <c r="QWO22" t="s">
        <v>12527</v>
      </c>
      <c r="QWP22" t="s">
        <v>12528</v>
      </c>
      <c r="QWQ22" t="s">
        <v>12529</v>
      </c>
      <c r="QWR22" t="s">
        <v>12530</v>
      </c>
      <c r="QWS22" t="s">
        <v>12531</v>
      </c>
      <c r="QWT22" t="s">
        <v>12532</v>
      </c>
      <c r="QWU22" t="s">
        <v>12533</v>
      </c>
      <c r="QWV22" t="s">
        <v>12534</v>
      </c>
      <c r="QWW22" t="s">
        <v>12535</v>
      </c>
      <c r="QWX22" t="s">
        <v>12536</v>
      </c>
      <c r="QWY22" t="s">
        <v>12537</v>
      </c>
      <c r="QWZ22" t="s">
        <v>12538</v>
      </c>
      <c r="QXA22" t="s">
        <v>12539</v>
      </c>
      <c r="QXB22" t="s">
        <v>12540</v>
      </c>
      <c r="QXC22" t="s">
        <v>12541</v>
      </c>
      <c r="QXD22" t="s">
        <v>12542</v>
      </c>
      <c r="QXE22" t="s">
        <v>12543</v>
      </c>
      <c r="QXF22" t="s">
        <v>12544</v>
      </c>
      <c r="QXG22" t="s">
        <v>12545</v>
      </c>
      <c r="QXH22" t="s">
        <v>12546</v>
      </c>
      <c r="QXI22" t="s">
        <v>12547</v>
      </c>
      <c r="QXJ22" t="s">
        <v>12548</v>
      </c>
      <c r="QXK22" t="s">
        <v>12549</v>
      </c>
      <c r="QXL22" t="s">
        <v>12550</v>
      </c>
      <c r="QXM22" t="s">
        <v>12551</v>
      </c>
      <c r="QXN22" t="s">
        <v>12552</v>
      </c>
      <c r="QXO22" t="s">
        <v>12553</v>
      </c>
      <c r="QXP22" t="s">
        <v>12554</v>
      </c>
      <c r="QXQ22" t="s">
        <v>12555</v>
      </c>
      <c r="QXR22" t="s">
        <v>12556</v>
      </c>
      <c r="QXS22" t="s">
        <v>12557</v>
      </c>
      <c r="QXT22" t="s">
        <v>12558</v>
      </c>
      <c r="QXU22" t="s">
        <v>12559</v>
      </c>
      <c r="QXV22" t="s">
        <v>12560</v>
      </c>
      <c r="QXW22" t="s">
        <v>12561</v>
      </c>
      <c r="QXX22" t="s">
        <v>12562</v>
      </c>
      <c r="QXY22" t="s">
        <v>12563</v>
      </c>
      <c r="QXZ22" t="s">
        <v>12564</v>
      </c>
      <c r="QYA22" t="s">
        <v>12565</v>
      </c>
      <c r="QYB22" t="s">
        <v>12566</v>
      </c>
      <c r="QYC22" t="s">
        <v>12567</v>
      </c>
      <c r="QYD22" t="s">
        <v>12568</v>
      </c>
      <c r="QYE22" t="s">
        <v>12569</v>
      </c>
      <c r="QYF22" t="s">
        <v>12570</v>
      </c>
      <c r="QYG22" t="s">
        <v>12571</v>
      </c>
      <c r="QYH22" t="s">
        <v>12572</v>
      </c>
      <c r="QYI22" t="s">
        <v>12573</v>
      </c>
      <c r="QYJ22" t="s">
        <v>12574</v>
      </c>
      <c r="QYK22" t="s">
        <v>12575</v>
      </c>
      <c r="QYL22" t="s">
        <v>12576</v>
      </c>
      <c r="QYM22" t="s">
        <v>12577</v>
      </c>
      <c r="QYN22" t="s">
        <v>12578</v>
      </c>
      <c r="QYO22" t="s">
        <v>12579</v>
      </c>
      <c r="QYP22" t="s">
        <v>12580</v>
      </c>
      <c r="QYQ22" t="s">
        <v>12581</v>
      </c>
      <c r="QYR22" t="s">
        <v>12582</v>
      </c>
      <c r="QYS22" t="s">
        <v>12583</v>
      </c>
      <c r="QYT22" t="s">
        <v>12584</v>
      </c>
      <c r="QYU22" t="s">
        <v>12585</v>
      </c>
      <c r="QYV22" t="s">
        <v>12586</v>
      </c>
      <c r="QYW22" t="s">
        <v>12587</v>
      </c>
      <c r="QYX22" t="s">
        <v>12588</v>
      </c>
      <c r="QYY22" t="s">
        <v>12589</v>
      </c>
      <c r="QYZ22" t="s">
        <v>12590</v>
      </c>
      <c r="QZA22" t="s">
        <v>12591</v>
      </c>
      <c r="QZB22" t="s">
        <v>12592</v>
      </c>
      <c r="QZC22" t="s">
        <v>12593</v>
      </c>
      <c r="QZD22" t="s">
        <v>12594</v>
      </c>
      <c r="QZE22" t="s">
        <v>12595</v>
      </c>
      <c r="QZF22" t="s">
        <v>12596</v>
      </c>
      <c r="QZG22" t="s">
        <v>12597</v>
      </c>
      <c r="QZH22" t="s">
        <v>12598</v>
      </c>
      <c r="QZI22" t="s">
        <v>12599</v>
      </c>
      <c r="QZJ22" t="s">
        <v>12600</v>
      </c>
      <c r="QZK22" t="s">
        <v>12601</v>
      </c>
      <c r="QZL22" t="s">
        <v>12602</v>
      </c>
      <c r="QZM22" t="s">
        <v>12603</v>
      </c>
      <c r="QZN22" t="s">
        <v>12604</v>
      </c>
      <c r="QZO22" t="s">
        <v>12605</v>
      </c>
      <c r="QZP22" t="s">
        <v>12606</v>
      </c>
      <c r="QZQ22" t="s">
        <v>12607</v>
      </c>
      <c r="QZR22" t="s">
        <v>12608</v>
      </c>
      <c r="QZS22" t="s">
        <v>12609</v>
      </c>
      <c r="QZT22" t="s">
        <v>12610</v>
      </c>
      <c r="QZU22" t="s">
        <v>12611</v>
      </c>
      <c r="QZV22" t="s">
        <v>12612</v>
      </c>
      <c r="QZW22" t="s">
        <v>12613</v>
      </c>
      <c r="QZX22" t="s">
        <v>12614</v>
      </c>
      <c r="QZY22" t="s">
        <v>12615</v>
      </c>
      <c r="QZZ22" t="s">
        <v>12616</v>
      </c>
      <c r="RAA22" t="s">
        <v>12617</v>
      </c>
      <c r="RAB22" t="s">
        <v>12618</v>
      </c>
      <c r="RAC22" t="s">
        <v>12619</v>
      </c>
      <c r="RAD22" t="s">
        <v>12620</v>
      </c>
      <c r="RAE22" t="s">
        <v>12621</v>
      </c>
      <c r="RAF22" t="s">
        <v>12622</v>
      </c>
      <c r="RAG22" t="s">
        <v>12623</v>
      </c>
      <c r="RAH22" t="s">
        <v>12624</v>
      </c>
      <c r="RAI22" t="s">
        <v>12625</v>
      </c>
      <c r="RAJ22" t="s">
        <v>12626</v>
      </c>
      <c r="RAK22" t="s">
        <v>12627</v>
      </c>
      <c r="RAL22" t="s">
        <v>12628</v>
      </c>
      <c r="RAM22" t="s">
        <v>12629</v>
      </c>
      <c r="RAN22" t="s">
        <v>12630</v>
      </c>
      <c r="RAO22" t="s">
        <v>12631</v>
      </c>
      <c r="RAP22" t="s">
        <v>12632</v>
      </c>
      <c r="RAQ22" t="s">
        <v>12633</v>
      </c>
      <c r="RAR22" t="s">
        <v>12634</v>
      </c>
      <c r="RAS22" t="s">
        <v>12635</v>
      </c>
      <c r="RAT22" t="s">
        <v>12636</v>
      </c>
      <c r="RAU22" t="s">
        <v>12637</v>
      </c>
      <c r="RAV22" t="s">
        <v>12638</v>
      </c>
      <c r="RAW22" t="s">
        <v>12639</v>
      </c>
      <c r="RAX22" t="s">
        <v>12640</v>
      </c>
      <c r="RAY22" t="s">
        <v>12641</v>
      </c>
      <c r="RAZ22" t="s">
        <v>12642</v>
      </c>
      <c r="RBA22" t="s">
        <v>12643</v>
      </c>
      <c r="RBB22" t="s">
        <v>12644</v>
      </c>
      <c r="RBC22" t="s">
        <v>12645</v>
      </c>
      <c r="RBD22" t="s">
        <v>12646</v>
      </c>
      <c r="RBE22" t="s">
        <v>12647</v>
      </c>
      <c r="RBF22" t="s">
        <v>12648</v>
      </c>
      <c r="RBG22" t="s">
        <v>12649</v>
      </c>
      <c r="RBH22" t="s">
        <v>12650</v>
      </c>
      <c r="RBI22" t="s">
        <v>12651</v>
      </c>
      <c r="RBJ22" t="s">
        <v>12652</v>
      </c>
      <c r="RBK22" t="s">
        <v>12653</v>
      </c>
      <c r="RBL22" t="s">
        <v>12654</v>
      </c>
      <c r="RBM22" t="s">
        <v>12655</v>
      </c>
      <c r="RBN22" t="s">
        <v>12656</v>
      </c>
      <c r="RBO22" t="s">
        <v>12657</v>
      </c>
      <c r="RBP22" t="s">
        <v>12658</v>
      </c>
      <c r="RBQ22" t="s">
        <v>12659</v>
      </c>
      <c r="RBR22" t="s">
        <v>12660</v>
      </c>
      <c r="RBS22" t="s">
        <v>12661</v>
      </c>
      <c r="RBT22" t="s">
        <v>12662</v>
      </c>
      <c r="RBU22" t="s">
        <v>12663</v>
      </c>
      <c r="RBV22" t="s">
        <v>12664</v>
      </c>
      <c r="RBW22" t="s">
        <v>12665</v>
      </c>
      <c r="RBX22" t="s">
        <v>12666</v>
      </c>
      <c r="RBY22" t="s">
        <v>12667</v>
      </c>
      <c r="RBZ22" t="s">
        <v>12668</v>
      </c>
      <c r="RCA22" t="s">
        <v>12669</v>
      </c>
      <c r="RCB22" t="s">
        <v>12670</v>
      </c>
      <c r="RCC22" t="s">
        <v>12671</v>
      </c>
      <c r="RCD22" t="s">
        <v>12672</v>
      </c>
      <c r="RCE22" t="s">
        <v>12673</v>
      </c>
      <c r="RCF22" t="s">
        <v>12674</v>
      </c>
      <c r="RCG22" t="s">
        <v>12675</v>
      </c>
      <c r="RCH22" t="s">
        <v>12676</v>
      </c>
      <c r="RCI22" t="s">
        <v>12677</v>
      </c>
      <c r="RCJ22" t="s">
        <v>12678</v>
      </c>
      <c r="RCK22" t="s">
        <v>12679</v>
      </c>
      <c r="RCL22" t="s">
        <v>12680</v>
      </c>
      <c r="RCM22" t="s">
        <v>12681</v>
      </c>
      <c r="RCN22" t="s">
        <v>12682</v>
      </c>
      <c r="RCO22" t="s">
        <v>12683</v>
      </c>
      <c r="RCP22" t="s">
        <v>12684</v>
      </c>
      <c r="RCQ22" t="s">
        <v>12685</v>
      </c>
      <c r="RCR22" t="s">
        <v>12686</v>
      </c>
      <c r="RCS22" t="s">
        <v>12687</v>
      </c>
      <c r="RCT22" t="s">
        <v>12688</v>
      </c>
      <c r="RCU22" t="s">
        <v>12689</v>
      </c>
      <c r="RCV22" t="s">
        <v>12690</v>
      </c>
      <c r="RCW22" t="s">
        <v>12691</v>
      </c>
      <c r="RCX22" t="s">
        <v>12692</v>
      </c>
      <c r="RCY22" t="s">
        <v>12693</v>
      </c>
      <c r="RCZ22" t="s">
        <v>12694</v>
      </c>
      <c r="RDA22" t="s">
        <v>12695</v>
      </c>
      <c r="RDB22" t="s">
        <v>12696</v>
      </c>
      <c r="RDC22" t="s">
        <v>12697</v>
      </c>
      <c r="RDD22" t="s">
        <v>12698</v>
      </c>
      <c r="RDE22" t="s">
        <v>12699</v>
      </c>
      <c r="RDF22" t="s">
        <v>12700</v>
      </c>
      <c r="RDG22" t="s">
        <v>12701</v>
      </c>
      <c r="RDH22" t="s">
        <v>12702</v>
      </c>
      <c r="RDI22" t="s">
        <v>12703</v>
      </c>
      <c r="RDJ22" t="s">
        <v>12704</v>
      </c>
      <c r="RDK22" t="s">
        <v>12705</v>
      </c>
      <c r="RDL22" t="s">
        <v>12706</v>
      </c>
      <c r="RDM22" t="s">
        <v>12707</v>
      </c>
      <c r="RDN22" t="s">
        <v>12708</v>
      </c>
      <c r="RDO22" t="s">
        <v>12709</v>
      </c>
      <c r="RDP22" t="s">
        <v>12710</v>
      </c>
      <c r="RDQ22" t="s">
        <v>12711</v>
      </c>
      <c r="RDR22" t="s">
        <v>12712</v>
      </c>
      <c r="RDS22" t="s">
        <v>12713</v>
      </c>
      <c r="RDT22" t="s">
        <v>12714</v>
      </c>
      <c r="RDU22" t="s">
        <v>12715</v>
      </c>
      <c r="RDV22" t="s">
        <v>12716</v>
      </c>
      <c r="RDW22" t="s">
        <v>12717</v>
      </c>
      <c r="RDX22" t="s">
        <v>12718</v>
      </c>
      <c r="RDY22" t="s">
        <v>12719</v>
      </c>
      <c r="RDZ22" t="s">
        <v>12720</v>
      </c>
      <c r="REA22" t="s">
        <v>12721</v>
      </c>
      <c r="REB22" t="s">
        <v>12722</v>
      </c>
      <c r="REC22" t="s">
        <v>12723</v>
      </c>
      <c r="RED22" t="s">
        <v>12724</v>
      </c>
      <c r="REE22" t="s">
        <v>12725</v>
      </c>
      <c r="REF22" t="s">
        <v>12726</v>
      </c>
      <c r="REG22" t="s">
        <v>12727</v>
      </c>
      <c r="REH22" t="s">
        <v>12728</v>
      </c>
      <c r="REI22" t="s">
        <v>12729</v>
      </c>
      <c r="REJ22" t="s">
        <v>12730</v>
      </c>
      <c r="REK22" t="s">
        <v>12731</v>
      </c>
      <c r="REL22" t="s">
        <v>12732</v>
      </c>
      <c r="REM22" t="s">
        <v>12733</v>
      </c>
      <c r="REN22" t="s">
        <v>12734</v>
      </c>
      <c r="REO22" t="s">
        <v>12735</v>
      </c>
      <c r="REP22" t="s">
        <v>12736</v>
      </c>
      <c r="REQ22" t="s">
        <v>12737</v>
      </c>
      <c r="RER22" t="s">
        <v>12738</v>
      </c>
      <c r="RES22" t="s">
        <v>12739</v>
      </c>
      <c r="RET22" t="s">
        <v>12740</v>
      </c>
      <c r="REU22" t="s">
        <v>12741</v>
      </c>
      <c r="REV22" t="s">
        <v>12742</v>
      </c>
      <c r="REW22" t="s">
        <v>12743</v>
      </c>
      <c r="REX22" t="s">
        <v>12744</v>
      </c>
      <c r="REY22" t="s">
        <v>12745</v>
      </c>
      <c r="REZ22" t="s">
        <v>12746</v>
      </c>
      <c r="RFA22" t="s">
        <v>12747</v>
      </c>
      <c r="RFB22" t="s">
        <v>12748</v>
      </c>
      <c r="RFC22" t="s">
        <v>12749</v>
      </c>
      <c r="RFD22" t="s">
        <v>12750</v>
      </c>
      <c r="RFE22" t="s">
        <v>12751</v>
      </c>
      <c r="RFF22" t="s">
        <v>12752</v>
      </c>
      <c r="RFG22" t="s">
        <v>12753</v>
      </c>
      <c r="RFH22" t="s">
        <v>12754</v>
      </c>
      <c r="RFI22" t="s">
        <v>12755</v>
      </c>
      <c r="RFJ22" t="s">
        <v>12756</v>
      </c>
      <c r="RFK22" t="s">
        <v>12757</v>
      </c>
      <c r="RFL22" t="s">
        <v>12758</v>
      </c>
      <c r="RFM22" t="s">
        <v>12759</v>
      </c>
      <c r="RFN22" t="s">
        <v>12760</v>
      </c>
      <c r="RFO22" t="s">
        <v>12761</v>
      </c>
      <c r="RFP22" t="s">
        <v>12762</v>
      </c>
      <c r="RFQ22" t="s">
        <v>12763</v>
      </c>
      <c r="RFR22" t="s">
        <v>12764</v>
      </c>
      <c r="RFS22" t="s">
        <v>12765</v>
      </c>
      <c r="RFT22" t="s">
        <v>12766</v>
      </c>
      <c r="RFU22" t="s">
        <v>12767</v>
      </c>
      <c r="RFV22" t="s">
        <v>12768</v>
      </c>
      <c r="RFW22" t="s">
        <v>12769</v>
      </c>
      <c r="RFX22" t="s">
        <v>12770</v>
      </c>
      <c r="RFY22" t="s">
        <v>12771</v>
      </c>
      <c r="RFZ22" t="s">
        <v>12772</v>
      </c>
      <c r="RGA22" t="s">
        <v>12773</v>
      </c>
      <c r="RGB22" t="s">
        <v>12774</v>
      </c>
      <c r="RGC22" t="s">
        <v>12775</v>
      </c>
      <c r="RGD22" t="s">
        <v>12776</v>
      </c>
      <c r="RGE22" t="s">
        <v>12777</v>
      </c>
      <c r="RGF22" t="s">
        <v>12778</v>
      </c>
      <c r="RGG22" t="s">
        <v>12779</v>
      </c>
      <c r="RGH22" t="s">
        <v>12780</v>
      </c>
      <c r="RGI22" t="s">
        <v>12781</v>
      </c>
      <c r="RGJ22" t="s">
        <v>12782</v>
      </c>
      <c r="RGK22" t="s">
        <v>12783</v>
      </c>
      <c r="RGL22" t="s">
        <v>12784</v>
      </c>
      <c r="RGM22" t="s">
        <v>12785</v>
      </c>
      <c r="RGN22" t="s">
        <v>12786</v>
      </c>
      <c r="RGO22" t="s">
        <v>12787</v>
      </c>
      <c r="RGP22" t="s">
        <v>12788</v>
      </c>
      <c r="RGQ22" t="s">
        <v>12789</v>
      </c>
      <c r="RGR22" t="s">
        <v>12790</v>
      </c>
      <c r="RGS22" t="s">
        <v>12791</v>
      </c>
      <c r="RGT22" t="s">
        <v>12792</v>
      </c>
      <c r="RGU22" t="s">
        <v>12793</v>
      </c>
      <c r="RGV22" t="s">
        <v>12794</v>
      </c>
      <c r="RGW22" t="s">
        <v>12795</v>
      </c>
      <c r="RGX22" t="s">
        <v>12796</v>
      </c>
      <c r="RGY22" t="s">
        <v>12797</v>
      </c>
      <c r="RGZ22" t="s">
        <v>12798</v>
      </c>
      <c r="RHA22" t="s">
        <v>12799</v>
      </c>
      <c r="RHB22" t="s">
        <v>12800</v>
      </c>
      <c r="RHC22" t="s">
        <v>12801</v>
      </c>
      <c r="RHD22" t="s">
        <v>12802</v>
      </c>
      <c r="RHE22" t="s">
        <v>12803</v>
      </c>
      <c r="RHF22" t="s">
        <v>12804</v>
      </c>
      <c r="RHG22" t="s">
        <v>12805</v>
      </c>
      <c r="RHH22" t="s">
        <v>12806</v>
      </c>
      <c r="RHI22" t="s">
        <v>12807</v>
      </c>
      <c r="RHJ22" t="s">
        <v>12808</v>
      </c>
      <c r="RHK22" t="s">
        <v>12809</v>
      </c>
      <c r="RHL22" t="s">
        <v>12810</v>
      </c>
      <c r="RHM22" t="s">
        <v>12811</v>
      </c>
      <c r="RHN22" t="s">
        <v>12812</v>
      </c>
      <c r="RHO22" t="s">
        <v>12813</v>
      </c>
      <c r="RHP22" t="s">
        <v>12814</v>
      </c>
      <c r="RHQ22" t="s">
        <v>12815</v>
      </c>
      <c r="RHR22" t="s">
        <v>12816</v>
      </c>
      <c r="RHS22" t="s">
        <v>12817</v>
      </c>
      <c r="RHT22" t="s">
        <v>12818</v>
      </c>
      <c r="RHU22" t="s">
        <v>12819</v>
      </c>
      <c r="RHV22" t="s">
        <v>12820</v>
      </c>
      <c r="RHW22" t="s">
        <v>12821</v>
      </c>
      <c r="RHX22" t="s">
        <v>12822</v>
      </c>
      <c r="RHY22" t="s">
        <v>12823</v>
      </c>
      <c r="RHZ22" t="s">
        <v>12824</v>
      </c>
      <c r="RIA22" t="s">
        <v>12825</v>
      </c>
      <c r="RIB22" t="s">
        <v>12826</v>
      </c>
      <c r="RIC22" t="s">
        <v>12827</v>
      </c>
      <c r="RID22" t="s">
        <v>12828</v>
      </c>
      <c r="RIE22" t="s">
        <v>12829</v>
      </c>
      <c r="RIF22" t="s">
        <v>12830</v>
      </c>
      <c r="RIG22" t="s">
        <v>12831</v>
      </c>
      <c r="RIH22" t="s">
        <v>12832</v>
      </c>
      <c r="RII22" t="s">
        <v>12833</v>
      </c>
      <c r="RIJ22" t="s">
        <v>12834</v>
      </c>
      <c r="RIK22" t="s">
        <v>12835</v>
      </c>
      <c r="RIL22" t="s">
        <v>12836</v>
      </c>
      <c r="RIM22" t="s">
        <v>12837</v>
      </c>
      <c r="RIN22" t="s">
        <v>12838</v>
      </c>
      <c r="RIO22" t="s">
        <v>12839</v>
      </c>
      <c r="RIP22" t="s">
        <v>12840</v>
      </c>
      <c r="RIQ22" t="s">
        <v>12841</v>
      </c>
      <c r="RIR22" t="s">
        <v>12842</v>
      </c>
      <c r="RIS22" t="s">
        <v>12843</v>
      </c>
      <c r="RIT22" t="s">
        <v>12844</v>
      </c>
      <c r="RIU22" t="s">
        <v>12845</v>
      </c>
      <c r="RIV22" t="s">
        <v>12846</v>
      </c>
      <c r="RIW22" t="s">
        <v>12847</v>
      </c>
      <c r="RIX22" t="s">
        <v>12848</v>
      </c>
      <c r="RIY22" t="s">
        <v>12849</v>
      </c>
      <c r="RIZ22" t="s">
        <v>12850</v>
      </c>
      <c r="RJA22" t="s">
        <v>12851</v>
      </c>
      <c r="RJB22" t="s">
        <v>12852</v>
      </c>
      <c r="RJC22" t="s">
        <v>12853</v>
      </c>
      <c r="RJD22" t="s">
        <v>12854</v>
      </c>
      <c r="RJE22" t="s">
        <v>12855</v>
      </c>
      <c r="RJF22" t="s">
        <v>12856</v>
      </c>
      <c r="RJG22" t="s">
        <v>12857</v>
      </c>
      <c r="RJH22" t="s">
        <v>12858</v>
      </c>
      <c r="RJI22" t="s">
        <v>12859</v>
      </c>
      <c r="RJJ22" t="s">
        <v>12860</v>
      </c>
      <c r="RJK22" t="s">
        <v>12861</v>
      </c>
      <c r="RJL22" t="s">
        <v>12862</v>
      </c>
      <c r="RJM22" t="s">
        <v>12863</v>
      </c>
      <c r="RJN22" t="s">
        <v>12864</v>
      </c>
      <c r="RJO22" t="s">
        <v>12865</v>
      </c>
      <c r="RJP22" t="s">
        <v>12866</v>
      </c>
      <c r="RJQ22" t="s">
        <v>12867</v>
      </c>
      <c r="RJR22" t="s">
        <v>12868</v>
      </c>
      <c r="RJS22" t="s">
        <v>12869</v>
      </c>
      <c r="RJT22" t="s">
        <v>12870</v>
      </c>
      <c r="RJU22" t="s">
        <v>12871</v>
      </c>
      <c r="RJV22" t="s">
        <v>12872</v>
      </c>
      <c r="RJW22" t="s">
        <v>12873</v>
      </c>
      <c r="RJX22" t="s">
        <v>12874</v>
      </c>
      <c r="RJY22" t="s">
        <v>12875</v>
      </c>
      <c r="RJZ22" t="s">
        <v>12876</v>
      </c>
      <c r="RKA22" t="s">
        <v>12877</v>
      </c>
      <c r="RKB22" t="s">
        <v>12878</v>
      </c>
      <c r="RKC22" t="s">
        <v>12879</v>
      </c>
      <c r="RKD22" t="s">
        <v>12880</v>
      </c>
      <c r="RKE22" t="s">
        <v>12881</v>
      </c>
      <c r="RKF22" t="s">
        <v>12882</v>
      </c>
      <c r="RKG22" t="s">
        <v>12883</v>
      </c>
      <c r="RKH22" t="s">
        <v>12884</v>
      </c>
      <c r="RKI22" t="s">
        <v>12885</v>
      </c>
      <c r="RKJ22" t="s">
        <v>12886</v>
      </c>
      <c r="RKK22" t="s">
        <v>12887</v>
      </c>
      <c r="RKL22" t="s">
        <v>12888</v>
      </c>
      <c r="RKM22" t="s">
        <v>12889</v>
      </c>
      <c r="RKN22" t="s">
        <v>12890</v>
      </c>
      <c r="RKO22" t="s">
        <v>12891</v>
      </c>
      <c r="RKP22" t="s">
        <v>12892</v>
      </c>
      <c r="RKQ22" t="s">
        <v>12893</v>
      </c>
      <c r="RKR22" t="s">
        <v>12894</v>
      </c>
      <c r="RKS22" t="s">
        <v>12895</v>
      </c>
      <c r="RKT22" t="s">
        <v>12896</v>
      </c>
      <c r="RKU22" t="s">
        <v>12897</v>
      </c>
      <c r="RKV22" t="s">
        <v>12898</v>
      </c>
      <c r="RKW22" t="s">
        <v>12899</v>
      </c>
      <c r="RKX22" t="s">
        <v>12900</v>
      </c>
      <c r="RKY22" t="s">
        <v>12901</v>
      </c>
      <c r="RKZ22" t="s">
        <v>12902</v>
      </c>
      <c r="RLA22" t="s">
        <v>12903</v>
      </c>
      <c r="RLB22" t="s">
        <v>12904</v>
      </c>
      <c r="RLC22" t="s">
        <v>12905</v>
      </c>
      <c r="RLD22" t="s">
        <v>12906</v>
      </c>
      <c r="RLE22" t="s">
        <v>12907</v>
      </c>
      <c r="RLF22" t="s">
        <v>12908</v>
      </c>
      <c r="RLG22" t="s">
        <v>12909</v>
      </c>
      <c r="RLH22" t="s">
        <v>12910</v>
      </c>
      <c r="RLI22" t="s">
        <v>12911</v>
      </c>
      <c r="RLJ22" t="s">
        <v>12912</v>
      </c>
      <c r="RLK22" t="s">
        <v>12913</v>
      </c>
      <c r="RLL22" t="s">
        <v>12914</v>
      </c>
      <c r="RLM22" t="s">
        <v>12915</v>
      </c>
      <c r="RLN22" t="s">
        <v>12916</v>
      </c>
      <c r="RLO22" t="s">
        <v>12917</v>
      </c>
      <c r="RLP22" t="s">
        <v>12918</v>
      </c>
      <c r="RLQ22" t="s">
        <v>12919</v>
      </c>
      <c r="RLR22" t="s">
        <v>12920</v>
      </c>
      <c r="RLS22" t="s">
        <v>12921</v>
      </c>
      <c r="RLT22" t="s">
        <v>12922</v>
      </c>
      <c r="RLU22" t="s">
        <v>12923</v>
      </c>
      <c r="RLV22" t="s">
        <v>12924</v>
      </c>
      <c r="RLW22" t="s">
        <v>12925</v>
      </c>
      <c r="RLX22" t="s">
        <v>12926</v>
      </c>
      <c r="RLY22" t="s">
        <v>12927</v>
      </c>
      <c r="RLZ22" t="s">
        <v>12928</v>
      </c>
      <c r="RMA22" t="s">
        <v>12929</v>
      </c>
      <c r="RMB22" t="s">
        <v>12930</v>
      </c>
      <c r="RMC22" t="s">
        <v>12931</v>
      </c>
      <c r="RMD22" t="s">
        <v>12932</v>
      </c>
      <c r="RME22" t="s">
        <v>12933</v>
      </c>
      <c r="RMF22" t="s">
        <v>12934</v>
      </c>
      <c r="RMG22" t="s">
        <v>12935</v>
      </c>
      <c r="RMH22" t="s">
        <v>12936</v>
      </c>
      <c r="RMI22" t="s">
        <v>12937</v>
      </c>
      <c r="RMJ22" t="s">
        <v>12938</v>
      </c>
      <c r="RMK22" t="s">
        <v>12939</v>
      </c>
      <c r="RML22" t="s">
        <v>12940</v>
      </c>
      <c r="RMM22" t="s">
        <v>12941</v>
      </c>
      <c r="RMN22" t="s">
        <v>12942</v>
      </c>
      <c r="RMO22" t="s">
        <v>12943</v>
      </c>
      <c r="RMP22" t="s">
        <v>12944</v>
      </c>
      <c r="RMQ22" t="s">
        <v>12945</v>
      </c>
      <c r="RMR22" t="s">
        <v>12946</v>
      </c>
      <c r="RMS22" t="s">
        <v>12947</v>
      </c>
      <c r="RMT22" t="s">
        <v>12948</v>
      </c>
      <c r="RMU22" t="s">
        <v>12949</v>
      </c>
      <c r="RMV22" t="s">
        <v>12950</v>
      </c>
      <c r="RMW22" t="s">
        <v>12951</v>
      </c>
      <c r="RMX22" t="s">
        <v>12952</v>
      </c>
      <c r="RMY22" t="s">
        <v>12953</v>
      </c>
      <c r="RMZ22" t="s">
        <v>12954</v>
      </c>
      <c r="RNA22" t="s">
        <v>12955</v>
      </c>
      <c r="RNB22" t="s">
        <v>12956</v>
      </c>
      <c r="RNC22" t="s">
        <v>12957</v>
      </c>
      <c r="RND22" t="s">
        <v>12958</v>
      </c>
      <c r="RNE22" t="s">
        <v>12959</v>
      </c>
      <c r="RNF22" t="s">
        <v>12960</v>
      </c>
      <c r="RNG22" t="s">
        <v>12961</v>
      </c>
      <c r="RNH22" t="s">
        <v>12962</v>
      </c>
      <c r="RNI22" t="s">
        <v>12963</v>
      </c>
      <c r="RNJ22" t="s">
        <v>12964</v>
      </c>
      <c r="RNK22" t="s">
        <v>12965</v>
      </c>
      <c r="RNL22" t="s">
        <v>12966</v>
      </c>
      <c r="RNM22" t="s">
        <v>12967</v>
      </c>
      <c r="RNN22" t="s">
        <v>12968</v>
      </c>
      <c r="RNO22" t="s">
        <v>12969</v>
      </c>
      <c r="RNP22" t="s">
        <v>12970</v>
      </c>
      <c r="RNQ22" t="s">
        <v>12971</v>
      </c>
      <c r="RNR22" t="s">
        <v>12972</v>
      </c>
      <c r="RNS22" t="s">
        <v>12973</v>
      </c>
      <c r="RNT22" t="s">
        <v>12974</v>
      </c>
      <c r="RNU22" t="s">
        <v>12975</v>
      </c>
      <c r="RNV22" t="s">
        <v>12976</v>
      </c>
      <c r="RNW22" t="s">
        <v>12977</v>
      </c>
      <c r="RNX22" t="s">
        <v>12978</v>
      </c>
      <c r="RNY22" t="s">
        <v>12979</v>
      </c>
      <c r="RNZ22" t="s">
        <v>12980</v>
      </c>
      <c r="ROA22" t="s">
        <v>12981</v>
      </c>
      <c r="ROB22" t="s">
        <v>12982</v>
      </c>
      <c r="ROC22" t="s">
        <v>12983</v>
      </c>
      <c r="ROD22" t="s">
        <v>12984</v>
      </c>
      <c r="ROE22" t="s">
        <v>12985</v>
      </c>
      <c r="ROF22" t="s">
        <v>12986</v>
      </c>
      <c r="ROG22" t="s">
        <v>12987</v>
      </c>
      <c r="ROH22" t="s">
        <v>12988</v>
      </c>
      <c r="ROI22" t="s">
        <v>12989</v>
      </c>
      <c r="ROJ22" t="s">
        <v>12990</v>
      </c>
      <c r="ROK22" t="s">
        <v>12991</v>
      </c>
      <c r="ROL22" t="s">
        <v>12992</v>
      </c>
      <c r="ROM22" t="s">
        <v>12993</v>
      </c>
      <c r="RON22" t="s">
        <v>12994</v>
      </c>
      <c r="ROO22" t="s">
        <v>12995</v>
      </c>
      <c r="ROP22" t="s">
        <v>12996</v>
      </c>
      <c r="ROQ22" t="s">
        <v>12997</v>
      </c>
      <c r="ROR22" t="s">
        <v>12998</v>
      </c>
      <c r="ROS22" t="s">
        <v>12999</v>
      </c>
      <c r="ROT22" t="s">
        <v>13000</v>
      </c>
      <c r="ROU22" t="s">
        <v>13001</v>
      </c>
      <c r="ROV22" t="s">
        <v>13002</v>
      </c>
      <c r="ROW22" t="s">
        <v>13003</v>
      </c>
      <c r="ROX22" t="s">
        <v>13004</v>
      </c>
      <c r="ROY22" t="s">
        <v>13005</v>
      </c>
      <c r="ROZ22" t="s">
        <v>13006</v>
      </c>
      <c r="RPA22" t="s">
        <v>13007</v>
      </c>
      <c r="RPB22" t="s">
        <v>13008</v>
      </c>
      <c r="RPC22" t="s">
        <v>13009</v>
      </c>
      <c r="RPD22" t="s">
        <v>13010</v>
      </c>
      <c r="RPE22" t="s">
        <v>13011</v>
      </c>
      <c r="RPF22" t="s">
        <v>13012</v>
      </c>
      <c r="RPG22" t="s">
        <v>13013</v>
      </c>
      <c r="RPH22" t="s">
        <v>13014</v>
      </c>
      <c r="RPI22" t="s">
        <v>13015</v>
      </c>
      <c r="RPJ22" t="s">
        <v>13016</v>
      </c>
      <c r="RPK22" t="s">
        <v>13017</v>
      </c>
      <c r="RPL22" t="s">
        <v>13018</v>
      </c>
      <c r="RPM22" t="s">
        <v>13019</v>
      </c>
      <c r="RPN22" t="s">
        <v>13020</v>
      </c>
      <c r="RPO22" t="s">
        <v>13021</v>
      </c>
      <c r="RPP22" t="s">
        <v>13022</v>
      </c>
      <c r="RPQ22" t="s">
        <v>13023</v>
      </c>
      <c r="RPR22" t="s">
        <v>13024</v>
      </c>
      <c r="RPS22" t="s">
        <v>13025</v>
      </c>
      <c r="RPT22" t="s">
        <v>13026</v>
      </c>
      <c r="RPU22" t="s">
        <v>13027</v>
      </c>
      <c r="RPV22" t="s">
        <v>13028</v>
      </c>
      <c r="RPW22" t="s">
        <v>13029</v>
      </c>
      <c r="RPX22" t="s">
        <v>13030</v>
      </c>
      <c r="RPY22" t="s">
        <v>13031</v>
      </c>
      <c r="RPZ22" t="s">
        <v>13032</v>
      </c>
      <c r="RQA22" t="s">
        <v>13033</v>
      </c>
      <c r="RQB22" t="s">
        <v>13034</v>
      </c>
      <c r="RQC22" t="s">
        <v>13035</v>
      </c>
      <c r="RQD22" t="s">
        <v>13036</v>
      </c>
      <c r="RQE22" t="s">
        <v>13037</v>
      </c>
      <c r="RQF22" t="s">
        <v>13038</v>
      </c>
      <c r="RQG22" t="s">
        <v>13039</v>
      </c>
      <c r="RQH22" t="s">
        <v>13040</v>
      </c>
      <c r="RQI22" t="s">
        <v>13041</v>
      </c>
      <c r="RQJ22" t="s">
        <v>13042</v>
      </c>
      <c r="RQK22" t="s">
        <v>13043</v>
      </c>
      <c r="RQL22" t="s">
        <v>13044</v>
      </c>
      <c r="RQM22" t="s">
        <v>13045</v>
      </c>
      <c r="RQN22" t="s">
        <v>13046</v>
      </c>
      <c r="RQO22" t="s">
        <v>13047</v>
      </c>
      <c r="RQP22" t="s">
        <v>13048</v>
      </c>
      <c r="RQQ22" t="s">
        <v>13049</v>
      </c>
      <c r="RQR22" t="s">
        <v>13050</v>
      </c>
      <c r="RQS22" t="s">
        <v>13051</v>
      </c>
      <c r="RQT22" t="s">
        <v>13052</v>
      </c>
      <c r="RQU22" t="s">
        <v>13053</v>
      </c>
      <c r="RQV22" t="s">
        <v>13054</v>
      </c>
      <c r="RQW22" t="s">
        <v>13055</v>
      </c>
      <c r="RQX22" t="s">
        <v>13056</v>
      </c>
      <c r="RQY22" t="s">
        <v>13057</v>
      </c>
      <c r="RQZ22" t="s">
        <v>13058</v>
      </c>
      <c r="RRA22" t="s">
        <v>13059</v>
      </c>
      <c r="RRB22" t="s">
        <v>13060</v>
      </c>
      <c r="RRC22" t="s">
        <v>13061</v>
      </c>
      <c r="RRD22" t="s">
        <v>13062</v>
      </c>
      <c r="RRE22" t="s">
        <v>13063</v>
      </c>
      <c r="RRF22" t="s">
        <v>13064</v>
      </c>
      <c r="RRG22" t="s">
        <v>13065</v>
      </c>
      <c r="RRH22" t="s">
        <v>13066</v>
      </c>
      <c r="RRI22" t="s">
        <v>13067</v>
      </c>
      <c r="RRJ22" t="s">
        <v>13068</v>
      </c>
      <c r="RRK22" t="s">
        <v>13069</v>
      </c>
      <c r="RRL22" t="s">
        <v>13070</v>
      </c>
      <c r="RRM22" t="s">
        <v>13071</v>
      </c>
      <c r="RRN22" t="s">
        <v>13072</v>
      </c>
      <c r="RRO22" t="s">
        <v>13073</v>
      </c>
      <c r="RRP22" t="s">
        <v>13074</v>
      </c>
      <c r="RRQ22" t="s">
        <v>13075</v>
      </c>
      <c r="RRR22" t="s">
        <v>13076</v>
      </c>
      <c r="RRS22" t="s">
        <v>13077</v>
      </c>
      <c r="RRT22" t="s">
        <v>13078</v>
      </c>
      <c r="RRU22" t="s">
        <v>13079</v>
      </c>
      <c r="RRV22" t="s">
        <v>13080</v>
      </c>
      <c r="RRW22" t="s">
        <v>13081</v>
      </c>
      <c r="RRX22" t="s">
        <v>13082</v>
      </c>
      <c r="RRY22" t="s">
        <v>13083</v>
      </c>
      <c r="RRZ22" t="s">
        <v>13084</v>
      </c>
      <c r="RSA22" t="s">
        <v>13085</v>
      </c>
      <c r="RSB22" t="s">
        <v>13086</v>
      </c>
      <c r="RSC22" t="s">
        <v>13087</v>
      </c>
      <c r="RSD22" t="s">
        <v>13088</v>
      </c>
      <c r="RSE22" t="s">
        <v>13089</v>
      </c>
      <c r="RSF22" t="s">
        <v>13090</v>
      </c>
      <c r="RSG22" t="s">
        <v>13091</v>
      </c>
      <c r="RSH22" t="s">
        <v>13092</v>
      </c>
      <c r="RSI22" t="s">
        <v>13093</v>
      </c>
      <c r="RSJ22" t="s">
        <v>13094</v>
      </c>
      <c r="RSK22" t="s">
        <v>13095</v>
      </c>
      <c r="RSL22" t="s">
        <v>13096</v>
      </c>
      <c r="RSM22" t="s">
        <v>13097</v>
      </c>
      <c r="RSN22" t="s">
        <v>13098</v>
      </c>
      <c r="RSO22" t="s">
        <v>13099</v>
      </c>
      <c r="RSP22" t="s">
        <v>13100</v>
      </c>
      <c r="RSQ22" t="s">
        <v>13101</v>
      </c>
      <c r="RSR22" t="s">
        <v>13102</v>
      </c>
      <c r="RSS22" t="s">
        <v>13103</v>
      </c>
      <c r="RST22" t="s">
        <v>13104</v>
      </c>
      <c r="RSU22" t="s">
        <v>13105</v>
      </c>
      <c r="RSV22" t="s">
        <v>13106</v>
      </c>
      <c r="RSW22" t="s">
        <v>13107</v>
      </c>
      <c r="RSX22" t="s">
        <v>13108</v>
      </c>
      <c r="RSY22" t="s">
        <v>13109</v>
      </c>
      <c r="RSZ22" t="s">
        <v>13110</v>
      </c>
      <c r="RTA22" t="s">
        <v>13111</v>
      </c>
      <c r="RTB22" t="s">
        <v>13112</v>
      </c>
      <c r="RTC22" t="s">
        <v>13113</v>
      </c>
      <c r="RTD22" t="s">
        <v>13114</v>
      </c>
      <c r="RTE22" t="s">
        <v>13115</v>
      </c>
      <c r="RTF22" t="s">
        <v>13116</v>
      </c>
      <c r="RTG22" t="s">
        <v>13117</v>
      </c>
      <c r="RTH22" t="s">
        <v>13118</v>
      </c>
      <c r="RTI22" t="s">
        <v>13119</v>
      </c>
      <c r="RTJ22" t="s">
        <v>13120</v>
      </c>
      <c r="RTK22" t="s">
        <v>13121</v>
      </c>
      <c r="RTL22" t="s">
        <v>13122</v>
      </c>
      <c r="RTM22" t="s">
        <v>13123</v>
      </c>
      <c r="RTN22" t="s">
        <v>13124</v>
      </c>
      <c r="RTO22" t="s">
        <v>13125</v>
      </c>
      <c r="RTP22" t="s">
        <v>13126</v>
      </c>
      <c r="RTQ22" t="s">
        <v>13127</v>
      </c>
      <c r="RTR22" t="s">
        <v>13128</v>
      </c>
      <c r="RTS22" t="s">
        <v>13129</v>
      </c>
      <c r="RTT22" t="s">
        <v>13130</v>
      </c>
      <c r="RTU22" t="s">
        <v>13131</v>
      </c>
      <c r="RTV22" t="s">
        <v>13132</v>
      </c>
      <c r="RTW22" t="s">
        <v>13133</v>
      </c>
      <c r="RTX22" t="s">
        <v>13134</v>
      </c>
      <c r="RTY22" t="s">
        <v>13135</v>
      </c>
      <c r="RTZ22" t="s">
        <v>13136</v>
      </c>
      <c r="RUA22" t="s">
        <v>13137</v>
      </c>
      <c r="RUB22" t="s">
        <v>13138</v>
      </c>
      <c r="RUC22" t="s">
        <v>13139</v>
      </c>
      <c r="RUD22" t="s">
        <v>13140</v>
      </c>
      <c r="RUE22" t="s">
        <v>13141</v>
      </c>
      <c r="RUF22" t="s">
        <v>13142</v>
      </c>
      <c r="RUG22" t="s">
        <v>13143</v>
      </c>
      <c r="RUH22" t="s">
        <v>13144</v>
      </c>
      <c r="RUI22" t="s">
        <v>13145</v>
      </c>
      <c r="RUJ22" t="s">
        <v>13146</v>
      </c>
      <c r="RUK22" t="s">
        <v>13147</v>
      </c>
      <c r="RUL22" t="s">
        <v>13148</v>
      </c>
      <c r="RUM22" t="s">
        <v>13149</v>
      </c>
      <c r="RUN22" t="s">
        <v>13150</v>
      </c>
      <c r="RUO22" t="s">
        <v>13151</v>
      </c>
      <c r="RUP22" t="s">
        <v>13152</v>
      </c>
      <c r="RUQ22" t="s">
        <v>13153</v>
      </c>
      <c r="RUR22" t="s">
        <v>13154</v>
      </c>
      <c r="RUS22" t="s">
        <v>13155</v>
      </c>
      <c r="RUT22" t="s">
        <v>13156</v>
      </c>
      <c r="RUU22" t="s">
        <v>13157</v>
      </c>
      <c r="RUV22" t="s">
        <v>13158</v>
      </c>
      <c r="RUW22" t="s">
        <v>13159</v>
      </c>
      <c r="RUX22" t="s">
        <v>13160</v>
      </c>
      <c r="RUY22" t="s">
        <v>13161</v>
      </c>
      <c r="RUZ22" t="s">
        <v>13162</v>
      </c>
      <c r="RVA22" t="s">
        <v>13163</v>
      </c>
      <c r="RVB22" t="s">
        <v>13164</v>
      </c>
      <c r="RVC22" t="s">
        <v>13165</v>
      </c>
      <c r="RVD22" t="s">
        <v>13166</v>
      </c>
      <c r="RVE22" t="s">
        <v>13167</v>
      </c>
      <c r="RVF22" t="s">
        <v>13168</v>
      </c>
      <c r="RVG22" t="s">
        <v>13169</v>
      </c>
      <c r="RVH22" t="s">
        <v>13170</v>
      </c>
      <c r="RVI22" t="s">
        <v>13171</v>
      </c>
      <c r="RVJ22" t="s">
        <v>13172</v>
      </c>
      <c r="RVK22" t="s">
        <v>13173</v>
      </c>
      <c r="RVL22" t="s">
        <v>13174</v>
      </c>
      <c r="RVM22" t="s">
        <v>13175</v>
      </c>
      <c r="RVN22" t="s">
        <v>13176</v>
      </c>
      <c r="RVO22" t="s">
        <v>13177</v>
      </c>
      <c r="RVP22" t="s">
        <v>13178</v>
      </c>
      <c r="RVQ22" t="s">
        <v>13179</v>
      </c>
      <c r="RVR22" t="s">
        <v>13180</v>
      </c>
      <c r="RVS22" t="s">
        <v>13181</v>
      </c>
      <c r="RVT22" t="s">
        <v>13182</v>
      </c>
      <c r="RVU22" t="s">
        <v>13183</v>
      </c>
      <c r="RVV22" t="s">
        <v>13184</v>
      </c>
      <c r="RVW22" t="s">
        <v>13185</v>
      </c>
      <c r="RVX22" t="s">
        <v>13186</v>
      </c>
      <c r="RVY22" t="s">
        <v>13187</v>
      </c>
      <c r="RVZ22" t="s">
        <v>13188</v>
      </c>
      <c r="RWA22" t="s">
        <v>13189</v>
      </c>
      <c r="RWB22" t="s">
        <v>13190</v>
      </c>
      <c r="RWC22" t="s">
        <v>13191</v>
      </c>
      <c r="RWD22" t="s">
        <v>13192</v>
      </c>
      <c r="RWE22" t="s">
        <v>13193</v>
      </c>
      <c r="RWF22" t="s">
        <v>13194</v>
      </c>
      <c r="RWG22" t="s">
        <v>13195</v>
      </c>
      <c r="RWH22" t="s">
        <v>13196</v>
      </c>
      <c r="RWI22" t="s">
        <v>13197</v>
      </c>
      <c r="RWJ22" t="s">
        <v>13198</v>
      </c>
      <c r="RWK22" t="s">
        <v>13199</v>
      </c>
      <c r="RWL22" t="s">
        <v>13200</v>
      </c>
      <c r="RWM22" t="s">
        <v>13201</v>
      </c>
      <c r="RWN22" t="s">
        <v>13202</v>
      </c>
      <c r="RWO22" t="s">
        <v>13203</v>
      </c>
      <c r="RWP22" t="s">
        <v>13204</v>
      </c>
      <c r="RWQ22" t="s">
        <v>13205</v>
      </c>
      <c r="RWR22" t="s">
        <v>13206</v>
      </c>
      <c r="RWS22" t="s">
        <v>13207</v>
      </c>
      <c r="RWT22" t="s">
        <v>13208</v>
      </c>
      <c r="RWU22" t="s">
        <v>13209</v>
      </c>
      <c r="RWV22" t="s">
        <v>13210</v>
      </c>
      <c r="RWW22" t="s">
        <v>13211</v>
      </c>
      <c r="RWX22" t="s">
        <v>13212</v>
      </c>
      <c r="RWY22" t="s">
        <v>13213</v>
      </c>
      <c r="RWZ22" t="s">
        <v>13214</v>
      </c>
      <c r="RXA22" t="s">
        <v>13215</v>
      </c>
      <c r="RXB22" t="s">
        <v>13216</v>
      </c>
      <c r="RXC22" t="s">
        <v>13217</v>
      </c>
      <c r="RXD22" t="s">
        <v>13218</v>
      </c>
      <c r="RXE22" t="s">
        <v>13219</v>
      </c>
      <c r="RXF22" t="s">
        <v>13220</v>
      </c>
      <c r="RXG22" t="s">
        <v>13221</v>
      </c>
      <c r="RXH22" t="s">
        <v>13222</v>
      </c>
      <c r="RXI22" t="s">
        <v>13223</v>
      </c>
      <c r="RXJ22" t="s">
        <v>13224</v>
      </c>
      <c r="RXK22" t="s">
        <v>13225</v>
      </c>
      <c r="RXL22" t="s">
        <v>13226</v>
      </c>
      <c r="RXM22" t="s">
        <v>13227</v>
      </c>
      <c r="RXN22" t="s">
        <v>13228</v>
      </c>
      <c r="RXO22" t="s">
        <v>13229</v>
      </c>
      <c r="RXP22" t="s">
        <v>13230</v>
      </c>
      <c r="RXQ22" t="s">
        <v>13231</v>
      </c>
      <c r="RXR22" t="s">
        <v>13232</v>
      </c>
      <c r="RXS22" t="s">
        <v>13233</v>
      </c>
      <c r="RXT22" t="s">
        <v>13234</v>
      </c>
      <c r="RXU22" t="s">
        <v>13235</v>
      </c>
      <c r="RXV22" t="s">
        <v>13236</v>
      </c>
      <c r="RXW22" t="s">
        <v>13237</v>
      </c>
      <c r="RXX22" t="s">
        <v>13238</v>
      </c>
      <c r="RXY22" t="s">
        <v>13239</v>
      </c>
      <c r="RXZ22" t="s">
        <v>13240</v>
      </c>
      <c r="RYA22" t="s">
        <v>13241</v>
      </c>
      <c r="RYB22" t="s">
        <v>13242</v>
      </c>
      <c r="RYC22" t="s">
        <v>13243</v>
      </c>
      <c r="RYD22" t="s">
        <v>13244</v>
      </c>
      <c r="RYE22" t="s">
        <v>13245</v>
      </c>
      <c r="RYF22" t="s">
        <v>13246</v>
      </c>
      <c r="RYG22" t="s">
        <v>13247</v>
      </c>
      <c r="RYH22" t="s">
        <v>13248</v>
      </c>
      <c r="RYI22" t="s">
        <v>13249</v>
      </c>
      <c r="RYJ22" t="s">
        <v>13250</v>
      </c>
      <c r="RYK22" t="s">
        <v>13251</v>
      </c>
      <c r="RYL22" t="s">
        <v>13252</v>
      </c>
      <c r="RYM22" t="s">
        <v>13253</v>
      </c>
      <c r="RYN22" t="s">
        <v>13254</v>
      </c>
      <c r="RYO22" t="s">
        <v>13255</v>
      </c>
      <c r="RYP22" t="s">
        <v>13256</v>
      </c>
      <c r="RYQ22" t="s">
        <v>13257</v>
      </c>
      <c r="RYR22" t="s">
        <v>13258</v>
      </c>
      <c r="RYS22" t="s">
        <v>13259</v>
      </c>
      <c r="RYT22" t="s">
        <v>13260</v>
      </c>
      <c r="RYU22" t="s">
        <v>13261</v>
      </c>
      <c r="RYV22" t="s">
        <v>13262</v>
      </c>
      <c r="RYW22" t="s">
        <v>13263</v>
      </c>
      <c r="RYX22" t="s">
        <v>13264</v>
      </c>
      <c r="RYY22" t="s">
        <v>13265</v>
      </c>
      <c r="RYZ22" t="s">
        <v>13266</v>
      </c>
      <c r="RZA22" t="s">
        <v>13267</v>
      </c>
      <c r="RZB22" t="s">
        <v>13268</v>
      </c>
      <c r="RZC22" t="s">
        <v>13269</v>
      </c>
      <c r="RZD22" t="s">
        <v>13270</v>
      </c>
      <c r="RZE22" t="s">
        <v>13271</v>
      </c>
      <c r="RZF22" t="s">
        <v>13272</v>
      </c>
      <c r="RZG22" t="s">
        <v>13273</v>
      </c>
      <c r="RZH22" t="s">
        <v>13274</v>
      </c>
      <c r="RZI22" t="s">
        <v>13275</v>
      </c>
      <c r="RZJ22" t="s">
        <v>13276</v>
      </c>
      <c r="RZK22" t="s">
        <v>13277</v>
      </c>
      <c r="RZL22" t="s">
        <v>13278</v>
      </c>
      <c r="RZM22" t="s">
        <v>13279</v>
      </c>
      <c r="RZN22" t="s">
        <v>13280</v>
      </c>
      <c r="RZO22" t="s">
        <v>13281</v>
      </c>
      <c r="RZP22" t="s">
        <v>13282</v>
      </c>
      <c r="RZQ22" t="s">
        <v>13283</v>
      </c>
      <c r="RZR22" t="s">
        <v>13284</v>
      </c>
      <c r="RZS22" t="s">
        <v>13285</v>
      </c>
      <c r="RZT22" t="s">
        <v>13286</v>
      </c>
      <c r="RZU22" t="s">
        <v>13287</v>
      </c>
      <c r="RZV22" t="s">
        <v>13288</v>
      </c>
      <c r="RZW22" t="s">
        <v>13289</v>
      </c>
      <c r="RZX22" t="s">
        <v>13290</v>
      </c>
      <c r="RZY22" t="s">
        <v>13291</v>
      </c>
      <c r="RZZ22" t="s">
        <v>13292</v>
      </c>
      <c r="SAA22" t="s">
        <v>13293</v>
      </c>
      <c r="SAB22" t="s">
        <v>13294</v>
      </c>
      <c r="SAC22" t="s">
        <v>13295</v>
      </c>
      <c r="SAD22" t="s">
        <v>13296</v>
      </c>
      <c r="SAE22" t="s">
        <v>13297</v>
      </c>
      <c r="SAF22" t="s">
        <v>13298</v>
      </c>
      <c r="SAG22" t="s">
        <v>13299</v>
      </c>
      <c r="SAH22" t="s">
        <v>13300</v>
      </c>
      <c r="SAI22" t="s">
        <v>13301</v>
      </c>
      <c r="SAJ22" t="s">
        <v>13302</v>
      </c>
      <c r="SAK22" t="s">
        <v>13303</v>
      </c>
      <c r="SAL22" t="s">
        <v>13304</v>
      </c>
      <c r="SAM22" t="s">
        <v>13305</v>
      </c>
      <c r="SAN22" t="s">
        <v>13306</v>
      </c>
      <c r="SAO22" t="s">
        <v>13307</v>
      </c>
      <c r="SAP22" t="s">
        <v>13308</v>
      </c>
      <c r="SAQ22" t="s">
        <v>13309</v>
      </c>
      <c r="SAR22" t="s">
        <v>13310</v>
      </c>
      <c r="SAS22" t="s">
        <v>13311</v>
      </c>
      <c r="SAT22" t="s">
        <v>13312</v>
      </c>
      <c r="SAU22" t="s">
        <v>13313</v>
      </c>
      <c r="SAV22" t="s">
        <v>13314</v>
      </c>
      <c r="SAW22" t="s">
        <v>13315</v>
      </c>
      <c r="SAX22" t="s">
        <v>13316</v>
      </c>
      <c r="SAY22" t="s">
        <v>13317</v>
      </c>
      <c r="SAZ22" t="s">
        <v>13318</v>
      </c>
      <c r="SBA22" t="s">
        <v>13319</v>
      </c>
      <c r="SBB22" t="s">
        <v>13320</v>
      </c>
      <c r="SBC22" t="s">
        <v>13321</v>
      </c>
      <c r="SBD22" t="s">
        <v>13322</v>
      </c>
      <c r="SBE22" t="s">
        <v>13323</v>
      </c>
      <c r="SBF22" t="s">
        <v>13324</v>
      </c>
      <c r="SBG22" t="s">
        <v>13325</v>
      </c>
      <c r="SBH22" t="s">
        <v>13326</v>
      </c>
      <c r="SBI22" t="s">
        <v>13327</v>
      </c>
      <c r="SBJ22" t="s">
        <v>13328</v>
      </c>
      <c r="SBK22" t="s">
        <v>13329</v>
      </c>
      <c r="SBL22" t="s">
        <v>13330</v>
      </c>
      <c r="SBM22" t="s">
        <v>13331</v>
      </c>
      <c r="SBN22" t="s">
        <v>13332</v>
      </c>
      <c r="SBO22" t="s">
        <v>13333</v>
      </c>
      <c r="SBP22" t="s">
        <v>13334</v>
      </c>
      <c r="SBQ22" t="s">
        <v>13335</v>
      </c>
      <c r="SBR22" t="s">
        <v>13336</v>
      </c>
      <c r="SBS22" t="s">
        <v>13337</v>
      </c>
      <c r="SBT22" t="s">
        <v>13338</v>
      </c>
      <c r="SBU22" t="s">
        <v>13339</v>
      </c>
      <c r="SBV22" t="s">
        <v>13340</v>
      </c>
      <c r="SBW22" t="s">
        <v>13341</v>
      </c>
      <c r="SBX22" t="s">
        <v>13342</v>
      </c>
      <c r="SBY22" t="s">
        <v>13343</v>
      </c>
      <c r="SBZ22" t="s">
        <v>13344</v>
      </c>
      <c r="SCA22" t="s">
        <v>13345</v>
      </c>
      <c r="SCB22" t="s">
        <v>13346</v>
      </c>
      <c r="SCC22" t="s">
        <v>13347</v>
      </c>
      <c r="SCD22" t="s">
        <v>13348</v>
      </c>
      <c r="SCE22" t="s">
        <v>13349</v>
      </c>
      <c r="SCF22" t="s">
        <v>13350</v>
      </c>
      <c r="SCG22" t="s">
        <v>13351</v>
      </c>
      <c r="SCH22" t="s">
        <v>13352</v>
      </c>
      <c r="SCI22" t="s">
        <v>13353</v>
      </c>
      <c r="SCJ22" t="s">
        <v>13354</v>
      </c>
      <c r="SCK22" t="s">
        <v>13355</v>
      </c>
      <c r="SCL22" t="s">
        <v>13356</v>
      </c>
      <c r="SCM22" t="s">
        <v>13357</v>
      </c>
      <c r="SCN22" t="s">
        <v>13358</v>
      </c>
      <c r="SCO22" t="s">
        <v>13359</v>
      </c>
      <c r="SCP22" t="s">
        <v>13360</v>
      </c>
      <c r="SCQ22" t="s">
        <v>13361</v>
      </c>
      <c r="SCR22" t="s">
        <v>13362</v>
      </c>
      <c r="SCS22" t="s">
        <v>13363</v>
      </c>
      <c r="SCT22" t="s">
        <v>13364</v>
      </c>
      <c r="SCU22" t="s">
        <v>13365</v>
      </c>
      <c r="SCV22" t="s">
        <v>13366</v>
      </c>
      <c r="SCW22" t="s">
        <v>13367</v>
      </c>
      <c r="SCX22" t="s">
        <v>13368</v>
      </c>
      <c r="SCY22" t="s">
        <v>13369</v>
      </c>
      <c r="SCZ22" t="s">
        <v>13370</v>
      </c>
      <c r="SDA22" t="s">
        <v>13371</v>
      </c>
      <c r="SDB22" t="s">
        <v>13372</v>
      </c>
      <c r="SDC22" t="s">
        <v>13373</v>
      </c>
      <c r="SDD22" t="s">
        <v>13374</v>
      </c>
      <c r="SDE22" t="s">
        <v>13375</v>
      </c>
      <c r="SDF22" t="s">
        <v>13376</v>
      </c>
      <c r="SDG22" t="s">
        <v>13377</v>
      </c>
      <c r="SDH22" t="s">
        <v>13378</v>
      </c>
      <c r="SDI22" t="s">
        <v>13379</v>
      </c>
      <c r="SDJ22" t="s">
        <v>13380</v>
      </c>
      <c r="SDK22" t="s">
        <v>13381</v>
      </c>
      <c r="SDL22" t="s">
        <v>13382</v>
      </c>
      <c r="SDM22" t="s">
        <v>13383</v>
      </c>
      <c r="SDN22" t="s">
        <v>13384</v>
      </c>
      <c r="SDO22" t="s">
        <v>13385</v>
      </c>
      <c r="SDP22" t="s">
        <v>13386</v>
      </c>
      <c r="SDQ22" t="s">
        <v>13387</v>
      </c>
      <c r="SDR22" t="s">
        <v>13388</v>
      </c>
      <c r="SDS22" t="s">
        <v>13389</v>
      </c>
      <c r="SDT22" t="s">
        <v>13390</v>
      </c>
      <c r="SDU22" t="s">
        <v>13391</v>
      </c>
      <c r="SDV22" t="s">
        <v>13392</v>
      </c>
      <c r="SDW22" t="s">
        <v>13393</v>
      </c>
      <c r="SDX22" t="s">
        <v>13394</v>
      </c>
      <c r="SDY22" t="s">
        <v>13395</v>
      </c>
      <c r="SDZ22" t="s">
        <v>13396</v>
      </c>
      <c r="SEA22" t="s">
        <v>13397</v>
      </c>
      <c r="SEB22" t="s">
        <v>13398</v>
      </c>
      <c r="SEC22" t="s">
        <v>13399</v>
      </c>
      <c r="SED22" t="s">
        <v>13400</v>
      </c>
      <c r="SEE22" t="s">
        <v>13401</v>
      </c>
      <c r="SEF22" t="s">
        <v>13402</v>
      </c>
      <c r="SEG22" t="s">
        <v>13403</v>
      </c>
      <c r="SEH22" t="s">
        <v>13404</v>
      </c>
      <c r="SEI22" t="s">
        <v>13405</v>
      </c>
      <c r="SEJ22" t="s">
        <v>13406</v>
      </c>
      <c r="SEK22" t="s">
        <v>13407</v>
      </c>
      <c r="SEL22" t="s">
        <v>13408</v>
      </c>
      <c r="SEM22" t="s">
        <v>13409</v>
      </c>
      <c r="SEN22" t="s">
        <v>13410</v>
      </c>
      <c r="SEO22" t="s">
        <v>13411</v>
      </c>
      <c r="SEP22" t="s">
        <v>13412</v>
      </c>
      <c r="SEQ22" t="s">
        <v>13413</v>
      </c>
      <c r="SER22" t="s">
        <v>13414</v>
      </c>
      <c r="SES22" t="s">
        <v>13415</v>
      </c>
      <c r="SET22" t="s">
        <v>13416</v>
      </c>
      <c r="SEU22" t="s">
        <v>13417</v>
      </c>
      <c r="SEV22" t="s">
        <v>13418</v>
      </c>
      <c r="SEW22" t="s">
        <v>13419</v>
      </c>
      <c r="SEX22" t="s">
        <v>13420</v>
      </c>
      <c r="SEY22" t="s">
        <v>13421</v>
      </c>
      <c r="SEZ22" t="s">
        <v>13422</v>
      </c>
      <c r="SFA22" t="s">
        <v>13423</v>
      </c>
      <c r="SFB22" t="s">
        <v>13424</v>
      </c>
      <c r="SFC22" t="s">
        <v>13425</v>
      </c>
      <c r="SFD22" t="s">
        <v>13426</v>
      </c>
      <c r="SFE22" t="s">
        <v>13427</v>
      </c>
      <c r="SFF22" t="s">
        <v>13428</v>
      </c>
      <c r="SFG22" t="s">
        <v>13429</v>
      </c>
      <c r="SFH22" t="s">
        <v>13430</v>
      </c>
      <c r="SFI22" t="s">
        <v>13431</v>
      </c>
      <c r="SFJ22" t="s">
        <v>13432</v>
      </c>
      <c r="SFK22" t="s">
        <v>13433</v>
      </c>
      <c r="SFL22" t="s">
        <v>13434</v>
      </c>
      <c r="SFM22" t="s">
        <v>13435</v>
      </c>
      <c r="SFN22" t="s">
        <v>13436</v>
      </c>
      <c r="SFO22" t="s">
        <v>13437</v>
      </c>
      <c r="SFP22" t="s">
        <v>13438</v>
      </c>
      <c r="SFQ22" t="s">
        <v>13439</v>
      </c>
      <c r="SFR22" t="s">
        <v>13440</v>
      </c>
      <c r="SFS22" t="s">
        <v>13441</v>
      </c>
      <c r="SFT22" t="s">
        <v>13442</v>
      </c>
      <c r="SFU22" t="s">
        <v>13443</v>
      </c>
      <c r="SFV22" t="s">
        <v>13444</v>
      </c>
      <c r="SFW22" t="s">
        <v>13445</v>
      </c>
      <c r="SFX22" t="s">
        <v>13446</v>
      </c>
      <c r="SFY22" t="s">
        <v>13447</v>
      </c>
      <c r="SFZ22" t="s">
        <v>13448</v>
      </c>
      <c r="SGA22" t="s">
        <v>13449</v>
      </c>
      <c r="SGB22" t="s">
        <v>13450</v>
      </c>
      <c r="SGC22" t="s">
        <v>13451</v>
      </c>
      <c r="SGD22" t="s">
        <v>13452</v>
      </c>
      <c r="SGE22" t="s">
        <v>13453</v>
      </c>
      <c r="SGF22" t="s">
        <v>13454</v>
      </c>
      <c r="SGG22" t="s">
        <v>13455</v>
      </c>
      <c r="SGH22" t="s">
        <v>13456</v>
      </c>
      <c r="SGI22" t="s">
        <v>13457</v>
      </c>
      <c r="SGJ22" t="s">
        <v>13458</v>
      </c>
      <c r="SGK22" t="s">
        <v>13459</v>
      </c>
      <c r="SGL22" t="s">
        <v>13460</v>
      </c>
      <c r="SGM22" t="s">
        <v>13461</v>
      </c>
      <c r="SGN22" t="s">
        <v>13462</v>
      </c>
      <c r="SGO22" t="s">
        <v>13463</v>
      </c>
      <c r="SGP22" t="s">
        <v>13464</v>
      </c>
      <c r="SGQ22" t="s">
        <v>13465</v>
      </c>
      <c r="SGR22" t="s">
        <v>13466</v>
      </c>
      <c r="SGS22" t="s">
        <v>13467</v>
      </c>
      <c r="SGT22" t="s">
        <v>13468</v>
      </c>
      <c r="SGU22" t="s">
        <v>13469</v>
      </c>
      <c r="SGV22" t="s">
        <v>13470</v>
      </c>
      <c r="SGW22" t="s">
        <v>13471</v>
      </c>
      <c r="SGX22" t="s">
        <v>13472</v>
      </c>
      <c r="SGY22" t="s">
        <v>13473</v>
      </c>
      <c r="SGZ22" t="s">
        <v>13474</v>
      </c>
      <c r="SHA22" t="s">
        <v>13475</v>
      </c>
      <c r="SHB22" t="s">
        <v>13476</v>
      </c>
      <c r="SHC22" t="s">
        <v>13477</v>
      </c>
      <c r="SHD22" t="s">
        <v>13478</v>
      </c>
      <c r="SHE22" t="s">
        <v>13479</v>
      </c>
      <c r="SHF22" t="s">
        <v>13480</v>
      </c>
      <c r="SHG22" t="s">
        <v>13481</v>
      </c>
      <c r="SHH22" t="s">
        <v>13482</v>
      </c>
      <c r="SHI22" t="s">
        <v>13483</v>
      </c>
      <c r="SHJ22" t="s">
        <v>13484</v>
      </c>
      <c r="SHK22" t="s">
        <v>13485</v>
      </c>
      <c r="SHL22" t="s">
        <v>13486</v>
      </c>
      <c r="SHM22" t="s">
        <v>13487</v>
      </c>
      <c r="SHN22" t="s">
        <v>13488</v>
      </c>
      <c r="SHO22" t="s">
        <v>13489</v>
      </c>
      <c r="SHP22" t="s">
        <v>13490</v>
      </c>
      <c r="SHQ22" t="s">
        <v>13491</v>
      </c>
      <c r="SHR22" t="s">
        <v>13492</v>
      </c>
      <c r="SHS22" t="s">
        <v>13493</v>
      </c>
      <c r="SHT22" t="s">
        <v>13494</v>
      </c>
      <c r="SHU22" t="s">
        <v>13495</v>
      </c>
      <c r="SHV22" t="s">
        <v>13496</v>
      </c>
      <c r="SHW22" t="s">
        <v>13497</v>
      </c>
      <c r="SHX22" t="s">
        <v>13498</v>
      </c>
      <c r="SHY22" t="s">
        <v>13499</v>
      </c>
      <c r="SHZ22" t="s">
        <v>13500</v>
      </c>
      <c r="SIA22" t="s">
        <v>13501</v>
      </c>
      <c r="SIB22" t="s">
        <v>13502</v>
      </c>
      <c r="SIC22" t="s">
        <v>13503</v>
      </c>
      <c r="SID22" t="s">
        <v>13504</v>
      </c>
      <c r="SIE22" t="s">
        <v>13505</v>
      </c>
      <c r="SIF22" t="s">
        <v>13506</v>
      </c>
      <c r="SIG22" t="s">
        <v>13507</v>
      </c>
      <c r="SIH22" t="s">
        <v>13508</v>
      </c>
      <c r="SII22" t="s">
        <v>13509</v>
      </c>
      <c r="SIJ22" t="s">
        <v>13510</v>
      </c>
      <c r="SIK22" t="s">
        <v>13511</v>
      </c>
      <c r="SIL22" t="s">
        <v>13512</v>
      </c>
      <c r="SIM22" t="s">
        <v>13513</v>
      </c>
      <c r="SIN22" t="s">
        <v>13514</v>
      </c>
      <c r="SIO22" t="s">
        <v>13515</v>
      </c>
      <c r="SIP22" t="s">
        <v>13516</v>
      </c>
      <c r="SIQ22" t="s">
        <v>13517</v>
      </c>
      <c r="SIR22" t="s">
        <v>13518</v>
      </c>
      <c r="SIS22" t="s">
        <v>13519</v>
      </c>
      <c r="SIT22" t="s">
        <v>13520</v>
      </c>
      <c r="SIU22" t="s">
        <v>13521</v>
      </c>
      <c r="SIV22" t="s">
        <v>13522</v>
      </c>
      <c r="SIW22" t="s">
        <v>13523</v>
      </c>
      <c r="SIX22" t="s">
        <v>13524</v>
      </c>
      <c r="SIY22" t="s">
        <v>13525</v>
      </c>
      <c r="SIZ22" t="s">
        <v>13526</v>
      </c>
      <c r="SJA22" t="s">
        <v>13527</v>
      </c>
      <c r="SJB22" t="s">
        <v>13528</v>
      </c>
      <c r="SJC22" t="s">
        <v>13529</v>
      </c>
      <c r="SJD22" t="s">
        <v>13530</v>
      </c>
      <c r="SJE22" t="s">
        <v>13531</v>
      </c>
      <c r="SJF22" t="s">
        <v>13532</v>
      </c>
      <c r="SJG22" t="s">
        <v>13533</v>
      </c>
      <c r="SJH22" t="s">
        <v>13534</v>
      </c>
      <c r="SJI22" t="s">
        <v>13535</v>
      </c>
      <c r="SJJ22" t="s">
        <v>13536</v>
      </c>
      <c r="SJK22" t="s">
        <v>13537</v>
      </c>
      <c r="SJL22" t="s">
        <v>13538</v>
      </c>
      <c r="SJM22" t="s">
        <v>13539</v>
      </c>
      <c r="SJN22" t="s">
        <v>13540</v>
      </c>
      <c r="SJO22" t="s">
        <v>13541</v>
      </c>
      <c r="SJP22" t="s">
        <v>13542</v>
      </c>
      <c r="SJQ22" t="s">
        <v>13543</v>
      </c>
      <c r="SJR22" t="s">
        <v>13544</v>
      </c>
      <c r="SJS22" t="s">
        <v>13545</v>
      </c>
      <c r="SJT22" t="s">
        <v>13546</v>
      </c>
      <c r="SJU22" t="s">
        <v>13547</v>
      </c>
      <c r="SJV22" t="s">
        <v>13548</v>
      </c>
      <c r="SJW22" t="s">
        <v>13549</v>
      </c>
      <c r="SJX22" t="s">
        <v>13550</v>
      </c>
      <c r="SJY22" t="s">
        <v>13551</v>
      </c>
      <c r="SJZ22" t="s">
        <v>13552</v>
      </c>
      <c r="SKA22" t="s">
        <v>13553</v>
      </c>
      <c r="SKB22" t="s">
        <v>13554</v>
      </c>
      <c r="SKC22" t="s">
        <v>13555</v>
      </c>
      <c r="SKD22" t="s">
        <v>13556</v>
      </c>
      <c r="SKE22" t="s">
        <v>13557</v>
      </c>
      <c r="SKF22" t="s">
        <v>13558</v>
      </c>
      <c r="SKG22" t="s">
        <v>13559</v>
      </c>
      <c r="SKH22" t="s">
        <v>13560</v>
      </c>
      <c r="SKI22" t="s">
        <v>13561</v>
      </c>
      <c r="SKJ22" t="s">
        <v>13562</v>
      </c>
      <c r="SKK22" t="s">
        <v>13563</v>
      </c>
      <c r="SKL22" t="s">
        <v>13564</v>
      </c>
      <c r="SKM22" t="s">
        <v>13565</v>
      </c>
      <c r="SKN22" t="s">
        <v>13566</v>
      </c>
      <c r="SKO22" t="s">
        <v>13567</v>
      </c>
      <c r="SKP22" t="s">
        <v>13568</v>
      </c>
      <c r="SKQ22" t="s">
        <v>13569</v>
      </c>
      <c r="SKR22" t="s">
        <v>13570</v>
      </c>
      <c r="SKS22" t="s">
        <v>13571</v>
      </c>
      <c r="SKT22" t="s">
        <v>13572</v>
      </c>
      <c r="SKU22" t="s">
        <v>13573</v>
      </c>
      <c r="SKV22" t="s">
        <v>13574</v>
      </c>
      <c r="SKW22" t="s">
        <v>13575</v>
      </c>
      <c r="SKX22" t="s">
        <v>13576</v>
      </c>
      <c r="SKY22" t="s">
        <v>13577</v>
      </c>
      <c r="SKZ22" t="s">
        <v>13578</v>
      </c>
      <c r="SLA22" t="s">
        <v>13579</v>
      </c>
      <c r="SLB22" t="s">
        <v>13580</v>
      </c>
      <c r="SLC22" t="s">
        <v>13581</v>
      </c>
      <c r="SLD22" t="s">
        <v>13582</v>
      </c>
      <c r="SLE22" t="s">
        <v>13583</v>
      </c>
      <c r="SLF22" t="s">
        <v>13584</v>
      </c>
      <c r="SLG22" t="s">
        <v>13585</v>
      </c>
      <c r="SLH22" t="s">
        <v>13586</v>
      </c>
      <c r="SLI22" t="s">
        <v>13587</v>
      </c>
      <c r="SLJ22" t="s">
        <v>13588</v>
      </c>
      <c r="SLK22" t="s">
        <v>13589</v>
      </c>
      <c r="SLL22" t="s">
        <v>13590</v>
      </c>
      <c r="SLM22" t="s">
        <v>13591</v>
      </c>
      <c r="SLN22" t="s">
        <v>13592</v>
      </c>
      <c r="SLO22" t="s">
        <v>13593</v>
      </c>
      <c r="SLP22" t="s">
        <v>13594</v>
      </c>
      <c r="SLQ22" t="s">
        <v>13595</v>
      </c>
      <c r="SLR22" t="s">
        <v>13596</v>
      </c>
      <c r="SLS22" t="s">
        <v>13597</v>
      </c>
      <c r="SLT22" t="s">
        <v>13598</v>
      </c>
      <c r="SLU22" t="s">
        <v>13599</v>
      </c>
      <c r="SLV22" t="s">
        <v>13600</v>
      </c>
      <c r="SLW22" t="s">
        <v>13601</v>
      </c>
      <c r="SLX22" t="s">
        <v>13602</v>
      </c>
      <c r="SLY22" t="s">
        <v>13603</v>
      </c>
      <c r="SLZ22" t="s">
        <v>13604</v>
      </c>
      <c r="SMA22" t="s">
        <v>13605</v>
      </c>
      <c r="SMB22" t="s">
        <v>13606</v>
      </c>
      <c r="SMC22" t="s">
        <v>13607</v>
      </c>
      <c r="SMD22" t="s">
        <v>13608</v>
      </c>
      <c r="SME22" t="s">
        <v>13609</v>
      </c>
      <c r="SMF22" t="s">
        <v>13610</v>
      </c>
      <c r="SMG22" t="s">
        <v>13611</v>
      </c>
      <c r="SMH22" t="s">
        <v>13612</v>
      </c>
      <c r="SMI22" t="s">
        <v>13613</v>
      </c>
      <c r="SMJ22" t="s">
        <v>13614</v>
      </c>
      <c r="SMK22" t="s">
        <v>13615</v>
      </c>
      <c r="SML22" t="s">
        <v>13616</v>
      </c>
      <c r="SMM22" t="s">
        <v>13617</v>
      </c>
      <c r="SMN22" t="s">
        <v>13618</v>
      </c>
      <c r="SMO22" t="s">
        <v>13619</v>
      </c>
      <c r="SMP22" t="s">
        <v>13620</v>
      </c>
      <c r="SMQ22" t="s">
        <v>13621</v>
      </c>
      <c r="SMR22" t="s">
        <v>13622</v>
      </c>
      <c r="SMS22" t="s">
        <v>13623</v>
      </c>
      <c r="SMT22" t="s">
        <v>13624</v>
      </c>
      <c r="SMU22" t="s">
        <v>13625</v>
      </c>
      <c r="SMV22" t="s">
        <v>13626</v>
      </c>
      <c r="SMW22" t="s">
        <v>13627</v>
      </c>
      <c r="SMX22" t="s">
        <v>13628</v>
      </c>
      <c r="SMY22" t="s">
        <v>13629</v>
      </c>
      <c r="SMZ22" t="s">
        <v>13630</v>
      </c>
      <c r="SNA22" t="s">
        <v>13631</v>
      </c>
      <c r="SNB22" t="s">
        <v>13632</v>
      </c>
      <c r="SNC22" t="s">
        <v>13633</v>
      </c>
      <c r="SND22" t="s">
        <v>13634</v>
      </c>
      <c r="SNE22" t="s">
        <v>13635</v>
      </c>
      <c r="SNF22" t="s">
        <v>13636</v>
      </c>
      <c r="SNG22" t="s">
        <v>13637</v>
      </c>
      <c r="SNH22" t="s">
        <v>13638</v>
      </c>
      <c r="SNI22" t="s">
        <v>13639</v>
      </c>
      <c r="SNJ22" t="s">
        <v>13640</v>
      </c>
      <c r="SNK22" t="s">
        <v>13641</v>
      </c>
      <c r="SNL22" t="s">
        <v>13642</v>
      </c>
      <c r="SNM22" t="s">
        <v>13643</v>
      </c>
      <c r="SNN22" t="s">
        <v>13644</v>
      </c>
      <c r="SNO22" t="s">
        <v>13645</v>
      </c>
      <c r="SNP22" t="s">
        <v>13646</v>
      </c>
      <c r="SNQ22" t="s">
        <v>13647</v>
      </c>
      <c r="SNR22" t="s">
        <v>13648</v>
      </c>
      <c r="SNS22" t="s">
        <v>13649</v>
      </c>
      <c r="SNT22" t="s">
        <v>13650</v>
      </c>
      <c r="SNU22" t="s">
        <v>13651</v>
      </c>
      <c r="SNV22" t="s">
        <v>13652</v>
      </c>
      <c r="SNW22" t="s">
        <v>13653</v>
      </c>
      <c r="SNX22" t="s">
        <v>13654</v>
      </c>
      <c r="SNY22" t="s">
        <v>13655</v>
      </c>
      <c r="SNZ22" t="s">
        <v>13656</v>
      </c>
      <c r="SOA22" t="s">
        <v>13657</v>
      </c>
      <c r="SOB22" t="s">
        <v>13658</v>
      </c>
      <c r="SOC22" t="s">
        <v>13659</v>
      </c>
      <c r="SOD22" t="s">
        <v>13660</v>
      </c>
      <c r="SOE22" t="s">
        <v>13661</v>
      </c>
      <c r="SOF22" t="s">
        <v>13662</v>
      </c>
      <c r="SOG22" t="s">
        <v>13663</v>
      </c>
      <c r="SOH22" t="s">
        <v>13664</v>
      </c>
      <c r="SOI22" t="s">
        <v>13665</v>
      </c>
      <c r="SOJ22" t="s">
        <v>13666</v>
      </c>
      <c r="SOK22" t="s">
        <v>13667</v>
      </c>
      <c r="SOL22" t="s">
        <v>13668</v>
      </c>
      <c r="SOM22" t="s">
        <v>13669</v>
      </c>
      <c r="SON22" t="s">
        <v>13670</v>
      </c>
      <c r="SOO22" t="s">
        <v>13671</v>
      </c>
      <c r="SOP22" t="s">
        <v>13672</v>
      </c>
      <c r="SOQ22" t="s">
        <v>13673</v>
      </c>
      <c r="SOR22" t="s">
        <v>13674</v>
      </c>
      <c r="SOS22" t="s">
        <v>13675</v>
      </c>
      <c r="SOT22" t="s">
        <v>13676</v>
      </c>
      <c r="SOU22" t="s">
        <v>13677</v>
      </c>
      <c r="SOV22" t="s">
        <v>13678</v>
      </c>
      <c r="SOW22" t="s">
        <v>13679</v>
      </c>
      <c r="SOX22" t="s">
        <v>13680</v>
      </c>
      <c r="SOY22" t="s">
        <v>13681</v>
      </c>
      <c r="SOZ22" t="s">
        <v>13682</v>
      </c>
      <c r="SPA22" t="s">
        <v>13683</v>
      </c>
      <c r="SPB22" t="s">
        <v>13684</v>
      </c>
      <c r="SPC22" t="s">
        <v>13685</v>
      </c>
      <c r="SPD22" t="s">
        <v>13686</v>
      </c>
      <c r="SPE22" t="s">
        <v>13687</v>
      </c>
      <c r="SPF22" t="s">
        <v>13688</v>
      </c>
      <c r="SPG22" t="s">
        <v>13689</v>
      </c>
      <c r="SPH22" t="s">
        <v>13690</v>
      </c>
      <c r="SPI22" t="s">
        <v>13691</v>
      </c>
      <c r="SPJ22" t="s">
        <v>13692</v>
      </c>
      <c r="SPK22" t="s">
        <v>13693</v>
      </c>
      <c r="SPL22" t="s">
        <v>13694</v>
      </c>
      <c r="SPM22" t="s">
        <v>13695</v>
      </c>
      <c r="SPN22" t="s">
        <v>13696</v>
      </c>
      <c r="SPO22" t="s">
        <v>13697</v>
      </c>
      <c r="SPP22" t="s">
        <v>13698</v>
      </c>
      <c r="SPQ22" t="s">
        <v>13699</v>
      </c>
      <c r="SPR22" t="s">
        <v>13700</v>
      </c>
      <c r="SPS22" t="s">
        <v>13701</v>
      </c>
      <c r="SPT22" t="s">
        <v>13702</v>
      </c>
      <c r="SPU22" t="s">
        <v>13703</v>
      </c>
      <c r="SPV22" t="s">
        <v>13704</v>
      </c>
      <c r="SPW22" t="s">
        <v>13705</v>
      </c>
      <c r="SPX22" t="s">
        <v>13706</v>
      </c>
      <c r="SPY22" t="s">
        <v>13707</v>
      </c>
      <c r="SPZ22" t="s">
        <v>13708</v>
      </c>
      <c r="SQA22" t="s">
        <v>13709</v>
      </c>
      <c r="SQB22" t="s">
        <v>13710</v>
      </c>
      <c r="SQC22" t="s">
        <v>13711</v>
      </c>
      <c r="SQD22" t="s">
        <v>13712</v>
      </c>
      <c r="SQE22" t="s">
        <v>13713</v>
      </c>
      <c r="SQF22" t="s">
        <v>13714</v>
      </c>
      <c r="SQG22" t="s">
        <v>13715</v>
      </c>
      <c r="SQH22" t="s">
        <v>13716</v>
      </c>
      <c r="SQI22" t="s">
        <v>13717</v>
      </c>
      <c r="SQJ22" t="s">
        <v>13718</v>
      </c>
      <c r="SQK22" t="s">
        <v>13719</v>
      </c>
      <c r="SQL22" t="s">
        <v>13720</v>
      </c>
      <c r="SQM22" t="s">
        <v>13721</v>
      </c>
      <c r="SQN22" t="s">
        <v>13722</v>
      </c>
      <c r="SQO22" t="s">
        <v>13723</v>
      </c>
      <c r="SQP22" t="s">
        <v>13724</v>
      </c>
      <c r="SQQ22" t="s">
        <v>13725</v>
      </c>
      <c r="SQR22" t="s">
        <v>13726</v>
      </c>
      <c r="SQS22" t="s">
        <v>13727</v>
      </c>
      <c r="SQT22" t="s">
        <v>13728</v>
      </c>
      <c r="SQU22" t="s">
        <v>13729</v>
      </c>
      <c r="SQV22" t="s">
        <v>13730</v>
      </c>
      <c r="SQW22" t="s">
        <v>13731</v>
      </c>
      <c r="SQX22" t="s">
        <v>13732</v>
      </c>
      <c r="SQY22" t="s">
        <v>13733</v>
      </c>
      <c r="SQZ22" t="s">
        <v>13734</v>
      </c>
      <c r="SRA22" t="s">
        <v>13735</v>
      </c>
      <c r="SRB22" t="s">
        <v>13736</v>
      </c>
      <c r="SRC22" t="s">
        <v>13737</v>
      </c>
      <c r="SRD22" t="s">
        <v>13738</v>
      </c>
      <c r="SRE22" t="s">
        <v>13739</v>
      </c>
      <c r="SRF22" t="s">
        <v>13740</v>
      </c>
      <c r="SRG22" t="s">
        <v>13741</v>
      </c>
      <c r="SRH22" t="s">
        <v>13742</v>
      </c>
      <c r="SRI22" t="s">
        <v>13743</v>
      </c>
      <c r="SRJ22" t="s">
        <v>13744</v>
      </c>
      <c r="SRK22" t="s">
        <v>13745</v>
      </c>
      <c r="SRL22" t="s">
        <v>13746</v>
      </c>
      <c r="SRM22" t="s">
        <v>13747</v>
      </c>
      <c r="SRN22" t="s">
        <v>13748</v>
      </c>
      <c r="SRO22" t="s">
        <v>13749</v>
      </c>
      <c r="SRP22" t="s">
        <v>13750</v>
      </c>
      <c r="SRQ22" t="s">
        <v>13751</v>
      </c>
      <c r="SRR22" t="s">
        <v>13752</v>
      </c>
      <c r="SRS22" t="s">
        <v>13753</v>
      </c>
      <c r="SRT22" t="s">
        <v>13754</v>
      </c>
      <c r="SRU22" t="s">
        <v>13755</v>
      </c>
      <c r="SRV22" t="s">
        <v>13756</v>
      </c>
      <c r="SRW22" t="s">
        <v>13757</v>
      </c>
      <c r="SRX22" t="s">
        <v>13758</v>
      </c>
      <c r="SRY22" t="s">
        <v>13759</v>
      </c>
      <c r="SRZ22" t="s">
        <v>13760</v>
      </c>
      <c r="SSA22" t="s">
        <v>13761</v>
      </c>
      <c r="SSB22" t="s">
        <v>13762</v>
      </c>
      <c r="SSC22" t="s">
        <v>13763</v>
      </c>
      <c r="SSD22" t="s">
        <v>13764</v>
      </c>
      <c r="SSE22" t="s">
        <v>13765</v>
      </c>
      <c r="SSF22" t="s">
        <v>13766</v>
      </c>
      <c r="SSG22" t="s">
        <v>13767</v>
      </c>
      <c r="SSH22" t="s">
        <v>13768</v>
      </c>
      <c r="SSI22" t="s">
        <v>13769</v>
      </c>
      <c r="SSJ22" t="s">
        <v>13770</v>
      </c>
      <c r="SSK22" t="s">
        <v>13771</v>
      </c>
      <c r="SSL22" t="s">
        <v>13772</v>
      </c>
      <c r="SSM22" t="s">
        <v>13773</v>
      </c>
      <c r="SSN22" t="s">
        <v>13774</v>
      </c>
      <c r="SSO22" t="s">
        <v>13775</v>
      </c>
      <c r="SSP22" t="s">
        <v>13776</v>
      </c>
      <c r="SSQ22" t="s">
        <v>13777</v>
      </c>
      <c r="SSR22" t="s">
        <v>13778</v>
      </c>
      <c r="SSS22" t="s">
        <v>13779</v>
      </c>
      <c r="SST22" t="s">
        <v>13780</v>
      </c>
      <c r="SSU22" t="s">
        <v>13781</v>
      </c>
      <c r="SSV22" t="s">
        <v>13782</v>
      </c>
      <c r="SSW22" t="s">
        <v>13783</v>
      </c>
      <c r="SSX22" t="s">
        <v>13784</v>
      </c>
      <c r="SSY22" t="s">
        <v>13785</v>
      </c>
      <c r="SSZ22" t="s">
        <v>13786</v>
      </c>
      <c r="STA22" t="s">
        <v>13787</v>
      </c>
      <c r="STB22" t="s">
        <v>13788</v>
      </c>
      <c r="STC22" t="s">
        <v>13789</v>
      </c>
      <c r="STD22" t="s">
        <v>13790</v>
      </c>
      <c r="STE22" t="s">
        <v>13791</v>
      </c>
      <c r="STF22" t="s">
        <v>13792</v>
      </c>
      <c r="STG22" t="s">
        <v>13793</v>
      </c>
      <c r="STH22" t="s">
        <v>13794</v>
      </c>
      <c r="STI22" t="s">
        <v>13795</v>
      </c>
      <c r="STJ22" t="s">
        <v>13796</v>
      </c>
      <c r="STK22" t="s">
        <v>13797</v>
      </c>
      <c r="STL22" t="s">
        <v>13798</v>
      </c>
      <c r="STM22" t="s">
        <v>13799</v>
      </c>
      <c r="STN22" t="s">
        <v>13800</v>
      </c>
      <c r="STO22" t="s">
        <v>13801</v>
      </c>
      <c r="STP22" t="s">
        <v>13802</v>
      </c>
      <c r="STQ22" t="s">
        <v>13803</v>
      </c>
      <c r="STR22" t="s">
        <v>13804</v>
      </c>
      <c r="STS22" t="s">
        <v>13805</v>
      </c>
      <c r="STT22" t="s">
        <v>13806</v>
      </c>
      <c r="STU22" t="s">
        <v>13807</v>
      </c>
      <c r="STV22" t="s">
        <v>13808</v>
      </c>
      <c r="STW22" t="s">
        <v>13809</v>
      </c>
      <c r="STX22" t="s">
        <v>13810</v>
      </c>
      <c r="STY22" t="s">
        <v>13811</v>
      </c>
      <c r="STZ22" t="s">
        <v>13812</v>
      </c>
      <c r="SUA22" t="s">
        <v>13813</v>
      </c>
      <c r="SUB22" t="s">
        <v>13814</v>
      </c>
      <c r="SUC22" t="s">
        <v>13815</v>
      </c>
      <c r="SUD22" t="s">
        <v>13816</v>
      </c>
      <c r="SUE22" t="s">
        <v>13817</v>
      </c>
      <c r="SUF22" t="s">
        <v>13818</v>
      </c>
      <c r="SUG22" t="s">
        <v>13819</v>
      </c>
      <c r="SUH22" t="s">
        <v>13820</v>
      </c>
      <c r="SUI22" t="s">
        <v>13821</v>
      </c>
      <c r="SUJ22" t="s">
        <v>13822</v>
      </c>
      <c r="SUK22" t="s">
        <v>13823</v>
      </c>
      <c r="SUL22" t="s">
        <v>13824</v>
      </c>
      <c r="SUM22" t="s">
        <v>13825</v>
      </c>
      <c r="SUN22" t="s">
        <v>13826</v>
      </c>
      <c r="SUO22" t="s">
        <v>13827</v>
      </c>
      <c r="SUP22" t="s">
        <v>13828</v>
      </c>
      <c r="SUQ22" t="s">
        <v>13829</v>
      </c>
      <c r="SUR22" t="s">
        <v>13830</v>
      </c>
      <c r="SUS22" t="s">
        <v>13831</v>
      </c>
      <c r="SUT22" t="s">
        <v>13832</v>
      </c>
      <c r="SUU22" t="s">
        <v>13833</v>
      </c>
      <c r="SUV22" t="s">
        <v>13834</v>
      </c>
      <c r="SUW22" t="s">
        <v>13835</v>
      </c>
      <c r="SUX22" t="s">
        <v>13836</v>
      </c>
      <c r="SUY22" t="s">
        <v>13837</v>
      </c>
      <c r="SUZ22" t="s">
        <v>13838</v>
      </c>
      <c r="SVA22" t="s">
        <v>13839</v>
      </c>
      <c r="SVB22" t="s">
        <v>13840</v>
      </c>
      <c r="SVC22" t="s">
        <v>13841</v>
      </c>
      <c r="SVD22" t="s">
        <v>13842</v>
      </c>
      <c r="SVE22" t="s">
        <v>13843</v>
      </c>
      <c r="SVF22" t="s">
        <v>13844</v>
      </c>
      <c r="SVG22" t="s">
        <v>13845</v>
      </c>
      <c r="SVH22" t="s">
        <v>13846</v>
      </c>
      <c r="SVI22" t="s">
        <v>13847</v>
      </c>
      <c r="SVJ22" t="s">
        <v>13848</v>
      </c>
      <c r="SVK22" t="s">
        <v>13849</v>
      </c>
      <c r="SVL22" t="s">
        <v>13850</v>
      </c>
      <c r="SVM22" t="s">
        <v>13851</v>
      </c>
      <c r="SVN22" t="s">
        <v>13852</v>
      </c>
      <c r="SVO22" t="s">
        <v>13853</v>
      </c>
      <c r="SVP22" t="s">
        <v>13854</v>
      </c>
      <c r="SVQ22" t="s">
        <v>13855</v>
      </c>
      <c r="SVR22" t="s">
        <v>13856</v>
      </c>
      <c r="SVS22" t="s">
        <v>13857</v>
      </c>
      <c r="SVT22" t="s">
        <v>13858</v>
      </c>
      <c r="SVU22" t="s">
        <v>13859</v>
      </c>
      <c r="SVV22" t="s">
        <v>13860</v>
      </c>
      <c r="SVW22" t="s">
        <v>13861</v>
      </c>
      <c r="SVX22" t="s">
        <v>13862</v>
      </c>
      <c r="SVY22" t="s">
        <v>13863</v>
      </c>
      <c r="SVZ22" t="s">
        <v>13864</v>
      </c>
      <c r="SWA22" t="s">
        <v>13865</v>
      </c>
      <c r="SWB22" t="s">
        <v>13866</v>
      </c>
      <c r="SWC22" t="s">
        <v>13867</v>
      </c>
      <c r="SWD22" t="s">
        <v>13868</v>
      </c>
      <c r="SWE22" t="s">
        <v>13869</v>
      </c>
      <c r="SWF22" t="s">
        <v>13870</v>
      </c>
      <c r="SWG22" t="s">
        <v>13871</v>
      </c>
      <c r="SWH22" t="s">
        <v>13872</v>
      </c>
      <c r="SWI22" t="s">
        <v>13873</v>
      </c>
      <c r="SWJ22" t="s">
        <v>13874</v>
      </c>
      <c r="SWK22" t="s">
        <v>13875</v>
      </c>
      <c r="SWL22" t="s">
        <v>13876</v>
      </c>
      <c r="SWM22" t="s">
        <v>13877</v>
      </c>
      <c r="SWN22" t="s">
        <v>13878</v>
      </c>
      <c r="SWO22" t="s">
        <v>13879</v>
      </c>
      <c r="SWP22" t="s">
        <v>13880</v>
      </c>
      <c r="SWQ22" t="s">
        <v>13881</v>
      </c>
      <c r="SWR22" t="s">
        <v>13882</v>
      </c>
      <c r="SWS22" t="s">
        <v>13883</v>
      </c>
      <c r="SWT22" t="s">
        <v>13884</v>
      </c>
      <c r="SWU22" t="s">
        <v>13885</v>
      </c>
      <c r="SWV22" t="s">
        <v>13886</v>
      </c>
      <c r="SWW22" t="s">
        <v>13887</v>
      </c>
      <c r="SWX22" t="s">
        <v>13888</v>
      </c>
      <c r="SWY22" t="s">
        <v>13889</v>
      </c>
      <c r="SWZ22" t="s">
        <v>13890</v>
      </c>
      <c r="SXA22" t="s">
        <v>13891</v>
      </c>
      <c r="SXB22" t="s">
        <v>13892</v>
      </c>
      <c r="SXC22" t="s">
        <v>13893</v>
      </c>
      <c r="SXD22" t="s">
        <v>13894</v>
      </c>
      <c r="SXE22" t="s">
        <v>13895</v>
      </c>
      <c r="SXF22" t="s">
        <v>13896</v>
      </c>
      <c r="SXG22" t="s">
        <v>13897</v>
      </c>
      <c r="SXH22" t="s">
        <v>13898</v>
      </c>
      <c r="SXI22" t="s">
        <v>13899</v>
      </c>
      <c r="SXJ22" t="s">
        <v>13900</v>
      </c>
      <c r="SXK22" t="s">
        <v>13901</v>
      </c>
      <c r="SXL22" t="s">
        <v>13902</v>
      </c>
      <c r="SXM22" t="s">
        <v>13903</v>
      </c>
      <c r="SXN22" t="s">
        <v>13904</v>
      </c>
      <c r="SXO22" t="s">
        <v>13905</v>
      </c>
      <c r="SXP22" t="s">
        <v>13906</v>
      </c>
      <c r="SXQ22" t="s">
        <v>13907</v>
      </c>
      <c r="SXR22" t="s">
        <v>13908</v>
      </c>
      <c r="SXS22" t="s">
        <v>13909</v>
      </c>
      <c r="SXT22" t="s">
        <v>13910</v>
      </c>
      <c r="SXU22" t="s">
        <v>13911</v>
      </c>
      <c r="SXV22" t="s">
        <v>13912</v>
      </c>
      <c r="SXW22" t="s">
        <v>13913</v>
      </c>
      <c r="SXX22" t="s">
        <v>13914</v>
      </c>
      <c r="SXY22" t="s">
        <v>13915</v>
      </c>
      <c r="SXZ22" t="s">
        <v>13916</v>
      </c>
      <c r="SYA22" t="s">
        <v>13917</v>
      </c>
      <c r="SYB22" t="s">
        <v>13918</v>
      </c>
      <c r="SYC22" t="s">
        <v>13919</v>
      </c>
      <c r="SYD22" t="s">
        <v>13920</v>
      </c>
      <c r="SYE22" t="s">
        <v>13921</v>
      </c>
      <c r="SYF22" t="s">
        <v>13922</v>
      </c>
      <c r="SYG22" t="s">
        <v>13923</v>
      </c>
      <c r="SYH22" t="s">
        <v>13924</v>
      </c>
      <c r="SYI22" t="s">
        <v>13925</v>
      </c>
      <c r="SYJ22" t="s">
        <v>13926</v>
      </c>
      <c r="SYK22" t="s">
        <v>13927</v>
      </c>
      <c r="SYL22" t="s">
        <v>13928</v>
      </c>
      <c r="SYM22" t="s">
        <v>13929</v>
      </c>
      <c r="SYN22" t="s">
        <v>13930</v>
      </c>
      <c r="SYO22" t="s">
        <v>13931</v>
      </c>
      <c r="SYP22" t="s">
        <v>13932</v>
      </c>
      <c r="SYQ22" t="s">
        <v>13933</v>
      </c>
      <c r="SYR22" t="s">
        <v>13934</v>
      </c>
      <c r="SYS22" t="s">
        <v>13935</v>
      </c>
      <c r="SYT22" t="s">
        <v>13936</v>
      </c>
      <c r="SYU22" t="s">
        <v>13937</v>
      </c>
      <c r="SYV22" t="s">
        <v>13938</v>
      </c>
      <c r="SYW22" t="s">
        <v>13939</v>
      </c>
      <c r="SYX22" t="s">
        <v>13940</v>
      </c>
      <c r="SYY22" t="s">
        <v>13941</v>
      </c>
      <c r="SYZ22" t="s">
        <v>13942</v>
      </c>
      <c r="SZA22" t="s">
        <v>13943</v>
      </c>
      <c r="SZB22" t="s">
        <v>13944</v>
      </c>
      <c r="SZC22" t="s">
        <v>13945</v>
      </c>
      <c r="SZD22" t="s">
        <v>13946</v>
      </c>
      <c r="SZE22" t="s">
        <v>13947</v>
      </c>
      <c r="SZF22" t="s">
        <v>13948</v>
      </c>
      <c r="SZG22" t="s">
        <v>13949</v>
      </c>
      <c r="SZH22" t="s">
        <v>13950</v>
      </c>
      <c r="SZI22" t="s">
        <v>13951</v>
      </c>
      <c r="SZJ22" t="s">
        <v>13952</v>
      </c>
      <c r="SZK22" t="s">
        <v>13953</v>
      </c>
      <c r="SZL22" t="s">
        <v>13954</v>
      </c>
      <c r="SZM22" t="s">
        <v>13955</v>
      </c>
      <c r="SZN22" t="s">
        <v>13956</v>
      </c>
      <c r="SZO22" t="s">
        <v>13957</v>
      </c>
      <c r="SZP22" t="s">
        <v>13958</v>
      </c>
      <c r="SZQ22" t="s">
        <v>13959</v>
      </c>
      <c r="SZR22" t="s">
        <v>13960</v>
      </c>
      <c r="SZS22" t="s">
        <v>13961</v>
      </c>
      <c r="SZT22" t="s">
        <v>13962</v>
      </c>
      <c r="SZU22" t="s">
        <v>13963</v>
      </c>
      <c r="SZV22" t="s">
        <v>13964</v>
      </c>
      <c r="SZW22" t="s">
        <v>13965</v>
      </c>
      <c r="SZX22" t="s">
        <v>13966</v>
      </c>
      <c r="SZY22" t="s">
        <v>13967</v>
      </c>
      <c r="SZZ22" t="s">
        <v>13968</v>
      </c>
      <c r="TAA22" t="s">
        <v>13969</v>
      </c>
      <c r="TAB22" t="s">
        <v>13970</v>
      </c>
      <c r="TAC22" t="s">
        <v>13971</v>
      </c>
      <c r="TAD22" t="s">
        <v>13972</v>
      </c>
      <c r="TAE22" t="s">
        <v>13973</v>
      </c>
      <c r="TAF22" t="s">
        <v>13974</v>
      </c>
      <c r="TAG22" t="s">
        <v>13975</v>
      </c>
      <c r="TAH22" t="s">
        <v>13976</v>
      </c>
      <c r="TAI22" t="s">
        <v>13977</v>
      </c>
      <c r="TAJ22" t="s">
        <v>13978</v>
      </c>
      <c r="TAK22" t="s">
        <v>13979</v>
      </c>
      <c r="TAL22" t="s">
        <v>13980</v>
      </c>
      <c r="TAM22" t="s">
        <v>13981</v>
      </c>
      <c r="TAN22" t="s">
        <v>13982</v>
      </c>
      <c r="TAO22" t="s">
        <v>13983</v>
      </c>
      <c r="TAP22" t="s">
        <v>13984</v>
      </c>
      <c r="TAQ22" t="s">
        <v>13985</v>
      </c>
      <c r="TAR22" t="s">
        <v>13986</v>
      </c>
      <c r="TAS22" t="s">
        <v>13987</v>
      </c>
      <c r="TAT22" t="s">
        <v>13988</v>
      </c>
      <c r="TAU22" t="s">
        <v>13989</v>
      </c>
      <c r="TAV22" t="s">
        <v>13990</v>
      </c>
      <c r="TAW22" t="s">
        <v>13991</v>
      </c>
      <c r="TAX22" t="s">
        <v>13992</v>
      </c>
      <c r="TAY22" t="s">
        <v>13993</v>
      </c>
      <c r="TAZ22" t="s">
        <v>13994</v>
      </c>
      <c r="TBA22" t="s">
        <v>13995</v>
      </c>
      <c r="TBB22" t="s">
        <v>13996</v>
      </c>
      <c r="TBC22" t="s">
        <v>13997</v>
      </c>
      <c r="TBD22" t="s">
        <v>13998</v>
      </c>
      <c r="TBE22" t="s">
        <v>13999</v>
      </c>
      <c r="TBF22" t="s">
        <v>14000</v>
      </c>
      <c r="TBG22" t="s">
        <v>14001</v>
      </c>
      <c r="TBH22" t="s">
        <v>14002</v>
      </c>
      <c r="TBI22" t="s">
        <v>14003</v>
      </c>
      <c r="TBJ22" t="s">
        <v>14004</v>
      </c>
      <c r="TBK22" t="s">
        <v>14005</v>
      </c>
      <c r="TBL22" t="s">
        <v>14006</v>
      </c>
      <c r="TBM22" t="s">
        <v>14007</v>
      </c>
      <c r="TBN22" t="s">
        <v>14008</v>
      </c>
      <c r="TBO22" t="s">
        <v>14009</v>
      </c>
      <c r="TBP22" t="s">
        <v>14010</v>
      </c>
      <c r="TBQ22" t="s">
        <v>14011</v>
      </c>
      <c r="TBR22" t="s">
        <v>14012</v>
      </c>
      <c r="TBS22" t="s">
        <v>14013</v>
      </c>
      <c r="TBT22" t="s">
        <v>14014</v>
      </c>
      <c r="TBU22" t="s">
        <v>14015</v>
      </c>
      <c r="TBV22" t="s">
        <v>14016</v>
      </c>
      <c r="TBW22" t="s">
        <v>14017</v>
      </c>
      <c r="TBX22" t="s">
        <v>14018</v>
      </c>
      <c r="TBY22" t="s">
        <v>14019</v>
      </c>
      <c r="TBZ22" t="s">
        <v>14020</v>
      </c>
      <c r="TCA22" t="s">
        <v>14021</v>
      </c>
      <c r="TCB22" t="s">
        <v>14022</v>
      </c>
      <c r="TCC22" t="s">
        <v>14023</v>
      </c>
      <c r="TCD22" t="s">
        <v>14024</v>
      </c>
      <c r="TCE22" t="s">
        <v>14025</v>
      </c>
      <c r="TCF22" t="s">
        <v>14026</v>
      </c>
      <c r="TCG22" t="s">
        <v>14027</v>
      </c>
      <c r="TCH22" t="s">
        <v>14028</v>
      </c>
      <c r="TCI22" t="s">
        <v>14029</v>
      </c>
      <c r="TCJ22" t="s">
        <v>14030</v>
      </c>
      <c r="TCK22" t="s">
        <v>14031</v>
      </c>
      <c r="TCL22" t="s">
        <v>14032</v>
      </c>
      <c r="TCM22" t="s">
        <v>14033</v>
      </c>
      <c r="TCN22" t="s">
        <v>14034</v>
      </c>
      <c r="TCO22" t="s">
        <v>14035</v>
      </c>
      <c r="TCP22" t="s">
        <v>14036</v>
      </c>
      <c r="TCQ22" t="s">
        <v>14037</v>
      </c>
      <c r="TCR22" t="s">
        <v>14038</v>
      </c>
      <c r="TCS22" t="s">
        <v>14039</v>
      </c>
      <c r="TCT22" t="s">
        <v>14040</v>
      </c>
      <c r="TCU22" t="s">
        <v>14041</v>
      </c>
      <c r="TCV22" t="s">
        <v>14042</v>
      </c>
      <c r="TCW22" t="s">
        <v>14043</v>
      </c>
      <c r="TCX22" t="s">
        <v>14044</v>
      </c>
      <c r="TCY22" t="s">
        <v>14045</v>
      </c>
      <c r="TCZ22" t="s">
        <v>14046</v>
      </c>
      <c r="TDA22" t="s">
        <v>14047</v>
      </c>
      <c r="TDB22" t="s">
        <v>14048</v>
      </c>
      <c r="TDC22" t="s">
        <v>14049</v>
      </c>
      <c r="TDD22" t="s">
        <v>14050</v>
      </c>
      <c r="TDE22" t="s">
        <v>14051</v>
      </c>
      <c r="TDF22" t="s">
        <v>14052</v>
      </c>
      <c r="TDG22" t="s">
        <v>14053</v>
      </c>
      <c r="TDH22" t="s">
        <v>14054</v>
      </c>
      <c r="TDI22" t="s">
        <v>14055</v>
      </c>
      <c r="TDJ22" t="s">
        <v>14056</v>
      </c>
      <c r="TDK22" t="s">
        <v>14057</v>
      </c>
      <c r="TDL22" t="s">
        <v>14058</v>
      </c>
      <c r="TDM22" t="s">
        <v>14059</v>
      </c>
      <c r="TDN22" t="s">
        <v>14060</v>
      </c>
      <c r="TDO22" t="s">
        <v>14061</v>
      </c>
      <c r="TDP22" t="s">
        <v>14062</v>
      </c>
      <c r="TDQ22" t="s">
        <v>14063</v>
      </c>
      <c r="TDR22" t="s">
        <v>14064</v>
      </c>
      <c r="TDS22" t="s">
        <v>14065</v>
      </c>
      <c r="TDT22" t="s">
        <v>14066</v>
      </c>
      <c r="TDU22" t="s">
        <v>14067</v>
      </c>
      <c r="TDV22" t="s">
        <v>14068</v>
      </c>
      <c r="TDW22" t="s">
        <v>14069</v>
      </c>
      <c r="TDX22" t="s">
        <v>14070</v>
      </c>
      <c r="TDY22" t="s">
        <v>14071</v>
      </c>
      <c r="TDZ22" t="s">
        <v>14072</v>
      </c>
      <c r="TEA22" t="s">
        <v>14073</v>
      </c>
      <c r="TEB22" t="s">
        <v>14074</v>
      </c>
      <c r="TEC22" t="s">
        <v>14075</v>
      </c>
      <c r="TED22" t="s">
        <v>14076</v>
      </c>
      <c r="TEE22" t="s">
        <v>14077</v>
      </c>
      <c r="TEF22" t="s">
        <v>14078</v>
      </c>
      <c r="TEG22" t="s">
        <v>14079</v>
      </c>
      <c r="TEH22" t="s">
        <v>14080</v>
      </c>
      <c r="TEI22" t="s">
        <v>14081</v>
      </c>
      <c r="TEJ22" t="s">
        <v>14082</v>
      </c>
      <c r="TEK22" t="s">
        <v>14083</v>
      </c>
      <c r="TEL22" t="s">
        <v>14084</v>
      </c>
      <c r="TEM22" t="s">
        <v>14085</v>
      </c>
      <c r="TEN22" t="s">
        <v>14086</v>
      </c>
      <c r="TEO22" t="s">
        <v>14087</v>
      </c>
      <c r="TEP22" t="s">
        <v>14088</v>
      </c>
      <c r="TEQ22" t="s">
        <v>14089</v>
      </c>
      <c r="TER22" t="s">
        <v>14090</v>
      </c>
      <c r="TES22" t="s">
        <v>14091</v>
      </c>
      <c r="TET22" t="s">
        <v>14092</v>
      </c>
      <c r="TEU22" t="s">
        <v>14093</v>
      </c>
      <c r="TEV22" t="s">
        <v>14094</v>
      </c>
      <c r="TEW22" t="s">
        <v>14095</v>
      </c>
      <c r="TEX22" t="s">
        <v>14096</v>
      </c>
      <c r="TEY22" t="s">
        <v>14097</v>
      </c>
      <c r="TEZ22" t="s">
        <v>14098</v>
      </c>
      <c r="TFA22" t="s">
        <v>14099</v>
      </c>
      <c r="TFB22" t="s">
        <v>14100</v>
      </c>
      <c r="TFC22" t="s">
        <v>14101</v>
      </c>
      <c r="TFD22" t="s">
        <v>14102</v>
      </c>
      <c r="TFE22" t="s">
        <v>14103</v>
      </c>
      <c r="TFF22" t="s">
        <v>14104</v>
      </c>
      <c r="TFG22" t="s">
        <v>14105</v>
      </c>
      <c r="TFH22" t="s">
        <v>14106</v>
      </c>
      <c r="TFI22" t="s">
        <v>14107</v>
      </c>
      <c r="TFJ22" t="s">
        <v>14108</v>
      </c>
      <c r="TFK22" t="s">
        <v>14109</v>
      </c>
      <c r="TFL22" t="s">
        <v>14110</v>
      </c>
      <c r="TFM22" t="s">
        <v>14111</v>
      </c>
      <c r="TFN22" t="s">
        <v>14112</v>
      </c>
      <c r="TFO22" t="s">
        <v>14113</v>
      </c>
      <c r="TFP22" t="s">
        <v>14114</v>
      </c>
      <c r="TFQ22" t="s">
        <v>14115</v>
      </c>
      <c r="TFR22" t="s">
        <v>14116</v>
      </c>
      <c r="TFS22" t="s">
        <v>14117</v>
      </c>
      <c r="TFT22" t="s">
        <v>14118</v>
      </c>
      <c r="TFU22" t="s">
        <v>14119</v>
      </c>
      <c r="TFV22" t="s">
        <v>14120</v>
      </c>
      <c r="TFW22" t="s">
        <v>14121</v>
      </c>
      <c r="TFX22" t="s">
        <v>14122</v>
      </c>
      <c r="TFY22" t="s">
        <v>14123</v>
      </c>
      <c r="TFZ22" t="s">
        <v>14124</v>
      </c>
      <c r="TGA22" t="s">
        <v>14125</v>
      </c>
      <c r="TGB22" t="s">
        <v>14126</v>
      </c>
      <c r="TGC22" t="s">
        <v>14127</v>
      </c>
      <c r="TGD22" t="s">
        <v>14128</v>
      </c>
      <c r="TGE22" t="s">
        <v>14129</v>
      </c>
      <c r="TGF22" t="s">
        <v>14130</v>
      </c>
      <c r="TGG22" t="s">
        <v>14131</v>
      </c>
      <c r="TGH22" t="s">
        <v>14132</v>
      </c>
      <c r="TGI22" t="s">
        <v>14133</v>
      </c>
      <c r="TGJ22" t="s">
        <v>14134</v>
      </c>
      <c r="TGK22" t="s">
        <v>14135</v>
      </c>
      <c r="TGL22" t="s">
        <v>14136</v>
      </c>
      <c r="TGM22" t="s">
        <v>14137</v>
      </c>
      <c r="TGN22" t="s">
        <v>14138</v>
      </c>
      <c r="TGO22" t="s">
        <v>14139</v>
      </c>
      <c r="TGP22" t="s">
        <v>14140</v>
      </c>
      <c r="TGQ22" t="s">
        <v>14141</v>
      </c>
      <c r="TGR22" t="s">
        <v>14142</v>
      </c>
      <c r="TGS22" t="s">
        <v>14143</v>
      </c>
      <c r="TGT22" t="s">
        <v>14144</v>
      </c>
      <c r="TGU22" t="s">
        <v>14145</v>
      </c>
      <c r="TGV22" t="s">
        <v>14146</v>
      </c>
      <c r="TGW22" t="s">
        <v>14147</v>
      </c>
      <c r="TGX22" t="s">
        <v>14148</v>
      </c>
      <c r="TGY22" t="s">
        <v>14149</v>
      </c>
      <c r="TGZ22" t="s">
        <v>14150</v>
      </c>
      <c r="THA22" t="s">
        <v>14151</v>
      </c>
      <c r="THB22" t="s">
        <v>14152</v>
      </c>
      <c r="THC22" t="s">
        <v>14153</v>
      </c>
      <c r="THD22" t="s">
        <v>14154</v>
      </c>
      <c r="THE22" t="s">
        <v>14155</v>
      </c>
      <c r="THF22" t="s">
        <v>14156</v>
      </c>
      <c r="THG22" t="s">
        <v>14157</v>
      </c>
      <c r="THH22" t="s">
        <v>14158</v>
      </c>
      <c r="THI22" t="s">
        <v>14159</v>
      </c>
      <c r="THJ22" t="s">
        <v>14160</v>
      </c>
      <c r="THK22" t="s">
        <v>14161</v>
      </c>
      <c r="THL22" t="s">
        <v>14162</v>
      </c>
      <c r="THM22" t="s">
        <v>14163</v>
      </c>
      <c r="THN22" t="s">
        <v>14164</v>
      </c>
      <c r="THO22" t="s">
        <v>14165</v>
      </c>
      <c r="THP22" t="s">
        <v>14166</v>
      </c>
      <c r="THQ22" t="s">
        <v>14167</v>
      </c>
      <c r="THR22" t="s">
        <v>14168</v>
      </c>
      <c r="THS22" t="s">
        <v>14169</v>
      </c>
      <c r="THT22" t="s">
        <v>14170</v>
      </c>
      <c r="THU22" t="s">
        <v>14171</v>
      </c>
      <c r="THV22" t="s">
        <v>14172</v>
      </c>
      <c r="THW22" t="s">
        <v>14173</v>
      </c>
      <c r="THX22" t="s">
        <v>14174</v>
      </c>
      <c r="THY22" t="s">
        <v>14175</v>
      </c>
      <c r="THZ22" t="s">
        <v>14176</v>
      </c>
      <c r="TIA22" t="s">
        <v>14177</v>
      </c>
      <c r="TIB22" t="s">
        <v>14178</v>
      </c>
      <c r="TIC22" t="s">
        <v>14179</v>
      </c>
      <c r="TID22" t="s">
        <v>14180</v>
      </c>
      <c r="TIE22" t="s">
        <v>14181</v>
      </c>
      <c r="TIF22" t="s">
        <v>14182</v>
      </c>
      <c r="TIG22" t="s">
        <v>14183</v>
      </c>
      <c r="TIH22" t="s">
        <v>14184</v>
      </c>
      <c r="TII22" t="s">
        <v>14185</v>
      </c>
      <c r="TIJ22" t="s">
        <v>14186</v>
      </c>
      <c r="TIK22" t="s">
        <v>14187</v>
      </c>
      <c r="TIL22" t="s">
        <v>14188</v>
      </c>
      <c r="TIM22" t="s">
        <v>14189</v>
      </c>
      <c r="TIN22" t="s">
        <v>14190</v>
      </c>
      <c r="TIO22" t="s">
        <v>14191</v>
      </c>
      <c r="TIP22" t="s">
        <v>14192</v>
      </c>
      <c r="TIQ22" t="s">
        <v>14193</v>
      </c>
      <c r="TIR22" t="s">
        <v>14194</v>
      </c>
      <c r="TIS22" t="s">
        <v>14195</v>
      </c>
      <c r="TIT22" t="s">
        <v>14196</v>
      </c>
      <c r="TIU22" t="s">
        <v>14197</v>
      </c>
      <c r="TIV22" t="s">
        <v>14198</v>
      </c>
      <c r="TIW22" t="s">
        <v>14199</v>
      </c>
      <c r="TIX22" t="s">
        <v>14200</v>
      </c>
      <c r="TIY22" t="s">
        <v>14201</v>
      </c>
      <c r="TIZ22" t="s">
        <v>14202</v>
      </c>
      <c r="TJA22" t="s">
        <v>14203</v>
      </c>
      <c r="TJB22" t="s">
        <v>14204</v>
      </c>
      <c r="TJC22" t="s">
        <v>14205</v>
      </c>
      <c r="TJD22" t="s">
        <v>14206</v>
      </c>
      <c r="TJE22" t="s">
        <v>14207</v>
      </c>
      <c r="TJF22" t="s">
        <v>14208</v>
      </c>
      <c r="TJG22" t="s">
        <v>14209</v>
      </c>
      <c r="TJH22" t="s">
        <v>14210</v>
      </c>
      <c r="TJI22" t="s">
        <v>14211</v>
      </c>
      <c r="TJJ22" t="s">
        <v>14212</v>
      </c>
      <c r="TJK22" t="s">
        <v>14213</v>
      </c>
      <c r="TJL22" t="s">
        <v>14214</v>
      </c>
      <c r="TJM22" t="s">
        <v>14215</v>
      </c>
      <c r="TJN22" t="s">
        <v>14216</v>
      </c>
      <c r="TJO22" t="s">
        <v>14217</v>
      </c>
      <c r="TJP22" t="s">
        <v>14218</v>
      </c>
      <c r="TJQ22" t="s">
        <v>14219</v>
      </c>
      <c r="TJR22" t="s">
        <v>14220</v>
      </c>
      <c r="TJS22" t="s">
        <v>14221</v>
      </c>
      <c r="TJT22" t="s">
        <v>14222</v>
      </c>
      <c r="TJU22" t="s">
        <v>14223</v>
      </c>
      <c r="TJV22" t="s">
        <v>14224</v>
      </c>
      <c r="TJW22" t="s">
        <v>14225</v>
      </c>
      <c r="TJX22" t="s">
        <v>14226</v>
      </c>
      <c r="TJY22" t="s">
        <v>14227</v>
      </c>
      <c r="TJZ22" t="s">
        <v>14228</v>
      </c>
      <c r="TKA22" t="s">
        <v>14229</v>
      </c>
      <c r="TKB22" t="s">
        <v>14230</v>
      </c>
      <c r="TKC22" t="s">
        <v>14231</v>
      </c>
      <c r="TKD22" t="s">
        <v>14232</v>
      </c>
      <c r="TKE22" t="s">
        <v>14233</v>
      </c>
      <c r="TKF22" t="s">
        <v>14234</v>
      </c>
      <c r="TKG22" t="s">
        <v>14235</v>
      </c>
      <c r="TKH22" t="s">
        <v>14236</v>
      </c>
      <c r="TKI22" t="s">
        <v>14237</v>
      </c>
      <c r="TKJ22" t="s">
        <v>14238</v>
      </c>
      <c r="TKK22" t="s">
        <v>14239</v>
      </c>
      <c r="TKL22" t="s">
        <v>14240</v>
      </c>
      <c r="TKM22" t="s">
        <v>14241</v>
      </c>
      <c r="TKN22" t="s">
        <v>14242</v>
      </c>
      <c r="TKO22" t="s">
        <v>14243</v>
      </c>
      <c r="TKP22" t="s">
        <v>14244</v>
      </c>
      <c r="TKQ22" t="s">
        <v>14245</v>
      </c>
      <c r="TKR22" t="s">
        <v>14246</v>
      </c>
      <c r="TKS22" t="s">
        <v>14247</v>
      </c>
      <c r="TKT22" t="s">
        <v>14248</v>
      </c>
      <c r="TKU22" t="s">
        <v>14249</v>
      </c>
      <c r="TKV22" t="s">
        <v>14250</v>
      </c>
      <c r="TKW22" t="s">
        <v>14251</v>
      </c>
      <c r="TKX22" t="s">
        <v>14252</v>
      </c>
      <c r="TKY22" t="s">
        <v>14253</v>
      </c>
      <c r="TKZ22" t="s">
        <v>14254</v>
      </c>
      <c r="TLA22" t="s">
        <v>14255</v>
      </c>
      <c r="TLB22" t="s">
        <v>14256</v>
      </c>
      <c r="TLC22" t="s">
        <v>14257</v>
      </c>
      <c r="TLD22" t="s">
        <v>14258</v>
      </c>
      <c r="TLE22" t="s">
        <v>14259</v>
      </c>
      <c r="TLF22" t="s">
        <v>14260</v>
      </c>
      <c r="TLG22" t="s">
        <v>14261</v>
      </c>
      <c r="TLH22" t="s">
        <v>14262</v>
      </c>
      <c r="TLI22" t="s">
        <v>14263</v>
      </c>
      <c r="TLJ22" t="s">
        <v>14264</v>
      </c>
      <c r="TLK22" t="s">
        <v>14265</v>
      </c>
      <c r="TLL22" t="s">
        <v>14266</v>
      </c>
      <c r="TLM22" t="s">
        <v>14267</v>
      </c>
      <c r="TLN22" t="s">
        <v>14268</v>
      </c>
      <c r="TLO22" t="s">
        <v>14269</v>
      </c>
      <c r="TLP22" t="s">
        <v>14270</v>
      </c>
      <c r="TLQ22" t="s">
        <v>14271</v>
      </c>
      <c r="TLR22" t="s">
        <v>14272</v>
      </c>
      <c r="TLS22" t="s">
        <v>14273</v>
      </c>
      <c r="TLT22" t="s">
        <v>14274</v>
      </c>
      <c r="TLU22" t="s">
        <v>14275</v>
      </c>
      <c r="TLV22" t="s">
        <v>14276</v>
      </c>
      <c r="TLW22" t="s">
        <v>14277</v>
      </c>
      <c r="TLX22" t="s">
        <v>14278</v>
      </c>
      <c r="TLY22" t="s">
        <v>14279</v>
      </c>
      <c r="TLZ22" t="s">
        <v>14280</v>
      </c>
      <c r="TMA22" t="s">
        <v>14281</v>
      </c>
      <c r="TMB22" t="s">
        <v>14282</v>
      </c>
      <c r="TMC22" t="s">
        <v>14283</v>
      </c>
      <c r="TMD22" t="s">
        <v>14284</v>
      </c>
      <c r="TME22" t="s">
        <v>14285</v>
      </c>
      <c r="TMF22" t="s">
        <v>14286</v>
      </c>
      <c r="TMG22" t="s">
        <v>14287</v>
      </c>
      <c r="TMH22" t="s">
        <v>14288</v>
      </c>
      <c r="TMI22" t="s">
        <v>14289</v>
      </c>
      <c r="TMJ22" t="s">
        <v>14290</v>
      </c>
      <c r="TMK22" t="s">
        <v>14291</v>
      </c>
      <c r="TML22" t="s">
        <v>14292</v>
      </c>
      <c r="TMM22" t="s">
        <v>14293</v>
      </c>
      <c r="TMN22" t="s">
        <v>14294</v>
      </c>
      <c r="TMO22" t="s">
        <v>14295</v>
      </c>
      <c r="TMP22" t="s">
        <v>14296</v>
      </c>
      <c r="TMQ22" t="s">
        <v>14297</v>
      </c>
      <c r="TMR22" t="s">
        <v>14298</v>
      </c>
      <c r="TMS22" t="s">
        <v>14299</v>
      </c>
      <c r="TMT22" t="s">
        <v>14300</v>
      </c>
      <c r="TMU22" t="s">
        <v>14301</v>
      </c>
      <c r="TMV22" t="s">
        <v>14302</v>
      </c>
      <c r="TMW22" t="s">
        <v>14303</v>
      </c>
      <c r="TMX22" t="s">
        <v>14304</v>
      </c>
      <c r="TMY22" t="s">
        <v>14305</v>
      </c>
      <c r="TMZ22" t="s">
        <v>14306</v>
      </c>
      <c r="TNA22" t="s">
        <v>14307</v>
      </c>
      <c r="TNB22" t="s">
        <v>14308</v>
      </c>
      <c r="TNC22" t="s">
        <v>14309</v>
      </c>
      <c r="TND22" t="s">
        <v>14310</v>
      </c>
      <c r="TNE22" t="s">
        <v>14311</v>
      </c>
      <c r="TNF22" t="s">
        <v>14312</v>
      </c>
      <c r="TNG22" t="s">
        <v>14313</v>
      </c>
      <c r="TNH22" t="s">
        <v>14314</v>
      </c>
      <c r="TNI22" t="s">
        <v>14315</v>
      </c>
      <c r="TNJ22" t="s">
        <v>14316</v>
      </c>
      <c r="TNK22" t="s">
        <v>14317</v>
      </c>
      <c r="TNL22" t="s">
        <v>14318</v>
      </c>
      <c r="TNM22" t="s">
        <v>14319</v>
      </c>
      <c r="TNN22" t="s">
        <v>14320</v>
      </c>
      <c r="TNO22" t="s">
        <v>14321</v>
      </c>
      <c r="TNP22" t="s">
        <v>14322</v>
      </c>
      <c r="TNQ22" t="s">
        <v>14323</v>
      </c>
      <c r="TNR22" t="s">
        <v>14324</v>
      </c>
      <c r="TNS22" t="s">
        <v>14325</v>
      </c>
      <c r="TNT22" t="s">
        <v>14326</v>
      </c>
      <c r="TNU22" t="s">
        <v>14327</v>
      </c>
      <c r="TNV22" t="s">
        <v>14328</v>
      </c>
      <c r="TNW22" t="s">
        <v>14329</v>
      </c>
      <c r="TNX22" t="s">
        <v>14330</v>
      </c>
      <c r="TNY22" t="s">
        <v>14331</v>
      </c>
      <c r="TNZ22" t="s">
        <v>14332</v>
      </c>
      <c r="TOA22" t="s">
        <v>14333</v>
      </c>
      <c r="TOB22" t="s">
        <v>14334</v>
      </c>
      <c r="TOC22" t="s">
        <v>14335</v>
      </c>
      <c r="TOD22" t="s">
        <v>14336</v>
      </c>
      <c r="TOE22" t="s">
        <v>14337</v>
      </c>
      <c r="TOF22" t="s">
        <v>14338</v>
      </c>
      <c r="TOG22" t="s">
        <v>14339</v>
      </c>
      <c r="TOH22" t="s">
        <v>14340</v>
      </c>
      <c r="TOI22" t="s">
        <v>14341</v>
      </c>
      <c r="TOJ22" t="s">
        <v>14342</v>
      </c>
      <c r="TOK22" t="s">
        <v>14343</v>
      </c>
      <c r="TOL22" t="s">
        <v>14344</v>
      </c>
      <c r="TOM22" t="s">
        <v>14345</v>
      </c>
      <c r="TON22" t="s">
        <v>14346</v>
      </c>
      <c r="TOO22" t="s">
        <v>14347</v>
      </c>
      <c r="TOP22" t="s">
        <v>14348</v>
      </c>
      <c r="TOQ22" t="s">
        <v>14349</v>
      </c>
      <c r="TOR22" t="s">
        <v>14350</v>
      </c>
      <c r="TOS22" t="s">
        <v>14351</v>
      </c>
      <c r="TOT22" t="s">
        <v>14352</v>
      </c>
      <c r="TOU22" t="s">
        <v>14353</v>
      </c>
      <c r="TOV22" t="s">
        <v>14354</v>
      </c>
      <c r="TOW22" t="s">
        <v>14355</v>
      </c>
      <c r="TOX22" t="s">
        <v>14356</v>
      </c>
      <c r="TOY22" t="s">
        <v>14357</v>
      </c>
      <c r="TOZ22" t="s">
        <v>14358</v>
      </c>
      <c r="TPA22" t="s">
        <v>14359</v>
      </c>
      <c r="TPB22" t="s">
        <v>14360</v>
      </c>
      <c r="TPC22" t="s">
        <v>14361</v>
      </c>
      <c r="TPD22" t="s">
        <v>14362</v>
      </c>
      <c r="TPE22" t="s">
        <v>14363</v>
      </c>
      <c r="TPF22" t="s">
        <v>14364</v>
      </c>
      <c r="TPG22" t="s">
        <v>14365</v>
      </c>
      <c r="TPH22" t="s">
        <v>14366</v>
      </c>
      <c r="TPI22" t="s">
        <v>14367</v>
      </c>
      <c r="TPJ22" t="s">
        <v>14368</v>
      </c>
      <c r="TPK22" t="s">
        <v>14369</v>
      </c>
      <c r="TPL22" t="s">
        <v>14370</v>
      </c>
      <c r="TPM22" t="s">
        <v>14371</v>
      </c>
      <c r="TPN22" t="s">
        <v>14372</v>
      </c>
      <c r="TPO22" t="s">
        <v>14373</v>
      </c>
      <c r="TPP22" t="s">
        <v>14374</v>
      </c>
      <c r="TPQ22" t="s">
        <v>14375</v>
      </c>
      <c r="TPR22" t="s">
        <v>14376</v>
      </c>
      <c r="TPS22" t="s">
        <v>14377</v>
      </c>
      <c r="TPT22" t="s">
        <v>14378</v>
      </c>
      <c r="TPU22" t="s">
        <v>14379</v>
      </c>
      <c r="TPV22" t="s">
        <v>14380</v>
      </c>
      <c r="TPW22" t="s">
        <v>14381</v>
      </c>
      <c r="TPX22" t="s">
        <v>14382</v>
      </c>
      <c r="TPY22" t="s">
        <v>14383</v>
      </c>
      <c r="TPZ22" t="s">
        <v>14384</v>
      </c>
      <c r="TQA22" t="s">
        <v>14385</v>
      </c>
      <c r="TQB22" t="s">
        <v>14386</v>
      </c>
      <c r="TQC22" t="s">
        <v>14387</v>
      </c>
      <c r="TQD22" t="s">
        <v>14388</v>
      </c>
      <c r="TQE22" t="s">
        <v>14389</v>
      </c>
      <c r="TQF22" t="s">
        <v>14390</v>
      </c>
      <c r="TQG22" t="s">
        <v>14391</v>
      </c>
      <c r="TQH22" t="s">
        <v>14392</v>
      </c>
      <c r="TQI22" t="s">
        <v>14393</v>
      </c>
      <c r="TQJ22" t="s">
        <v>14394</v>
      </c>
      <c r="TQK22" t="s">
        <v>14395</v>
      </c>
      <c r="TQL22" t="s">
        <v>14396</v>
      </c>
      <c r="TQM22" t="s">
        <v>14397</v>
      </c>
      <c r="TQN22" t="s">
        <v>14398</v>
      </c>
      <c r="TQO22" t="s">
        <v>14399</v>
      </c>
      <c r="TQP22" t="s">
        <v>14400</v>
      </c>
      <c r="TQQ22" t="s">
        <v>14401</v>
      </c>
      <c r="TQR22" t="s">
        <v>14402</v>
      </c>
      <c r="TQS22" t="s">
        <v>14403</v>
      </c>
      <c r="TQT22" t="s">
        <v>14404</v>
      </c>
      <c r="TQU22" t="s">
        <v>14405</v>
      </c>
      <c r="TQV22" t="s">
        <v>14406</v>
      </c>
      <c r="TQW22" t="s">
        <v>14407</v>
      </c>
      <c r="TQX22" t="s">
        <v>14408</v>
      </c>
      <c r="TQY22" t="s">
        <v>14409</v>
      </c>
      <c r="TQZ22" t="s">
        <v>14410</v>
      </c>
      <c r="TRA22" t="s">
        <v>14411</v>
      </c>
      <c r="TRB22" t="s">
        <v>14412</v>
      </c>
      <c r="TRC22" t="s">
        <v>14413</v>
      </c>
      <c r="TRD22" t="s">
        <v>14414</v>
      </c>
      <c r="TRE22" t="s">
        <v>14415</v>
      </c>
      <c r="TRF22" t="s">
        <v>14416</v>
      </c>
      <c r="TRG22" t="s">
        <v>14417</v>
      </c>
      <c r="TRH22" t="s">
        <v>14418</v>
      </c>
      <c r="TRI22" t="s">
        <v>14419</v>
      </c>
      <c r="TRJ22" t="s">
        <v>14420</v>
      </c>
      <c r="TRK22" t="s">
        <v>14421</v>
      </c>
      <c r="TRL22" t="s">
        <v>14422</v>
      </c>
      <c r="TRM22" t="s">
        <v>14423</v>
      </c>
      <c r="TRN22" t="s">
        <v>14424</v>
      </c>
      <c r="TRO22" t="s">
        <v>14425</v>
      </c>
      <c r="TRP22" t="s">
        <v>14426</v>
      </c>
      <c r="TRQ22" t="s">
        <v>14427</v>
      </c>
      <c r="TRR22" t="s">
        <v>14428</v>
      </c>
      <c r="TRS22" t="s">
        <v>14429</v>
      </c>
      <c r="TRT22" t="s">
        <v>14430</v>
      </c>
      <c r="TRU22" t="s">
        <v>14431</v>
      </c>
      <c r="TRV22" t="s">
        <v>14432</v>
      </c>
      <c r="TRW22" t="s">
        <v>14433</v>
      </c>
      <c r="TRX22" t="s">
        <v>14434</v>
      </c>
      <c r="TRY22" t="s">
        <v>14435</v>
      </c>
      <c r="TRZ22" t="s">
        <v>14436</v>
      </c>
      <c r="TSA22" t="s">
        <v>14437</v>
      </c>
      <c r="TSB22" t="s">
        <v>14438</v>
      </c>
      <c r="TSC22" t="s">
        <v>14439</v>
      </c>
      <c r="TSD22" t="s">
        <v>14440</v>
      </c>
      <c r="TSE22" t="s">
        <v>14441</v>
      </c>
      <c r="TSF22" t="s">
        <v>14442</v>
      </c>
      <c r="TSG22" t="s">
        <v>14443</v>
      </c>
      <c r="TSH22" t="s">
        <v>14444</v>
      </c>
      <c r="TSI22" t="s">
        <v>14445</v>
      </c>
      <c r="TSJ22" t="s">
        <v>14446</v>
      </c>
      <c r="TSK22" t="s">
        <v>14447</v>
      </c>
      <c r="TSL22" t="s">
        <v>14448</v>
      </c>
      <c r="TSM22" t="s">
        <v>14449</v>
      </c>
      <c r="TSN22" t="s">
        <v>14450</v>
      </c>
      <c r="TSO22" t="s">
        <v>14451</v>
      </c>
      <c r="TSP22" t="s">
        <v>14452</v>
      </c>
      <c r="TSQ22" t="s">
        <v>14453</v>
      </c>
      <c r="TSR22" t="s">
        <v>14454</v>
      </c>
      <c r="TSS22" t="s">
        <v>14455</v>
      </c>
      <c r="TST22" t="s">
        <v>14456</v>
      </c>
      <c r="TSU22" t="s">
        <v>14457</v>
      </c>
      <c r="TSV22" t="s">
        <v>14458</v>
      </c>
      <c r="TSW22" t="s">
        <v>14459</v>
      </c>
      <c r="TSX22" t="s">
        <v>14460</v>
      </c>
      <c r="TSY22" t="s">
        <v>14461</v>
      </c>
      <c r="TSZ22" t="s">
        <v>14462</v>
      </c>
      <c r="TTA22" t="s">
        <v>14463</v>
      </c>
      <c r="TTB22" t="s">
        <v>14464</v>
      </c>
      <c r="TTC22" t="s">
        <v>14465</v>
      </c>
      <c r="TTD22" t="s">
        <v>14466</v>
      </c>
      <c r="TTE22" t="s">
        <v>14467</v>
      </c>
      <c r="TTF22" t="s">
        <v>14468</v>
      </c>
      <c r="TTG22" t="s">
        <v>14469</v>
      </c>
      <c r="TTH22" t="s">
        <v>14470</v>
      </c>
      <c r="TTI22" t="s">
        <v>14471</v>
      </c>
      <c r="TTJ22" t="s">
        <v>14472</v>
      </c>
      <c r="TTK22" t="s">
        <v>14473</v>
      </c>
      <c r="TTL22" t="s">
        <v>14474</v>
      </c>
      <c r="TTM22" t="s">
        <v>14475</v>
      </c>
      <c r="TTN22" t="s">
        <v>14476</v>
      </c>
      <c r="TTO22" t="s">
        <v>14477</v>
      </c>
      <c r="TTP22" t="s">
        <v>14478</v>
      </c>
      <c r="TTQ22" t="s">
        <v>14479</v>
      </c>
      <c r="TTR22" t="s">
        <v>14480</v>
      </c>
      <c r="TTS22" t="s">
        <v>14481</v>
      </c>
      <c r="TTT22" t="s">
        <v>14482</v>
      </c>
      <c r="TTU22" t="s">
        <v>14483</v>
      </c>
      <c r="TTV22" t="s">
        <v>14484</v>
      </c>
      <c r="TTW22" t="s">
        <v>14485</v>
      </c>
      <c r="TTX22" t="s">
        <v>14486</v>
      </c>
      <c r="TTY22" t="s">
        <v>14487</v>
      </c>
      <c r="TTZ22" t="s">
        <v>14488</v>
      </c>
      <c r="TUA22" t="s">
        <v>14489</v>
      </c>
      <c r="TUB22" t="s">
        <v>14490</v>
      </c>
      <c r="TUC22" t="s">
        <v>14491</v>
      </c>
      <c r="TUD22" t="s">
        <v>14492</v>
      </c>
      <c r="TUE22" t="s">
        <v>14493</v>
      </c>
      <c r="TUF22" t="s">
        <v>14494</v>
      </c>
      <c r="TUG22" t="s">
        <v>14495</v>
      </c>
      <c r="TUH22" t="s">
        <v>14496</v>
      </c>
      <c r="TUI22" t="s">
        <v>14497</v>
      </c>
      <c r="TUJ22" t="s">
        <v>14498</v>
      </c>
      <c r="TUK22" t="s">
        <v>14499</v>
      </c>
      <c r="TUL22" t="s">
        <v>14500</v>
      </c>
      <c r="TUM22" t="s">
        <v>14501</v>
      </c>
      <c r="TUN22" t="s">
        <v>14502</v>
      </c>
      <c r="TUO22" t="s">
        <v>14503</v>
      </c>
      <c r="TUP22" t="s">
        <v>14504</v>
      </c>
      <c r="TUQ22" t="s">
        <v>14505</v>
      </c>
      <c r="TUR22" t="s">
        <v>14506</v>
      </c>
      <c r="TUS22" t="s">
        <v>14507</v>
      </c>
      <c r="TUT22" t="s">
        <v>14508</v>
      </c>
      <c r="TUU22" t="s">
        <v>14509</v>
      </c>
      <c r="TUV22" t="s">
        <v>14510</v>
      </c>
      <c r="TUW22" t="s">
        <v>14511</v>
      </c>
      <c r="TUX22" t="s">
        <v>14512</v>
      </c>
      <c r="TUY22" t="s">
        <v>14513</v>
      </c>
      <c r="TUZ22" t="s">
        <v>14514</v>
      </c>
      <c r="TVA22" t="s">
        <v>14515</v>
      </c>
      <c r="TVB22" t="s">
        <v>14516</v>
      </c>
      <c r="TVC22" t="s">
        <v>14517</v>
      </c>
      <c r="TVD22" t="s">
        <v>14518</v>
      </c>
      <c r="TVE22" t="s">
        <v>14519</v>
      </c>
      <c r="TVF22" t="s">
        <v>14520</v>
      </c>
      <c r="TVG22" t="s">
        <v>14521</v>
      </c>
      <c r="TVH22" t="s">
        <v>14522</v>
      </c>
      <c r="TVI22" t="s">
        <v>14523</v>
      </c>
      <c r="TVJ22" t="s">
        <v>14524</v>
      </c>
      <c r="TVK22" t="s">
        <v>14525</v>
      </c>
      <c r="TVL22" t="s">
        <v>14526</v>
      </c>
      <c r="TVM22" t="s">
        <v>14527</v>
      </c>
      <c r="TVN22" t="s">
        <v>14528</v>
      </c>
      <c r="TVO22" t="s">
        <v>14529</v>
      </c>
      <c r="TVP22" t="s">
        <v>14530</v>
      </c>
      <c r="TVQ22" t="s">
        <v>14531</v>
      </c>
      <c r="TVR22" t="s">
        <v>14532</v>
      </c>
      <c r="TVS22" t="s">
        <v>14533</v>
      </c>
      <c r="TVT22" t="s">
        <v>14534</v>
      </c>
      <c r="TVU22" t="s">
        <v>14535</v>
      </c>
      <c r="TVV22" t="s">
        <v>14536</v>
      </c>
      <c r="TVW22" t="s">
        <v>14537</v>
      </c>
      <c r="TVX22" t="s">
        <v>14538</v>
      </c>
      <c r="TVY22" t="s">
        <v>14539</v>
      </c>
      <c r="TVZ22" t="s">
        <v>14540</v>
      </c>
      <c r="TWA22" t="s">
        <v>14541</v>
      </c>
      <c r="TWB22" t="s">
        <v>14542</v>
      </c>
      <c r="TWC22" t="s">
        <v>14543</v>
      </c>
      <c r="TWD22" t="s">
        <v>14544</v>
      </c>
      <c r="TWE22" t="s">
        <v>14545</v>
      </c>
      <c r="TWF22" t="s">
        <v>14546</v>
      </c>
      <c r="TWG22" t="s">
        <v>14547</v>
      </c>
      <c r="TWH22" t="s">
        <v>14548</v>
      </c>
      <c r="TWI22" t="s">
        <v>14549</v>
      </c>
      <c r="TWJ22" t="s">
        <v>14550</v>
      </c>
      <c r="TWK22" t="s">
        <v>14551</v>
      </c>
      <c r="TWL22" t="s">
        <v>14552</v>
      </c>
      <c r="TWM22" t="s">
        <v>14553</v>
      </c>
      <c r="TWN22" t="s">
        <v>14554</v>
      </c>
      <c r="TWO22" t="s">
        <v>14555</v>
      </c>
      <c r="TWP22" t="s">
        <v>14556</v>
      </c>
      <c r="TWQ22" t="s">
        <v>14557</v>
      </c>
      <c r="TWR22" t="s">
        <v>14558</v>
      </c>
      <c r="TWS22" t="s">
        <v>14559</v>
      </c>
      <c r="TWT22" t="s">
        <v>14560</v>
      </c>
      <c r="TWU22" t="s">
        <v>14561</v>
      </c>
      <c r="TWV22" t="s">
        <v>14562</v>
      </c>
      <c r="TWW22" t="s">
        <v>14563</v>
      </c>
      <c r="TWX22" t="s">
        <v>14564</v>
      </c>
      <c r="TWY22" t="s">
        <v>14565</v>
      </c>
      <c r="TWZ22" t="s">
        <v>14566</v>
      </c>
      <c r="TXA22" t="s">
        <v>14567</v>
      </c>
      <c r="TXB22" t="s">
        <v>14568</v>
      </c>
      <c r="TXC22" t="s">
        <v>14569</v>
      </c>
      <c r="TXD22" t="s">
        <v>14570</v>
      </c>
      <c r="TXE22" t="s">
        <v>14571</v>
      </c>
      <c r="TXF22" t="s">
        <v>14572</v>
      </c>
      <c r="TXG22" t="s">
        <v>14573</v>
      </c>
      <c r="TXH22" t="s">
        <v>14574</v>
      </c>
      <c r="TXI22" t="s">
        <v>14575</v>
      </c>
      <c r="TXJ22" t="s">
        <v>14576</v>
      </c>
      <c r="TXK22" t="s">
        <v>14577</v>
      </c>
      <c r="TXL22" t="s">
        <v>14578</v>
      </c>
      <c r="TXM22" t="s">
        <v>14579</v>
      </c>
      <c r="TXN22" t="s">
        <v>14580</v>
      </c>
      <c r="TXO22" t="s">
        <v>14581</v>
      </c>
      <c r="TXP22" t="s">
        <v>14582</v>
      </c>
      <c r="TXQ22" t="s">
        <v>14583</v>
      </c>
      <c r="TXR22" t="s">
        <v>14584</v>
      </c>
      <c r="TXS22" t="s">
        <v>14585</v>
      </c>
      <c r="TXT22" t="s">
        <v>14586</v>
      </c>
      <c r="TXU22" t="s">
        <v>14587</v>
      </c>
      <c r="TXV22" t="s">
        <v>14588</v>
      </c>
      <c r="TXW22" t="s">
        <v>14589</v>
      </c>
      <c r="TXX22" t="s">
        <v>14590</v>
      </c>
      <c r="TXY22" t="s">
        <v>14591</v>
      </c>
      <c r="TXZ22" t="s">
        <v>14592</v>
      </c>
      <c r="TYA22" t="s">
        <v>14593</v>
      </c>
      <c r="TYB22" t="s">
        <v>14594</v>
      </c>
      <c r="TYC22" t="s">
        <v>14595</v>
      </c>
      <c r="TYD22" t="s">
        <v>14596</v>
      </c>
      <c r="TYE22" t="s">
        <v>14597</v>
      </c>
      <c r="TYF22" t="s">
        <v>14598</v>
      </c>
      <c r="TYG22" t="s">
        <v>14599</v>
      </c>
      <c r="TYH22" t="s">
        <v>14600</v>
      </c>
      <c r="TYI22" t="s">
        <v>14601</v>
      </c>
      <c r="TYJ22" t="s">
        <v>14602</v>
      </c>
      <c r="TYK22" t="s">
        <v>14603</v>
      </c>
      <c r="TYL22" t="s">
        <v>14604</v>
      </c>
      <c r="TYM22" t="s">
        <v>14605</v>
      </c>
      <c r="TYN22" t="s">
        <v>14606</v>
      </c>
      <c r="TYO22" t="s">
        <v>14607</v>
      </c>
      <c r="TYP22" t="s">
        <v>14608</v>
      </c>
      <c r="TYQ22" t="s">
        <v>14609</v>
      </c>
      <c r="TYR22" t="s">
        <v>14610</v>
      </c>
      <c r="TYS22" t="s">
        <v>14611</v>
      </c>
      <c r="TYT22" t="s">
        <v>14612</v>
      </c>
      <c r="TYU22" t="s">
        <v>14613</v>
      </c>
      <c r="TYV22" t="s">
        <v>14614</v>
      </c>
      <c r="TYW22" t="s">
        <v>14615</v>
      </c>
      <c r="TYX22" t="s">
        <v>14616</v>
      </c>
      <c r="TYY22" t="s">
        <v>14617</v>
      </c>
      <c r="TYZ22" t="s">
        <v>14618</v>
      </c>
      <c r="TZA22" t="s">
        <v>14619</v>
      </c>
      <c r="TZB22" t="s">
        <v>14620</v>
      </c>
      <c r="TZC22" t="s">
        <v>14621</v>
      </c>
      <c r="TZD22" t="s">
        <v>14622</v>
      </c>
      <c r="TZE22" t="s">
        <v>14623</v>
      </c>
      <c r="TZF22" t="s">
        <v>14624</v>
      </c>
      <c r="TZG22" t="s">
        <v>14625</v>
      </c>
      <c r="TZH22" t="s">
        <v>14626</v>
      </c>
      <c r="TZI22" t="s">
        <v>14627</v>
      </c>
      <c r="TZJ22" t="s">
        <v>14628</v>
      </c>
      <c r="TZK22" t="s">
        <v>14629</v>
      </c>
      <c r="TZL22" t="s">
        <v>14630</v>
      </c>
      <c r="TZM22" t="s">
        <v>14631</v>
      </c>
      <c r="TZN22" t="s">
        <v>14632</v>
      </c>
      <c r="TZO22" t="s">
        <v>14633</v>
      </c>
      <c r="TZP22" t="s">
        <v>14634</v>
      </c>
      <c r="TZQ22" t="s">
        <v>14635</v>
      </c>
      <c r="TZR22" t="s">
        <v>14636</v>
      </c>
      <c r="TZS22" t="s">
        <v>14637</v>
      </c>
      <c r="TZT22" t="s">
        <v>14638</v>
      </c>
      <c r="TZU22" t="s">
        <v>14639</v>
      </c>
      <c r="TZV22" t="s">
        <v>14640</v>
      </c>
      <c r="TZW22" t="s">
        <v>14641</v>
      </c>
      <c r="TZX22" t="s">
        <v>14642</v>
      </c>
      <c r="TZY22" t="s">
        <v>14643</v>
      </c>
      <c r="TZZ22" t="s">
        <v>14644</v>
      </c>
      <c r="UAA22" t="s">
        <v>14645</v>
      </c>
      <c r="UAB22" t="s">
        <v>14646</v>
      </c>
      <c r="UAC22" t="s">
        <v>14647</v>
      </c>
      <c r="UAD22" t="s">
        <v>14648</v>
      </c>
      <c r="UAE22" t="s">
        <v>14649</v>
      </c>
      <c r="UAF22" t="s">
        <v>14650</v>
      </c>
      <c r="UAG22" t="s">
        <v>14651</v>
      </c>
      <c r="UAH22" t="s">
        <v>14652</v>
      </c>
      <c r="UAI22" t="s">
        <v>14653</v>
      </c>
      <c r="UAJ22" t="s">
        <v>14654</v>
      </c>
      <c r="UAK22" t="s">
        <v>14655</v>
      </c>
      <c r="UAL22" t="s">
        <v>14656</v>
      </c>
      <c r="UAM22" t="s">
        <v>14657</v>
      </c>
      <c r="UAN22" t="s">
        <v>14658</v>
      </c>
      <c r="UAO22" t="s">
        <v>14659</v>
      </c>
      <c r="UAP22" t="s">
        <v>14660</v>
      </c>
      <c r="UAQ22" t="s">
        <v>14661</v>
      </c>
      <c r="UAR22" t="s">
        <v>14662</v>
      </c>
      <c r="UAS22" t="s">
        <v>14663</v>
      </c>
      <c r="UAT22" t="s">
        <v>14664</v>
      </c>
      <c r="UAU22" t="s">
        <v>14665</v>
      </c>
      <c r="UAV22" t="s">
        <v>14666</v>
      </c>
      <c r="UAW22" t="s">
        <v>14667</v>
      </c>
      <c r="UAX22" t="s">
        <v>14668</v>
      </c>
      <c r="UAY22" t="s">
        <v>14669</v>
      </c>
      <c r="UAZ22" t="s">
        <v>14670</v>
      </c>
      <c r="UBA22" t="s">
        <v>14671</v>
      </c>
      <c r="UBB22" t="s">
        <v>14672</v>
      </c>
      <c r="UBC22" t="s">
        <v>14673</v>
      </c>
      <c r="UBD22" t="s">
        <v>14674</v>
      </c>
      <c r="UBE22" t="s">
        <v>14675</v>
      </c>
      <c r="UBF22" t="s">
        <v>14676</v>
      </c>
      <c r="UBG22" t="s">
        <v>14677</v>
      </c>
      <c r="UBH22" t="s">
        <v>14678</v>
      </c>
      <c r="UBI22" t="s">
        <v>14679</v>
      </c>
      <c r="UBJ22" t="s">
        <v>14680</v>
      </c>
      <c r="UBK22" t="s">
        <v>14681</v>
      </c>
      <c r="UBL22" t="s">
        <v>14682</v>
      </c>
      <c r="UBM22" t="s">
        <v>14683</v>
      </c>
      <c r="UBN22" t="s">
        <v>14684</v>
      </c>
      <c r="UBO22" t="s">
        <v>14685</v>
      </c>
      <c r="UBP22" t="s">
        <v>14686</v>
      </c>
      <c r="UBQ22" t="s">
        <v>14687</v>
      </c>
      <c r="UBR22" t="s">
        <v>14688</v>
      </c>
      <c r="UBS22" t="s">
        <v>14689</v>
      </c>
      <c r="UBT22" t="s">
        <v>14690</v>
      </c>
      <c r="UBU22" t="s">
        <v>14691</v>
      </c>
      <c r="UBV22" t="s">
        <v>14692</v>
      </c>
      <c r="UBW22" t="s">
        <v>14693</v>
      </c>
      <c r="UBX22" t="s">
        <v>14694</v>
      </c>
      <c r="UBY22" t="s">
        <v>14695</v>
      </c>
      <c r="UBZ22" t="s">
        <v>14696</v>
      </c>
      <c r="UCA22" t="s">
        <v>14697</v>
      </c>
      <c r="UCB22" t="s">
        <v>14698</v>
      </c>
      <c r="UCC22" t="s">
        <v>14699</v>
      </c>
      <c r="UCD22" t="s">
        <v>14700</v>
      </c>
      <c r="UCE22" t="s">
        <v>14701</v>
      </c>
      <c r="UCF22" t="s">
        <v>14702</v>
      </c>
      <c r="UCG22" t="s">
        <v>14703</v>
      </c>
      <c r="UCH22" t="s">
        <v>14704</v>
      </c>
      <c r="UCI22" t="s">
        <v>14705</v>
      </c>
      <c r="UCJ22" t="s">
        <v>14706</v>
      </c>
      <c r="UCK22" t="s">
        <v>14707</v>
      </c>
      <c r="UCL22" t="s">
        <v>14708</v>
      </c>
      <c r="UCM22" t="s">
        <v>14709</v>
      </c>
      <c r="UCN22" t="s">
        <v>14710</v>
      </c>
      <c r="UCO22" t="s">
        <v>14711</v>
      </c>
      <c r="UCP22" t="s">
        <v>14712</v>
      </c>
      <c r="UCQ22" t="s">
        <v>14713</v>
      </c>
      <c r="UCR22" t="s">
        <v>14714</v>
      </c>
      <c r="UCS22" t="s">
        <v>14715</v>
      </c>
      <c r="UCT22" t="s">
        <v>14716</v>
      </c>
      <c r="UCU22" t="s">
        <v>14717</v>
      </c>
      <c r="UCV22" t="s">
        <v>14718</v>
      </c>
      <c r="UCW22" t="s">
        <v>14719</v>
      </c>
      <c r="UCX22" t="s">
        <v>14720</v>
      </c>
      <c r="UCY22" t="s">
        <v>14721</v>
      </c>
      <c r="UCZ22" t="s">
        <v>14722</v>
      </c>
      <c r="UDA22" t="s">
        <v>14723</v>
      </c>
      <c r="UDB22" t="s">
        <v>14724</v>
      </c>
      <c r="UDC22" t="s">
        <v>14725</v>
      </c>
      <c r="UDD22" t="s">
        <v>14726</v>
      </c>
      <c r="UDE22" t="s">
        <v>14727</v>
      </c>
      <c r="UDF22" t="s">
        <v>14728</v>
      </c>
      <c r="UDG22" t="s">
        <v>14729</v>
      </c>
      <c r="UDH22" t="s">
        <v>14730</v>
      </c>
      <c r="UDI22" t="s">
        <v>14731</v>
      </c>
      <c r="UDJ22" t="s">
        <v>14732</v>
      </c>
      <c r="UDK22" t="s">
        <v>14733</v>
      </c>
      <c r="UDL22" t="s">
        <v>14734</v>
      </c>
      <c r="UDM22" t="s">
        <v>14735</v>
      </c>
      <c r="UDN22" t="s">
        <v>14736</v>
      </c>
      <c r="UDO22" t="s">
        <v>14737</v>
      </c>
      <c r="UDP22" t="s">
        <v>14738</v>
      </c>
      <c r="UDQ22" t="s">
        <v>14739</v>
      </c>
      <c r="UDR22" t="s">
        <v>14740</v>
      </c>
      <c r="UDS22" t="s">
        <v>14741</v>
      </c>
      <c r="UDT22" t="s">
        <v>14742</v>
      </c>
      <c r="UDU22" t="s">
        <v>14743</v>
      </c>
      <c r="UDV22" t="s">
        <v>14744</v>
      </c>
      <c r="UDW22" t="s">
        <v>14745</v>
      </c>
      <c r="UDX22" t="s">
        <v>14746</v>
      </c>
      <c r="UDY22" t="s">
        <v>14747</v>
      </c>
      <c r="UDZ22" t="s">
        <v>14748</v>
      </c>
      <c r="UEA22" t="s">
        <v>14749</v>
      </c>
      <c r="UEB22" t="s">
        <v>14750</v>
      </c>
      <c r="UEC22" t="s">
        <v>14751</v>
      </c>
      <c r="UED22" t="s">
        <v>14752</v>
      </c>
      <c r="UEE22" t="s">
        <v>14753</v>
      </c>
      <c r="UEF22" t="s">
        <v>14754</v>
      </c>
      <c r="UEG22" t="s">
        <v>14755</v>
      </c>
      <c r="UEH22" t="s">
        <v>14756</v>
      </c>
      <c r="UEI22" t="s">
        <v>14757</v>
      </c>
      <c r="UEJ22" t="s">
        <v>14758</v>
      </c>
      <c r="UEK22" t="s">
        <v>14759</v>
      </c>
      <c r="UEL22" t="s">
        <v>14760</v>
      </c>
      <c r="UEM22" t="s">
        <v>14761</v>
      </c>
      <c r="UEN22" t="s">
        <v>14762</v>
      </c>
      <c r="UEO22" t="s">
        <v>14763</v>
      </c>
      <c r="UEP22" t="s">
        <v>14764</v>
      </c>
      <c r="UEQ22" t="s">
        <v>14765</v>
      </c>
      <c r="UER22" t="s">
        <v>14766</v>
      </c>
      <c r="UES22" t="s">
        <v>14767</v>
      </c>
      <c r="UET22" t="s">
        <v>14768</v>
      </c>
      <c r="UEU22" t="s">
        <v>14769</v>
      </c>
      <c r="UEV22" t="s">
        <v>14770</v>
      </c>
      <c r="UEW22" t="s">
        <v>14771</v>
      </c>
      <c r="UEX22" t="s">
        <v>14772</v>
      </c>
      <c r="UEY22" t="s">
        <v>14773</v>
      </c>
      <c r="UEZ22" t="s">
        <v>14774</v>
      </c>
      <c r="UFA22" t="s">
        <v>14775</v>
      </c>
      <c r="UFB22" t="s">
        <v>14776</v>
      </c>
      <c r="UFC22" t="s">
        <v>14777</v>
      </c>
      <c r="UFD22" t="s">
        <v>14778</v>
      </c>
      <c r="UFE22" t="s">
        <v>14779</v>
      </c>
      <c r="UFF22" t="s">
        <v>14780</v>
      </c>
      <c r="UFG22" t="s">
        <v>14781</v>
      </c>
      <c r="UFH22" t="s">
        <v>14782</v>
      </c>
      <c r="UFI22" t="s">
        <v>14783</v>
      </c>
      <c r="UFJ22" t="s">
        <v>14784</v>
      </c>
      <c r="UFK22" t="s">
        <v>14785</v>
      </c>
      <c r="UFL22" t="s">
        <v>14786</v>
      </c>
      <c r="UFM22" t="s">
        <v>14787</v>
      </c>
      <c r="UFN22" t="s">
        <v>14788</v>
      </c>
      <c r="UFO22" t="s">
        <v>14789</v>
      </c>
      <c r="UFP22" t="s">
        <v>14790</v>
      </c>
      <c r="UFQ22" t="s">
        <v>14791</v>
      </c>
      <c r="UFR22" t="s">
        <v>14792</v>
      </c>
      <c r="UFS22" t="s">
        <v>14793</v>
      </c>
      <c r="UFT22" t="s">
        <v>14794</v>
      </c>
      <c r="UFU22" t="s">
        <v>14795</v>
      </c>
      <c r="UFV22" t="s">
        <v>14796</v>
      </c>
      <c r="UFW22" t="s">
        <v>14797</v>
      </c>
      <c r="UFX22" t="s">
        <v>14798</v>
      </c>
      <c r="UFY22" t="s">
        <v>14799</v>
      </c>
      <c r="UFZ22" t="s">
        <v>14800</v>
      </c>
      <c r="UGA22" t="s">
        <v>14801</v>
      </c>
      <c r="UGB22" t="s">
        <v>14802</v>
      </c>
      <c r="UGC22" t="s">
        <v>14803</v>
      </c>
      <c r="UGD22" t="s">
        <v>14804</v>
      </c>
      <c r="UGE22" t="s">
        <v>14805</v>
      </c>
      <c r="UGF22" t="s">
        <v>14806</v>
      </c>
      <c r="UGG22" t="s">
        <v>14807</v>
      </c>
      <c r="UGH22" t="s">
        <v>14808</v>
      </c>
      <c r="UGI22" t="s">
        <v>14809</v>
      </c>
      <c r="UGJ22" t="s">
        <v>14810</v>
      </c>
      <c r="UGK22" t="s">
        <v>14811</v>
      </c>
      <c r="UGL22" t="s">
        <v>14812</v>
      </c>
      <c r="UGM22" t="s">
        <v>14813</v>
      </c>
      <c r="UGN22" t="s">
        <v>14814</v>
      </c>
      <c r="UGO22" t="s">
        <v>14815</v>
      </c>
      <c r="UGP22" t="s">
        <v>14816</v>
      </c>
      <c r="UGQ22" t="s">
        <v>14817</v>
      </c>
      <c r="UGR22" t="s">
        <v>14818</v>
      </c>
      <c r="UGS22" t="s">
        <v>14819</v>
      </c>
      <c r="UGT22" t="s">
        <v>14820</v>
      </c>
      <c r="UGU22" t="s">
        <v>14821</v>
      </c>
      <c r="UGV22" t="s">
        <v>14822</v>
      </c>
      <c r="UGW22" t="s">
        <v>14823</v>
      </c>
      <c r="UGX22" t="s">
        <v>14824</v>
      </c>
      <c r="UGY22" t="s">
        <v>14825</v>
      </c>
      <c r="UGZ22" t="s">
        <v>14826</v>
      </c>
      <c r="UHA22" t="s">
        <v>14827</v>
      </c>
      <c r="UHB22" t="s">
        <v>14828</v>
      </c>
      <c r="UHC22" t="s">
        <v>14829</v>
      </c>
      <c r="UHD22" t="s">
        <v>14830</v>
      </c>
      <c r="UHE22" t="s">
        <v>14831</v>
      </c>
      <c r="UHF22" t="s">
        <v>14832</v>
      </c>
      <c r="UHG22" t="s">
        <v>14833</v>
      </c>
      <c r="UHH22" t="s">
        <v>14834</v>
      </c>
      <c r="UHI22" t="s">
        <v>14835</v>
      </c>
      <c r="UHJ22" t="s">
        <v>14836</v>
      </c>
      <c r="UHK22" t="s">
        <v>14837</v>
      </c>
      <c r="UHL22" t="s">
        <v>14838</v>
      </c>
      <c r="UHM22" t="s">
        <v>14839</v>
      </c>
      <c r="UHN22" t="s">
        <v>14840</v>
      </c>
      <c r="UHO22" t="s">
        <v>14841</v>
      </c>
      <c r="UHP22" t="s">
        <v>14842</v>
      </c>
      <c r="UHQ22" t="s">
        <v>14843</v>
      </c>
      <c r="UHR22" t="s">
        <v>14844</v>
      </c>
      <c r="UHS22" t="s">
        <v>14845</v>
      </c>
      <c r="UHT22" t="s">
        <v>14846</v>
      </c>
      <c r="UHU22" t="s">
        <v>14847</v>
      </c>
      <c r="UHV22" t="s">
        <v>14848</v>
      </c>
      <c r="UHW22" t="s">
        <v>14849</v>
      </c>
      <c r="UHX22" t="s">
        <v>14850</v>
      </c>
      <c r="UHY22" t="s">
        <v>14851</v>
      </c>
      <c r="UHZ22" t="s">
        <v>14852</v>
      </c>
      <c r="UIA22" t="s">
        <v>14853</v>
      </c>
      <c r="UIB22" t="s">
        <v>14854</v>
      </c>
      <c r="UIC22" t="s">
        <v>14855</v>
      </c>
      <c r="UID22" t="s">
        <v>14856</v>
      </c>
      <c r="UIE22" t="s">
        <v>14857</v>
      </c>
      <c r="UIF22" t="s">
        <v>14858</v>
      </c>
      <c r="UIG22" t="s">
        <v>14859</v>
      </c>
      <c r="UIH22" t="s">
        <v>14860</v>
      </c>
      <c r="UII22" t="s">
        <v>14861</v>
      </c>
      <c r="UIJ22" t="s">
        <v>14862</v>
      </c>
      <c r="UIK22" t="s">
        <v>14863</v>
      </c>
      <c r="UIL22" t="s">
        <v>14864</v>
      </c>
      <c r="UIM22" t="s">
        <v>14865</v>
      </c>
      <c r="UIN22" t="s">
        <v>14866</v>
      </c>
      <c r="UIO22" t="s">
        <v>14867</v>
      </c>
      <c r="UIP22" t="s">
        <v>14868</v>
      </c>
      <c r="UIQ22" t="s">
        <v>14869</v>
      </c>
      <c r="UIR22" t="s">
        <v>14870</v>
      </c>
      <c r="UIS22" t="s">
        <v>14871</v>
      </c>
      <c r="UIT22" t="s">
        <v>14872</v>
      </c>
      <c r="UIU22" t="s">
        <v>14873</v>
      </c>
      <c r="UIV22" t="s">
        <v>14874</v>
      </c>
      <c r="UIW22" t="s">
        <v>14875</v>
      </c>
      <c r="UIX22" t="s">
        <v>14876</v>
      </c>
      <c r="UIY22" t="s">
        <v>14877</v>
      </c>
      <c r="UIZ22" t="s">
        <v>14878</v>
      </c>
      <c r="UJA22" t="s">
        <v>14879</v>
      </c>
      <c r="UJB22" t="s">
        <v>14880</v>
      </c>
      <c r="UJC22" t="s">
        <v>14881</v>
      </c>
      <c r="UJD22" t="s">
        <v>14882</v>
      </c>
      <c r="UJE22" t="s">
        <v>14883</v>
      </c>
      <c r="UJF22" t="s">
        <v>14884</v>
      </c>
      <c r="UJG22" t="s">
        <v>14885</v>
      </c>
      <c r="UJH22" t="s">
        <v>14886</v>
      </c>
      <c r="UJI22" t="s">
        <v>14887</v>
      </c>
      <c r="UJJ22" t="s">
        <v>14888</v>
      </c>
      <c r="UJK22" t="s">
        <v>14889</v>
      </c>
      <c r="UJL22" t="s">
        <v>14890</v>
      </c>
      <c r="UJM22" t="s">
        <v>14891</v>
      </c>
      <c r="UJN22" t="s">
        <v>14892</v>
      </c>
      <c r="UJO22" t="s">
        <v>14893</v>
      </c>
      <c r="UJP22" t="s">
        <v>14894</v>
      </c>
      <c r="UJQ22" t="s">
        <v>14895</v>
      </c>
      <c r="UJR22" t="s">
        <v>14896</v>
      </c>
      <c r="UJS22" t="s">
        <v>14897</v>
      </c>
      <c r="UJT22" t="s">
        <v>14898</v>
      </c>
      <c r="UJU22" t="s">
        <v>14899</v>
      </c>
      <c r="UJV22" t="s">
        <v>14900</v>
      </c>
      <c r="UJW22" t="s">
        <v>14901</v>
      </c>
      <c r="UJX22" t="s">
        <v>14902</v>
      </c>
      <c r="UJY22" t="s">
        <v>14903</v>
      </c>
      <c r="UJZ22" t="s">
        <v>14904</v>
      </c>
      <c r="UKA22" t="s">
        <v>14905</v>
      </c>
      <c r="UKB22" t="s">
        <v>14906</v>
      </c>
      <c r="UKC22" t="s">
        <v>14907</v>
      </c>
      <c r="UKD22" t="s">
        <v>14908</v>
      </c>
      <c r="UKE22" t="s">
        <v>14909</v>
      </c>
      <c r="UKF22" t="s">
        <v>14910</v>
      </c>
      <c r="UKG22" t="s">
        <v>14911</v>
      </c>
      <c r="UKH22" t="s">
        <v>14912</v>
      </c>
      <c r="UKI22" t="s">
        <v>14913</v>
      </c>
      <c r="UKJ22" t="s">
        <v>14914</v>
      </c>
      <c r="UKK22" t="s">
        <v>14915</v>
      </c>
      <c r="UKL22" t="s">
        <v>14916</v>
      </c>
      <c r="UKM22" t="s">
        <v>14917</v>
      </c>
      <c r="UKN22" t="s">
        <v>14918</v>
      </c>
      <c r="UKO22" t="s">
        <v>14919</v>
      </c>
      <c r="UKP22" t="s">
        <v>14920</v>
      </c>
      <c r="UKQ22" t="s">
        <v>14921</v>
      </c>
      <c r="UKR22" t="s">
        <v>14922</v>
      </c>
      <c r="UKS22" t="s">
        <v>14923</v>
      </c>
      <c r="UKT22" t="s">
        <v>14924</v>
      </c>
      <c r="UKU22" t="s">
        <v>14925</v>
      </c>
      <c r="UKV22" t="s">
        <v>14926</v>
      </c>
      <c r="UKW22" t="s">
        <v>14927</v>
      </c>
      <c r="UKX22" t="s">
        <v>14928</v>
      </c>
      <c r="UKY22" t="s">
        <v>14929</v>
      </c>
      <c r="UKZ22" t="s">
        <v>14930</v>
      </c>
      <c r="ULA22" t="s">
        <v>14931</v>
      </c>
      <c r="ULB22" t="s">
        <v>14932</v>
      </c>
      <c r="ULC22" t="s">
        <v>14933</v>
      </c>
      <c r="ULD22" t="s">
        <v>14934</v>
      </c>
      <c r="ULE22" t="s">
        <v>14935</v>
      </c>
      <c r="ULF22" t="s">
        <v>14936</v>
      </c>
      <c r="ULG22" t="s">
        <v>14937</v>
      </c>
      <c r="ULH22" t="s">
        <v>14938</v>
      </c>
      <c r="ULI22" t="s">
        <v>14939</v>
      </c>
      <c r="ULJ22" t="s">
        <v>14940</v>
      </c>
      <c r="ULK22" t="s">
        <v>14941</v>
      </c>
      <c r="ULL22" t="s">
        <v>14942</v>
      </c>
      <c r="ULM22" t="s">
        <v>14943</v>
      </c>
      <c r="ULN22" t="s">
        <v>14944</v>
      </c>
      <c r="ULO22" t="s">
        <v>14945</v>
      </c>
      <c r="ULP22" t="s">
        <v>14946</v>
      </c>
      <c r="ULQ22" t="s">
        <v>14947</v>
      </c>
      <c r="ULR22" t="s">
        <v>14948</v>
      </c>
      <c r="ULS22" t="s">
        <v>14949</v>
      </c>
      <c r="ULT22" t="s">
        <v>14950</v>
      </c>
      <c r="ULU22" t="s">
        <v>14951</v>
      </c>
      <c r="ULV22" t="s">
        <v>14952</v>
      </c>
      <c r="ULW22" t="s">
        <v>14953</v>
      </c>
      <c r="ULX22" t="s">
        <v>14954</v>
      </c>
      <c r="ULY22" t="s">
        <v>14955</v>
      </c>
      <c r="ULZ22" t="s">
        <v>14956</v>
      </c>
      <c r="UMA22" t="s">
        <v>14957</v>
      </c>
      <c r="UMB22" t="s">
        <v>14958</v>
      </c>
      <c r="UMC22" t="s">
        <v>14959</v>
      </c>
      <c r="UMD22" t="s">
        <v>14960</v>
      </c>
      <c r="UME22" t="s">
        <v>14961</v>
      </c>
      <c r="UMF22" t="s">
        <v>14962</v>
      </c>
      <c r="UMG22" t="s">
        <v>14963</v>
      </c>
      <c r="UMH22" t="s">
        <v>14964</v>
      </c>
      <c r="UMI22" t="s">
        <v>14965</v>
      </c>
      <c r="UMJ22" t="s">
        <v>14966</v>
      </c>
      <c r="UMK22" t="s">
        <v>14967</v>
      </c>
      <c r="UML22" t="s">
        <v>14968</v>
      </c>
      <c r="UMM22" t="s">
        <v>14969</v>
      </c>
      <c r="UMN22" t="s">
        <v>14970</v>
      </c>
      <c r="UMO22" t="s">
        <v>14971</v>
      </c>
      <c r="UMP22" t="s">
        <v>14972</v>
      </c>
      <c r="UMQ22" t="s">
        <v>14973</v>
      </c>
      <c r="UMR22" t="s">
        <v>14974</v>
      </c>
      <c r="UMS22" t="s">
        <v>14975</v>
      </c>
      <c r="UMT22" t="s">
        <v>14976</v>
      </c>
      <c r="UMU22" t="s">
        <v>14977</v>
      </c>
      <c r="UMV22" t="s">
        <v>14978</v>
      </c>
      <c r="UMW22" t="s">
        <v>14979</v>
      </c>
      <c r="UMX22" t="s">
        <v>14980</v>
      </c>
      <c r="UMY22" t="s">
        <v>14981</v>
      </c>
      <c r="UMZ22" t="s">
        <v>14982</v>
      </c>
      <c r="UNA22" t="s">
        <v>14983</v>
      </c>
      <c r="UNB22" t="s">
        <v>14984</v>
      </c>
      <c r="UNC22" t="s">
        <v>14985</v>
      </c>
      <c r="UND22" t="s">
        <v>14986</v>
      </c>
      <c r="UNE22" t="s">
        <v>14987</v>
      </c>
      <c r="UNF22" t="s">
        <v>14988</v>
      </c>
      <c r="UNG22" t="s">
        <v>14989</v>
      </c>
      <c r="UNH22" t="s">
        <v>14990</v>
      </c>
      <c r="UNI22" t="s">
        <v>14991</v>
      </c>
      <c r="UNJ22" t="s">
        <v>14992</v>
      </c>
      <c r="UNK22" t="s">
        <v>14993</v>
      </c>
      <c r="UNL22" t="s">
        <v>14994</v>
      </c>
      <c r="UNM22" t="s">
        <v>14995</v>
      </c>
      <c r="UNN22" t="s">
        <v>14996</v>
      </c>
      <c r="UNO22" t="s">
        <v>14997</v>
      </c>
      <c r="UNP22" t="s">
        <v>14998</v>
      </c>
      <c r="UNQ22" t="s">
        <v>14999</v>
      </c>
      <c r="UNR22" t="s">
        <v>15000</v>
      </c>
      <c r="UNS22" t="s">
        <v>15001</v>
      </c>
      <c r="UNT22" t="s">
        <v>15002</v>
      </c>
      <c r="UNU22" t="s">
        <v>15003</v>
      </c>
      <c r="UNV22" t="s">
        <v>15004</v>
      </c>
      <c r="UNW22" t="s">
        <v>15005</v>
      </c>
      <c r="UNX22" t="s">
        <v>15006</v>
      </c>
      <c r="UNY22" t="s">
        <v>15007</v>
      </c>
      <c r="UNZ22" t="s">
        <v>15008</v>
      </c>
      <c r="UOA22" t="s">
        <v>15009</v>
      </c>
      <c r="UOB22" t="s">
        <v>15010</v>
      </c>
      <c r="UOC22" t="s">
        <v>15011</v>
      </c>
      <c r="UOD22" t="s">
        <v>15012</v>
      </c>
      <c r="UOE22" t="s">
        <v>15013</v>
      </c>
      <c r="UOF22" t="s">
        <v>15014</v>
      </c>
      <c r="UOG22" t="s">
        <v>15015</v>
      </c>
      <c r="UOH22" t="s">
        <v>15016</v>
      </c>
      <c r="UOI22" t="s">
        <v>15017</v>
      </c>
      <c r="UOJ22" t="s">
        <v>15018</v>
      </c>
      <c r="UOK22" t="s">
        <v>15019</v>
      </c>
      <c r="UOL22" t="s">
        <v>15020</v>
      </c>
      <c r="UOM22" t="s">
        <v>15021</v>
      </c>
      <c r="UON22" t="s">
        <v>15022</v>
      </c>
      <c r="UOO22" t="s">
        <v>15023</v>
      </c>
      <c r="UOP22" t="s">
        <v>15024</v>
      </c>
      <c r="UOQ22" t="s">
        <v>15025</v>
      </c>
      <c r="UOR22" t="s">
        <v>15026</v>
      </c>
      <c r="UOS22" t="s">
        <v>15027</v>
      </c>
      <c r="UOT22" t="s">
        <v>15028</v>
      </c>
      <c r="UOU22" t="s">
        <v>15029</v>
      </c>
      <c r="UOV22" t="s">
        <v>15030</v>
      </c>
      <c r="UOW22" t="s">
        <v>15031</v>
      </c>
      <c r="UOX22" t="s">
        <v>15032</v>
      </c>
      <c r="UOY22" t="s">
        <v>15033</v>
      </c>
      <c r="UOZ22" t="s">
        <v>15034</v>
      </c>
      <c r="UPA22" t="s">
        <v>15035</v>
      </c>
      <c r="UPB22" t="s">
        <v>15036</v>
      </c>
      <c r="UPC22" t="s">
        <v>15037</v>
      </c>
      <c r="UPD22" t="s">
        <v>15038</v>
      </c>
      <c r="UPE22" t="s">
        <v>15039</v>
      </c>
      <c r="UPF22" t="s">
        <v>15040</v>
      </c>
      <c r="UPG22" t="s">
        <v>15041</v>
      </c>
      <c r="UPH22" t="s">
        <v>15042</v>
      </c>
      <c r="UPI22" t="s">
        <v>15043</v>
      </c>
      <c r="UPJ22" t="s">
        <v>15044</v>
      </c>
      <c r="UPK22" t="s">
        <v>15045</v>
      </c>
      <c r="UPL22" t="s">
        <v>15046</v>
      </c>
      <c r="UPM22" t="s">
        <v>15047</v>
      </c>
      <c r="UPN22" t="s">
        <v>15048</v>
      </c>
      <c r="UPO22" t="s">
        <v>15049</v>
      </c>
      <c r="UPP22" t="s">
        <v>15050</v>
      </c>
      <c r="UPQ22" t="s">
        <v>15051</v>
      </c>
      <c r="UPR22" t="s">
        <v>15052</v>
      </c>
      <c r="UPS22" t="s">
        <v>15053</v>
      </c>
      <c r="UPT22" t="s">
        <v>15054</v>
      </c>
      <c r="UPU22" t="s">
        <v>15055</v>
      </c>
      <c r="UPV22" t="s">
        <v>15056</v>
      </c>
      <c r="UPW22" t="s">
        <v>15057</v>
      </c>
      <c r="UPX22" t="s">
        <v>15058</v>
      </c>
      <c r="UPY22" t="s">
        <v>15059</v>
      </c>
      <c r="UPZ22" t="s">
        <v>15060</v>
      </c>
      <c r="UQA22" t="s">
        <v>15061</v>
      </c>
      <c r="UQB22" t="s">
        <v>15062</v>
      </c>
      <c r="UQC22" t="s">
        <v>15063</v>
      </c>
      <c r="UQD22" t="s">
        <v>15064</v>
      </c>
      <c r="UQE22" t="s">
        <v>15065</v>
      </c>
      <c r="UQF22" t="s">
        <v>15066</v>
      </c>
      <c r="UQG22" t="s">
        <v>15067</v>
      </c>
      <c r="UQH22" t="s">
        <v>15068</v>
      </c>
      <c r="UQI22" t="s">
        <v>15069</v>
      </c>
      <c r="UQJ22" t="s">
        <v>15070</v>
      </c>
      <c r="UQK22" t="s">
        <v>15071</v>
      </c>
      <c r="UQL22" t="s">
        <v>15072</v>
      </c>
      <c r="UQM22" t="s">
        <v>15073</v>
      </c>
      <c r="UQN22" t="s">
        <v>15074</v>
      </c>
      <c r="UQO22" t="s">
        <v>15075</v>
      </c>
      <c r="UQP22" t="s">
        <v>15076</v>
      </c>
      <c r="UQQ22" t="s">
        <v>15077</v>
      </c>
      <c r="UQR22" t="s">
        <v>15078</v>
      </c>
      <c r="UQS22" t="s">
        <v>15079</v>
      </c>
      <c r="UQT22" t="s">
        <v>15080</v>
      </c>
      <c r="UQU22" t="s">
        <v>15081</v>
      </c>
      <c r="UQV22" t="s">
        <v>15082</v>
      </c>
      <c r="UQW22" t="s">
        <v>15083</v>
      </c>
      <c r="UQX22" t="s">
        <v>15084</v>
      </c>
      <c r="UQY22" t="s">
        <v>15085</v>
      </c>
      <c r="UQZ22" t="s">
        <v>15086</v>
      </c>
      <c r="URA22" t="s">
        <v>15087</v>
      </c>
      <c r="URB22" t="s">
        <v>15088</v>
      </c>
      <c r="URC22" t="s">
        <v>15089</v>
      </c>
      <c r="URD22" t="s">
        <v>15090</v>
      </c>
      <c r="URE22" t="s">
        <v>15091</v>
      </c>
      <c r="URF22" t="s">
        <v>15092</v>
      </c>
      <c r="URG22" t="s">
        <v>15093</v>
      </c>
      <c r="URH22" t="s">
        <v>15094</v>
      </c>
      <c r="URI22" t="s">
        <v>15095</v>
      </c>
      <c r="URJ22" t="s">
        <v>15096</v>
      </c>
      <c r="URK22" t="s">
        <v>15097</v>
      </c>
      <c r="URL22" t="s">
        <v>15098</v>
      </c>
      <c r="URM22" t="s">
        <v>15099</v>
      </c>
      <c r="URN22" t="s">
        <v>15100</v>
      </c>
      <c r="URO22" t="s">
        <v>15101</v>
      </c>
      <c r="URP22" t="s">
        <v>15102</v>
      </c>
      <c r="URQ22" t="s">
        <v>15103</v>
      </c>
      <c r="URR22" t="s">
        <v>15104</v>
      </c>
      <c r="URS22" t="s">
        <v>15105</v>
      </c>
      <c r="URT22" t="s">
        <v>15106</v>
      </c>
      <c r="URU22" t="s">
        <v>15107</v>
      </c>
      <c r="URV22" t="s">
        <v>15108</v>
      </c>
      <c r="URW22" t="s">
        <v>15109</v>
      </c>
      <c r="URX22" t="s">
        <v>15110</v>
      </c>
      <c r="URY22" t="s">
        <v>15111</v>
      </c>
      <c r="URZ22" t="s">
        <v>15112</v>
      </c>
      <c r="USA22" t="s">
        <v>15113</v>
      </c>
      <c r="USB22" t="s">
        <v>15114</v>
      </c>
      <c r="USC22" t="s">
        <v>15115</v>
      </c>
      <c r="USD22" t="s">
        <v>15116</v>
      </c>
      <c r="USE22" t="s">
        <v>15117</v>
      </c>
      <c r="USF22" t="s">
        <v>15118</v>
      </c>
      <c r="USG22" t="s">
        <v>15119</v>
      </c>
      <c r="USH22" t="s">
        <v>15120</v>
      </c>
      <c r="USI22" t="s">
        <v>15121</v>
      </c>
      <c r="USJ22" t="s">
        <v>15122</v>
      </c>
      <c r="USK22" t="s">
        <v>15123</v>
      </c>
      <c r="USL22" t="s">
        <v>15124</v>
      </c>
      <c r="USM22" t="s">
        <v>15125</v>
      </c>
      <c r="USN22" t="s">
        <v>15126</v>
      </c>
      <c r="USO22" t="s">
        <v>15127</v>
      </c>
      <c r="USP22" t="s">
        <v>15128</v>
      </c>
      <c r="USQ22" t="s">
        <v>15129</v>
      </c>
      <c r="USR22" t="s">
        <v>15130</v>
      </c>
      <c r="USS22" t="s">
        <v>15131</v>
      </c>
      <c r="UST22" t="s">
        <v>15132</v>
      </c>
      <c r="USU22" t="s">
        <v>15133</v>
      </c>
      <c r="USV22" t="s">
        <v>15134</v>
      </c>
      <c r="USW22" t="s">
        <v>15135</v>
      </c>
      <c r="USX22" t="s">
        <v>15136</v>
      </c>
      <c r="USY22" t="s">
        <v>15137</v>
      </c>
      <c r="USZ22" t="s">
        <v>15138</v>
      </c>
      <c r="UTA22" t="s">
        <v>15139</v>
      </c>
      <c r="UTB22" t="s">
        <v>15140</v>
      </c>
      <c r="UTC22" t="s">
        <v>15141</v>
      </c>
      <c r="UTD22" t="s">
        <v>15142</v>
      </c>
      <c r="UTE22" t="s">
        <v>15143</v>
      </c>
      <c r="UTF22" t="s">
        <v>15144</v>
      </c>
      <c r="UTG22" t="s">
        <v>15145</v>
      </c>
      <c r="UTH22" t="s">
        <v>15146</v>
      </c>
      <c r="UTI22" t="s">
        <v>15147</v>
      </c>
      <c r="UTJ22" t="s">
        <v>15148</v>
      </c>
      <c r="UTK22" t="s">
        <v>15149</v>
      </c>
      <c r="UTL22" t="s">
        <v>15150</v>
      </c>
      <c r="UTM22" t="s">
        <v>15151</v>
      </c>
      <c r="UTN22" t="s">
        <v>15152</v>
      </c>
      <c r="UTO22" t="s">
        <v>15153</v>
      </c>
      <c r="UTP22" t="s">
        <v>15154</v>
      </c>
      <c r="UTQ22" t="s">
        <v>15155</v>
      </c>
      <c r="UTR22" t="s">
        <v>15156</v>
      </c>
      <c r="UTS22" t="s">
        <v>15157</v>
      </c>
      <c r="UTT22" t="s">
        <v>15158</v>
      </c>
      <c r="UTU22" t="s">
        <v>15159</v>
      </c>
      <c r="UTV22" t="s">
        <v>15160</v>
      </c>
      <c r="UTW22" t="s">
        <v>15161</v>
      </c>
      <c r="UTX22" t="s">
        <v>15162</v>
      </c>
      <c r="UTY22" t="s">
        <v>15163</v>
      </c>
      <c r="UTZ22" t="s">
        <v>15164</v>
      </c>
      <c r="UUA22" t="s">
        <v>15165</v>
      </c>
      <c r="UUB22" t="s">
        <v>15166</v>
      </c>
      <c r="UUC22" t="s">
        <v>15167</v>
      </c>
      <c r="UUD22" t="s">
        <v>15168</v>
      </c>
      <c r="UUE22" t="s">
        <v>15169</v>
      </c>
      <c r="UUF22" t="s">
        <v>15170</v>
      </c>
      <c r="UUG22" t="s">
        <v>15171</v>
      </c>
      <c r="UUH22" t="s">
        <v>15172</v>
      </c>
      <c r="UUI22" t="s">
        <v>15173</v>
      </c>
      <c r="UUJ22" t="s">
        <v>15174</v>
      </c>
      <c r="UUK22" t="s">
        <v>15175</v>
      </c>
      <c r="UUL22" t="s">
        <v>15176</v>
      </c>
      <c r="UUM22" t="s">
        <v>15177</v>
      </c>
      <c r="UUN22" t="s">
        <v>15178</v>
      </c>
      <c r="UUO22" t="s">
        <v>15179</v>
      </c>
      <c r="UUP22" t="s">
        <v>15180</v>
      </c>
      <c r="UUQ22" t="s">
        <v>15181</v>
      </c>
      <c r="UUR22" t="s">
        <v>15182</v>
      </c>
      <c r="UUS22" t="s">
        <v>15183</v>
      </c>
      <c r="UUT22" t="s">
        <v>15184</v>
      </c>
      <c r="UUU22" t="s">
        <v>15185</v>
      </c>
      <c r="UUV22" t="s">
        <v>15186</v>
      </c>
      <c r="UUW22" t="s">
        <v>15187</v>
      </c>
      <c r="UUX22" t="s">
        <v>15188</v>
      </c>
      <c r="UUY22" t="s">
        <v>15189</v>
      </c>
      <c r="UUZ22" t="s">
        <v>15190</v>
      </c>
      <c r="UVA22" t="s">
        <v>15191</v>
      </c>
      <c r="UVB22" t="s">
        <v>15192</v>
      </c>
      <c r="UVC22" t="s">
        <v>15193</v>
      </c>
      <c r="UVD22" t="s">
        <v>15194</v>
      </c>
      <c r="UVE22" t="s">
        <v>15195</v>
      </c>
      <c r="UVF22" t="s">
        <v>15196</v>
      </c>
      <c r="UVG22" t="s">
        <v>15197</v>
      </c>
      <c r="UVH22" t="s">
        <v>15198</v>
      </c>
      <c r="UVI22" t="s">
        <v>15199</v>
      </c>
      <c r="UVJ22" t="s">
        <v>15200</v>
      </c>
      <c r="UVK22" t="s">
        <v>15201</v>
      </c>
      <c r="UVL22" t="s">
        <v>15202</v>
      </c>
      <c r="UVM22" t="s">
        <v>15203</v>
      </c>
      <c r="UVN22" t="s">
        <v>15204</v>
      </c>
      <c r="UVO22" t="s">
        <v>15205</v>
      </c>
      <c r="UVP22" t="s">
        <v>15206</v>
      </c>
      <c r="UVQ22" t="s">
        <v>15207</v>
      </c>
      <c r="UVR22" t="s">
        <v>15208</v>
      </c>
      <c r="UVS22" t="s">
        <v>15209</v>
      </c>
      <c r="UVT22" t="s">
        <v>15210</v>
      </c>
      <c r="UVU22" t="s">
        <v>15211</v>
      </c>
      <c r="UVV22" t="s">
        <v>15212</v>
      </c>
      <c r="UVW22" t="s">
        <v>15213</v>
      </c>
      <c r="UVX22" t="s">
        <v>15214</v>
      </c>
      <c r="UVY22" t="s">
        <v>15215</v>
      </c>
      <c r="UVZ22" t="s">
        <v>15216</v>
      </c>
      <c r="UWA22" t="s">
        <v>15217</v>
      </c>
      <c r="UWB22" t="s">
        <v>15218</v>
      </c>
      <c r="UWC22" t="s">
        <v>15219</v>
      </c>
      <c r="UWD22" t="s">
        <v>15220</v>
      </c>
      <c r="UWE22" t="s">
        <v>15221</v>
      </c>
      <c r="UWF22" t="s">
        <v>15222</v>
      </c>
      <c r="UWG22" t="s">
        <v>15223</v>
      </c>
      <c r="UWH22" t="s">
        <v>15224</v>
      </c>
      <c r="UWI22" t="s">
        <v>15225</v>
      </c>
      <c r="UWJ22" t="s">
        <v>15226</v>
      </c>
      <c r="UWK22" t="s">
        <v>15227</v>
      </c>
      <c r="UWL22" t="s">
        <v>15228</v>
      </c>
      <c r="UWM22" t="s">
        <v>15229</v>
      </c>
      <c r="UWN22" t="s">
        <v>15230</v>
      </c>
      <c r="UWO22" t="s">
        <v>15231</v>
      </c>
      <c r="UWP22" t="s">
        <v>15232</v>
      </c>
      <c r="UWQ22" t="s">
        <v>15233</v>
      </c>
      <c r="UWR22" t="s">
        <v>15234</v>
      </c>
      <c r="UWS22" t="s">
        <v>15235</v>
      </c>
      <c r="UWT22" t="s">
        <v>15236</v>
      </c>
      <c r="UWU22" t="s">
        <v>15237</v>
      </c>
      <c r="UWV22" t="s">
        <v>15238</v>
      </c>
      <c r="UWW22" t="s">
        <v>15239</v>
      </c>
      <c r="UWX22" t="s">
        <v>15240</v>
      </c>
      <c r="UWY22" t="s">
        <v>15241</v>
      </c>
      <c r="UWZ22" t="s">
        <v>15242</v>
      </c>
      <c r="UXA22" t="s">
        <v>15243</v>
      </c>
      <c r="UXB22" t="s">
        <v>15244</v>
      </c>
      <c r="UXC22" t="s">
        <v>15245</v>
      </c>
      <c r="UXD22" t="s">
        <v>15246</v>
      </c>
      <c r="UXE22" t="s">
        <v>15247</v>
      </c>
      <c r="UXF22" t="s">
        <v>15248</v>
      </c>
      <c r="UXG22" t="s">
        <v>15249</v>
      </c>
      <c r="UXH22" t="s">
        <v>15250</v>
      </c>
      <c r="UXI22" t="s">
        <v>15251</v>
      </c>
      <c r="UXJ22" t="s">
        <v>15252</v>
      </c>
      <c r="UXK22" t="s">
        <v>15253</v>
      </c>
      <c r="UXL22" t="s">
        <v>15254</v>
      </c>
      <c r="UXM22" t="s">
        <v>15255</v>
      </c>
      <c r="UXN22" t="s">
        <v>15256</v>
      </c>
      <c r="UXO22" t="s">
        <v>15257</v>
      </c>
      <c r="UXP22" t="s">
        <v>15258</v>
      </c>
      <c r="UXQ22" t="s">
        <v>15259</v>
      </c>
      <c r="UXR22" t="s">
        <v>15260</v>
      </c>
      <c r="UXS22" t="s">
        <v>15261</v>
      </c>
      <c r="UXT22" t="s">
        <v>15262</v>
      </c>
      <c r="UXU22" t="s">
        <v>15263</v>
      </c>
      <c r="UXV22" t="s">
        <v>15264</v>
      </c>
      <c r="UXW22" t="s">
        <v>15265</v>
      </c>
      <c r="UXX22" t="s">
        <v>15266</v>
      </c>
      <c r="UXY22" t="s">
        <v>15267</v>
      </c>
      <c r="UXZ22" t="s">
        <v>15268</v>
      </c>
      <c r="UYA22" t="s">
        <v>15269</v>
      </c>
      <c r="UYB22" t="s">
        <v>15270</v>
      </c>
      <c r="UYC22" t="s">
        <v>15271</v>
      </c>
      <c r="UYD22" t="s">
        <v>15272</v>
      </c>
      <c r="UYE22" t="s">
        <v>15273</v>
      </c>
      <c r="UYF22" t="s">
        <v>15274</v>
      </c>
      <c r="UYG22" t="s">
        <v>15275</v>
      </c>
      <c r="UYH22" t="s">
        <v>15276</v>
      </c>
      <c r="UYI22" t="s">
        <v>15277</v>
      </c>
      <c r="UYJ22" t="s">
        <v>15278</v>
      </c>
      <c r="UYK22" t="s">
        <v>15279</v>
      </c>
      <c r="UYL22" t="s">
        <v>15280</v>
      </c>
      <c r="UYM22" t="s">
        <v>15281</v>
      </c>
      <c r="UYN22" t="s">
        <v>15282</v>
      </c>
      <c r="UYO22" t="s">
        <v>15283</v>
      </c>
      <c r="UYP22" t="s">
        <v>15284</v>
      </c>
      <c r="UYQ22" t="s">
        <v>15285</v>
      </c>
      <c r="UYR22" t="s">
        <v>15286</v>
      </c>
      <c r="UYS22" t="s">
        <v>15287</v>
      </c>
      <c r="UYT22" t="s">
        <v>15288</v>
      </c>
      <c r="UYU22" t="s">
        <v>15289</v>
      </c>
      <c r="UYV22" t="s">
        <v>15290</v>
      </c>
      <c r="UYW22" t="s">
        <v>15291</v>
      </c>
      <c r="UYX22" t="s">
        <v>15292</v>
      </c>
      <c r="UYY22" t="s">
        <v>15293</v>
      </c>
      <c r="UYZ22" t="s">
        <v>15294</v>
      </c>
      <c r="UZA22" t="s">
        <v>15295</v>
      </c>
      <c r="UZB22" t="s">
        <v>15296</v>
      </c>
      <c r="UZC22" t="s">
        <v>15297</v>
      </c>
      <c r="UZD22" t="s">
        <v>15298</v>
      </c>
      <c r="UZE22" t="s">
        <v>15299</v>
      </c>
      <c r="UZF22" t="s">
        <v>15300</v>
      </c>
      <c r="UZG22" t="s">
        <v>15301</v>
      </c>
      <c r="UZH22" t="s">
        <v>15302</v>
      </c>
      <c r="UZI22" t="s">
        <v>15303</v>
      </c>
      <c r="UZJ22" t="s">
        <v>15304</v>
      </c>
      <c r="UZK22" t="s">
        <v>15305</v>
      </c>
      <c r="UZL22" t="s">
        <v>15306</v>
      </c>
      <c r="UZM22" t="s">
        <v>15307</v>
      </c>
      <c r="UZN22" t="s">
        <v>15308</v>
      </c>
      <c r="UZO22" t="s">
        <v>15309</v>
      </c>
      <c r="UZP22" t="s">
        <v>15310</v>
      </c>
      <c r="UZQ22" t="s">
        <v>15311</v>
      </c>
      <c r="UZR22" t="s">
        <v>15312</v>
      </c>
      <c r="UZS22" t="s">
        <v>15313</v>
      </c>
      <c r="UZT22" t="s">
        <v>15314</v>
      </c>
      <c r="UZU22" t="s">
        <v>15315</v>
      </c>
      <c r="UZV22" t="s">
        <v>15316</v>
      </c>
      <c r="UZW22" t="s">
        <v>15317</v>
      </c>
      <c r="UZX22" t="s">
        <v>15318</v>
      </c>
      <c r="UZY22" t="s">
        <v>15319</v>
      </c>
      <c r="UZZ22" t="s">
        <v>15320</v>
      </c>
      <c r="VAA22" t="s">
        <v>15321</v>
      </c>
      <c r="VAB22" t="s">
        <v>15322</v>
      </c>
      <c r="VAC22" t="s">
        <v>15323</v>
      </c>
      <c r="VAD22" t="s">
        <v>15324</v>
      </c>
      <c r="VAE22" t="s">
        <v>15325</v>
      </c>
      <c r="VAF22" t="s">
        <v>15326</v>
      </c>
      <c r="VAG22" t="s">
        <v>15327</v>
      </c>
      <c r="VAH22" t="s">
        <v>15328</v>
      </c>
      <c r="VAI22" t="s">
        <v>15329</v>
      </c>
      <c r="VAJ22" t="s">
        <v>15330</v>
      </c>
      <c r="VAK22" t="s">
        <v>15331</v>
      </c>
      <c r="VAL22" t="s">
        <v>15332</v>
      </c>
      <c r="VAM22" t="s">
        <v>15333</v>
      </c>
      <c r="VAN22" t="s">
        <v>15334</v>
      </c>
      <c r="VAO22" t="s">
        <v>15335</v>
      </c>
      <c r="VAP22" t="s">
        <v>15336</v>
      </c>
      <c r="VAQ22" t="s">
        <v>15337</v>
      </c>
      <c r="VAR22" t="s">
        <v>15338</v>
      </c>
      <c r="VAS22" t="s">
        <v>15339</v>
      </c>
      <c r="VAT22" t="s">
        <v>15340</v>
      </c>
      <c r="VAU22" t="s">
        <v>15341</v>
      </c>
      <c r="VAV22" t="s">
        <v>15342</v>
      </c>
      <c r="VAW22" t="s">
        <v>15343</v>
      </c>
      <c r="VAX22" t="s">
        <v>15344</v>
      </c>
      <c r="VAY22" t="s">
        <v>15345</v>
      </c>
      <c r="VAZ22" t="s">
        <v>15346</v>
      </c>
      <c r="VBA22" t="s">
        <v>15347</v>
      </c>
      <c r="VBB22" t="s">
        <v>15348</v>
      </c>
      <c r="VBC22" t="s">
        <v>15349</v>
      </c>
      <c r="VBD22" t="s">
        <v>15350</v>
      </c>
      <c r="VBE22" t="s">
        <v>15351</v>
      </c>
      <c r="VBF22" t="s">
        <v>15352</v>
      </c>
      <c r="VBG22" t="s">
        <v>15353</v>
      </c>
      <c r="VBH22" t="s">
        <v>15354</v>
      </c>
      <c r="VBI22" t="s">
        <v>15355</v>
      </c>
      <c r="VBJ22" t="s">
        <v>15356</v>
      </c>
      <c r="VBK22" t="s">
        <v>15357</v>
      </c>
      <c r="VBL22" t="s">
        <v>15358</v>
      </c>
      <c r="VBM22" t="s">
        <v>15359</v>
      </c>
      <c r="VBN22" t="s">
        <v>15360</v>
      </c>
      <c r="VBO22" t="s">
        <v>15361</v>
      </c>
      <c r="VBP22" t="s">
        <v>15362</v>
      </c>
      <c r="VBQ22" t="s">
        <v>15363</v>
      </c>
      <c r="VBR22" t="s">
        <v>15364</v>
      </c>
      <c r="VBS22" t="s">
        <v>15365</v>
      </c>
      <c r="VBT22" t="s">
        <v>15366</v>
      </c>
      <c r="VBU22" t="s">
        <v>15367</v>
      </c>
      <c r="VBV22" t="s">
        <v>15368</v>
      </c>
      <c r="VBW22" t="s">
        <v>15369</v>
      </c>
      <c r="VBX22" t="s">
        <v>15370</v>
      </c>
      <c r="VBY22" t="s">
        <v>15371</v>
      </c>
      <c r="VBZ22" t="s">
        <v>15372</v>
      </c>
      <c r="VCA22" t="s">
        <v>15373</v>
      </c>
      <c r="VCB22" t="s">
        <v>15374</v>
      </c>
      <c r="VCC22" t="s">
        <v>15375</v>
      </c>
      <c r="VCD22" t="s">
        <v>15376</v>
      </c>
      <c r="VCE22" t="s">
        <v>15377</v>
      </c>
      <c r="VCF22" t="s">
        <v>15378</v>
      </c>
      <c r="VCG22" t="s">
        <v>15379</v>
      </c>
      <c r="VCH22" t="s">
        <v>15380</v>
      </c>
      <c r="VCI22" t="s">
        <v>15381</v>
      </c>
      <c r="VCJ22" t="s">
        <v>15382</v>
      </c>
      <c r="VCK22" t="s">
        <v>15383</v>
      </c>
      <c r="VCL22" t="s">
        <v>15384</v>
      </c>
      <c r="VCM22" t="s">
        <v>15385</v>
      </c>
      <c r="VCN22" t="s">
        <v>15386</v>
      </c>
      <c r="VCO22" t="s">
        <v>15387</v>
      </c>
      <c r="VCP22" t="s">
        <v>15388</v>
      </c>
      <c r="VCQ22" t="s">
        <v>15389</v>
      </c>
      <c r="VCR22" t="s">
        <v>15390</v>
      </c>
      <c r="VCS22" t="s">
        <v>15391</v>
      </c>
      <c r="VCT22" t="s">
        <v>15392</v>
      </c>
      <c r="VCU22" t="s">
        <v>15393</v>
      </c>
      <c r="VCV22" t="s">
        <v>15394</v>
      </c>
      <c r="VCW22" t="s">
        <v>15395</v>
      </c>
      <c r="VCX22" t="s">
        <v>15396</v>
      </c>
      <c r="VCY22" t="s">
        <v>15397</v>
      </c>
      <c r="VCZ22" t="s">
        <v>15398</v>
      </c>
      <c r="VDA22" t="s">
        <v>15399</v>
      </c>
      <c r="VDB22" t="s">
        <v>15400</v>
      </c>
      <c r="VDC22" t="s">
        <v>15401</v>
      </c>
      <c r="VDD22" t="s">
        <v>15402</v>
      </c>
      <c r="VDE22" t="s">
        <v>15403</v>
      </c>
      <c r="VDF22" t="s">
        <v>15404</v>
      </c>
      <c r="VDG22" t="s">
        <v>15405</v>
      </c>
      <c r="VDH22" t="s">
        <v>15406</v>
      </c>
      <c r="VDI22" t="s">
        <v>15407</v>
      </c>
      <c r="VDJ22" t="s">
        <v>15408</v>
      </c>
      <c r="VDK22" t="s">
        <v>15409</v>
      </c>
      <c r="VDL22" t="s">
        <v>15410</v>
      </c>
      <c r="VDM22" t="s">
        <v>15411</v>
      </c>
      <c r="VDN22" t="s">
        <v>15412</v>
      </c>
      <c r="VDO22" t="s">
        <v>15413</v>
      </c>
      <c r="VDP22" t="s">
        <v>15414</v>
      </c>
      <c r="VDQ22" t="s">
        <v>15415</v>
      </c>
      <c r="VDR22" t="s">
        <v>15416</v>
      </c>
      <c r="VDS22" t="s">
        <v>15417</v>
      </c>
      <c r="VDT22" t="s">
        <v>15418</v>
      </c>
      <c r="VDU22" t="s">
        <v>15419</v>
      </c>
      <c r="VDV22" t="s">
        <v>15420</v>
      </c>
      <c r="VDW22" t="s">
        <v>15421</v>
      </c>
      <c r="VDX22" t="s">
        <v>15422</v>
      </c>
      <c r="VDY22" t="s">
        <v>15423</v>
      </c>
      <c r="VDZ22" t="s">
        <v>15424</v>
      </c>
      <c r="VEA22" t="s">
        <v>15425</v>
      </c>
      <c r="VEB22" t="s">
        <v>15426</v>
      </c>
      <c r="VEC22" t="s">
        <v>15427</v>
      </c>
      <c r="VED22" t="s">
        <v>15428</v>
      </c>
      <c r="VEE22" t="s">
        <v>15429</v>
      </c>
      <c r="VEF22" t="s">
        <v>15430</v>
      </c>
      <c r="VEG22" t="s">
        <v>15431</v>
      </c>
      <c r="VEH22" t="s">
        <v>15432</v>
      </c>
      <c r="VEI22" t="s">
        <v>15433</v>
      </c>
      <c r="VEJ22" t="s">
        <v>15434</v>
      </c>
      <c r="VEK22" t="s">
        <v>15435</v>
      </c>
      <c r="VEL22" t="s">
        <v>15436</v>
      </c>
      <c r="VEM22" t="s">
        <v>15437</v>
      </c>
      <c r="VEN22" t="s">
        <v>15438</v>
      </c>
      <c r="VEO22" t="s">
        <v>15439</v>
      </c>
      <c r="VEP22" t="s">
        <v>15440</v>
      </c>
      <c r="VEQ22" t="s">
        <v>15441</v>
      </c>
      <c r="VER22" t="s">
        <v>15442</v>
      </c>
      <c r="VES22" t="s">
        <v>15443</v>
      </c>
      <c r="VET22" t="s">
        <v>15444</v>
      </c>
      <c r="VEU22" t="s">
        <v>15445</v>
      </c>
      <c r="VEV22" t="s">
        <v>15446</v>
      </c>
      <c r="VEW22" t="s">
        <v>15447</v>
      </c>
      <c r="VEX22" t="s">
        <v>15448</v>
      </c>
      <c r="VEY22" t="s">
        <v>15449</v>
      </c>
      <c r="VEZ22" t="s">
        <v>15450</v>
      </c>
      <c r="VFA22" t="s">
        <v>15451</v>
      </c>
      <c r="VFB22" t="s">
        <v>15452</v>
      </c>
      <c r="VFC22" t="s">
        <v>15453</v>
      </c>
      <c r="VFD22" t="s">
        <v>15454</v>
      </c>
      <c r="VFE22" t="s">
        <v>15455</v>
      </c>
      <c r="VFF22" t="s">
        <v>15456</v>
      </c>
      <c r="VFG22" t="s">
        <v>15457</v>
      </c>
      <c r="VFH22" t="s">
        <v>15458</v>
      </c>
      <c r="VFI22" t="s">
        <v>15459</v>
      </c>
      <c r="VFJ22" t="s">
        <v>15460</v>
      </c>
      <c r="VFK22" t="s">
        <v>15461</v>
      </c>
      <c r="VFL22" t="s">
        <v>15462</v>
      </c>
      <c r="VFM22" t="s">
        <v>15463</v>
      </c>
      <c r="VFN22" t="s">
        <v>15464</v>
      </c>
      <c r="VFO22" t="s">
        <v>15465</v>
      </c>
      <c r="VFP22" t="s">
        <v>15466</v>
      </c>
      <c r="VFQ22" t="s">
        <v>15467</v>
      </c>
      <c r="VFR22" t="s">
        <v>15468</v>
      </c>
      <c r="VFS22" t="s">
        <v>15469</v>
      </c>
      <c r="VFT22" t="s">
        <v>15470</v>
      </c>
      <c r="VFU22" t="s">
        <v>15471</v>
      </c>
      <c r="VFV22" t="s">
        <v>15472</v>
      </c>
      <c r="VFW22" t="s">
        <v>15473</v>
      </c>
      <c r="VFX22" t="s">
        <v>15474</v>
      </c>
      <c r="VFY22" t="s">
        <v>15475</v>
      </c>
      <c r="VFZ22" t="s">
        <v>15476</v>
      </c>
      <c r="VGA22" t="s">
        <v>15477</v>
      </c>
      <c r="VGB22" t="s">
        <v>15478</v>
      </c>
      <c r="VGC22" t="s">
        <v>15479</v>
      </c>
      <c r="VGD22" t="s">
        <v>15480</v>
      </c>
      <c r="VGE22" t="s">
        <v>15481</v>
      </c>
      <c r="VGF22" t="s">
        <v>15482</v>
      </c>
      <c r="VGG22" t="s">
        <v>15483</v>
      </c>
      <c r="VGH22" t="s">
        <v>15484</v>
      </c>
      <c r="VGI22" t="s">
        <v>15485</v>
      </c>
      <c r="VGJ22" t="s">
        <v>15486</v>
      </c>
      <c r="VGK22" t="s">
        <v>15487</v>
      </c>
      <c r="VGL22" t="s">
        <v>15488</v>
      </c>
      <c r="VGM22" t="s">
        <v>15489</v>
      </c>
      <c r="VGN22" t="s">
        <v>15490</v>
      </c>
      <c r="VGO22" t="s">
        <v>15491</v>
      </c>
      <c r="VGP22" t="s">
        <v>15492</v>
      </c>
      <c r="VGQ22" t="s">
        <v>15493</v>
      </c>
      <c r="VGR22" t="s">
        <v>15494</v>
      </c>
      <c r="VGS22" t="s">
        <v>15495</v>
      </c>
      <c r="VGT22" t="s">
        <v>15496</v>
      </c>
      <c r="VGU22" t="s">
        <v>15497</v>
      </c>
      <c r="VGV22" t="s">
        <v>15498</v>
      </c>
      <c r="VGW22" t="s">
        <v>15499</v>
      </c>
      <c r="VGX22" t="s">
        <v>15500</v>
      </c>
      <c r="VGY22" t="s">
        <v>15501</v>
      </c>
      <c r="VGZ22" t="s">
        <v>15502</v>
      </c>
      <c r="VHA22" t="s">
        <v>15503</v>
      </c>
      <c r="VHB22" t="s">
        <v>15504</v>
      </c>
      <c r="VHC22" t="s">
        <v>15505</v>
      </c>
      <c r="VHD22" t="s">
        <v>15506</v>
      </c>
      <c r="VHE22" t="s">
        <v>15507</v>
      </c>
      <c r="VHF22" t="s">
        <v>15508</v>
      </c>
      <c r="VHG22" t="s">
        <v>15509</v>
      </c>
      <c r="VHH22" t="s">
        <v>15510</v>
      </c>
      <c r="VHI22" t="s">
        <v>15511</v>
      </c>
      <c r="VHJ22" t="s">
        <v>15512</v>
      </c>
      <c r="VHK22" t="s">
        <v>15513</v>
      </c>
      <c r="VHL22" t="s">
        <v>15514</v>
      </c>
      <c r="VHM22" t="s">
        <v>15515</v>
      </c>
      <c r="VHN22" t="s">
        <v>15516</v>
      </c>
      <c r="VHO22" t="s">
        <v>15517</v>
      </c>
      <c r="VHP22" t="s">
        <v>15518</v>
      </c>
      <c r="VHQ22" t="s">
        <v>15519</v>
      </c>
      <c r="VHR22" t="s">
        <v>15520</v>
      </c>
      <c r="VHS22" t="s">
        <v>15521</v>
      </c>
      <c r="VHT22" t="s">
        <v>15522</v>
      </c>
      <c r="VHU22" t="s">
        <v>15523</v>
      </c>
      <c r="VHV22" t="s">
        <v>15524</v>
      </c>
      <c r="VHW22" t="s">
        <v>15525</v>
      </c>
      <c r="VHX22" t="s">
        <v>15526</v>
      </c>
      <c r="VHY22" t="s">
        <v>15527</v>
      </c>
      <c r="VHZ22" t="s">
        <v>15528</v>
      </c>
      <c r="VIA22" t="s">
        <v>15529</v>
      </c>
      <c r="VIB22" t="s">
        <v>15530</v>
      </c>
      <c r="VIC22" t="s">
        <v>15531</v>
      </c>
      <c r="VID22" t="s">
        <v>15532</v>
      </c>
      <c r="VIE22" t="s">
        <v>15533</v>
      </c>
      <c r="VIF22" t="s">
        <v>15534</v>
      </c>
      <c r="VIG22" t="s">
        <v>15535</v>
      </c>
      <c r="VIH22" t="s">
        <v>15536</v>
      </c>
      <c r="VII22" t="s">
        <v>15537</v>
      </c>
      <c r="VIJ22" t="s">
        <v>15538</v>
      </c>
      <c r="VIK22" t="s">
        <v>15539</v>
      </c>
      <c r="VIL22" t="s">
        <v>15540</v>
      </c>
      <c r="VIM22" t="s">
        <v>15541</v>
      </c>
      <c r="VIN22" t="s">
        <v>15542</v>
      </c>
      <c r="VIO22" t="s">
        <v>15543</v>
      </c>
      <c r="VIP22" t="s">
        <v>15544</v>
      </c>
      <c r="VIQ22" t="s">
        <v>15545</v>
      </c>
      <c r="VIR22" t="s">
        <v>15546</v>
      </c>
      <c r="VIS22" t="s">
        <v>15547</v>
      </c>
      <c r="VIT22" t="s">
        <v>15548</v>
      </c>
      <c r="VIU22" t="s">
        <v>15549</v>
      </c>
      <c r="VIV22" t="s">
        <v>15550</v>
      </c>
      <c r="VIW22" t="s">
        <v>15551</v>
      </c>
      <c r="VIX22" t="s">
        <v>15552</v>
      </c>
      <c r="VIY22" t="s">
        <v>15553</v>
      </c>
      <c r="VIZ22" t="s">
        <v>15554</v>
      </c>
      <c r="VJA22" t="s">
        <v>15555</v>
      </c>
      <c r="VJB22" t="s">
        <v>15556</v>
      </c>
      <c r="VJC22" t="s">
        <v>15557</v>
      </c>
      <c r="VJD22" t="s">
        <v>15558</v>
      </c>
      <c r="VJE22" t="s">
        <v>15559</v>
      </c>
      <c r="VJF22" t="s">
        <v>15560</v>
      </c>
      <c r="VJG22" t="s">
        <v>15561</v>
      </c>
      <c r="VJH22" t="s">
        <v>15562</v>
      </c>
      <c r="VJI22" t="s">
        <v>15563</v>
      </c>
      <c r="VJJ22" t="s">
        <v>15564</v>
      </c>
      <c r="VJK22" t="s">
        <v>15565</v>
      </c>
      <c r="VJL22" t="s">
        <v>15566</v>
      </c>
      <c r="VJM22" t="s">
        <v>15567</v>
      </c>
      <c r="VJN22" t="s">
        <v>15568</v>
      </c>
      <c r="VJO22" t="s">
        <v>15569</v>
      </c>
      <c r="VJP22" t="s">
        <v>15570</v>
      </c>
      <c r="VJQ22" t="s">
        <v>15571</v>
      </c>
      <c r="VJR22" t="s">
        <v>15572</v>
      </c>
      <c r="VJS22" t="s">
        <v>15573</v>
      </c>
      <c r="VJT22" t="s">
        <v>15574</v>
      </c>
      <c r="VJU22" t="s">
        <v>15575</v>
      </c>
      <c r="VJV22" t="s">
        <v>15576</v>
      </c>
      <c r="VJW22" t="s">
        <v>15577</v>
      </c>
      <c r="VJX22" t="s">
        <v>15578</v>
      </c>
      <c r="VJY22" t="s">
        <v>15579</v>
      </c>
      <c r="VJZ22" t="s">
        <v>15580</v>
      </c>
      <c r="VKA22" t="s">
        <v>15581</v>
      </c>
      <c r="VKB22" t="s">
        <v>15582</v>
      </c>
      <c r="VKC22" t="s">
        <v>15583</v>
      </c>
      <c r="VKD22" t="s">
        <v>15584</v>
      </c>
      <c r="VKE22" t="s">
        <v>15585</v>
      </c>
      <c r="VKF22" t="s">
        <v>15586</v>
      </c>
      <c r="VKG22" t="s">
        <v>15587</v>
      </c>
      <c r="VKH22" t="s">
        <v>15588</v>
      </c>
      <c r="VKI22" t="s">
        <v>15589</v>
      </c>
      <c r="VKJ22" t="s">
        <v>15590</v>
      </c>
      <c r="VKK22" t="s">
        <v>15591</v>
      </c>
      <c r="VKL22" t="s">
        <v>15592</v>
      </c>
      <c r="VKM22" t="s">
        <v>15593</v>
      </c>
      <c r="VKN22" t="s">
        <v>15594</v>
      </c>
      <c r="VKO22" t="s">
        <v>15595</v>
      </c>
      <c r="VKP22" t="s">
        <v>15596</v>
      </c>
      <c r="VKQ22" t="s">
        <v>15597</v>
      </c>
      <c r="VKR22" t="s">
        <v>15598</v>
      </c>
      <c r="VKS22" t="s">
        <v>15599</v>
      </c>
      <c r="VKT22" t="s">
        <v>15600</v>
      </c>
      <c r="VKU22" t="s">
        <v>15601</v>
      </c>
      <c r="VKV22" t="s">
        <v>15602</v>
      </c>
      <c r="VKW22" t="s">
        <v>15603</v>
      </c>
      <c r="VKX22" t="s">
        <v>15604</v>
      </c>
      <c r="VKY22" t="s">
        <v>15605</v>
      </c>
      <c r="VKZ22" t="s">
        <v>15606</v>
      </c>
      <c r="VLA22" t="s">
        <v>15607</v>
      </c>
      <c r="VLB22" t="s">
        <v>15608</v>
      </c>
      <c r="VLC22" t="s">
        <v>15609</v>
      </c>
      <c r="VLD22" t="s">
        <v>15610</v>
      </c>
      <c r="VLE22" t="s">
        <v>15611</v>
      </c>
      <c r="VLF22" t="s">
        <v>15612</v>
      </c>
      <c r="VLG22" t="s">
        <v>15613</v>
      </c>
      <c r="VLH22" t="s">
        <v>15614</v>
      </c>
      <c r="VLI22" t="s">
        <v>15615</v>
      </c>
      <c r="VLJ22" t="s">
        <v>15616</v>
      </c>
      <c r="VLK22" t="s">
        <v>15617</v>
      </c>
      <c r="VLL22" t="s">
        <v>15618</v>
      </c>
      <c r="VLM22" t="s">
        <v>15619</v>
      </c>
      <c r="VLN22" t="s">
        <v>15620</v>
      </c>
      <c r="VLO22" t="s">
        <v>15621</v>
      </c>
      <c r="VLP22" t="s">
        <v>15622</v>
      </c>
      <c r="VLQ22" t="s">
        <v>15623</v>
      </c>
      <c r="VLR22" t="s">
        <v>15624</v>
      </c>
      <c r="VLS22" t="s">
        <v>15625</v>
      </c>
      <c r="VLT22" t="s">
        <v>15626</v>
      </c>
      <c r="VLU22" t="s">
        <v>15627</v>
      </c>
      <c r="VLV22" t="s">
        <v>15628</v>
      </c>
      <c r="VLW22" t="s">
        <v>15629</v>
      </c>
      <c r="VLX22" t="s">
        <v>15630</v>
      </c>
      <c r="VLY22" t="s">
        <v>15631</v>
      </c>
      <c r="VLZ22" t="s">
        <v>15632</v>
      </c>
      <c r="VMA22" t="s">
        <v>15633</v>
      </c>
      <c r="VMB22" t="s">
        <v>15634</v>
      </c>
      <c r="VMC22" t="s">
        <v>15635</v>
      </c>
      <c r="VMD22" t="s">
        <v>15636</v>
      </c>
      <c r="VME22" t="s">
        <v>15637</v>
      </c>
      <c r="VMF22" t="s">
        <v>15638</v>
      </c>
      <c r="VMG22" t="s">
        <v>15639</v>
      </c>
      <c r="VMH22" t="s">
        <v>15640</v>
      </c>
      <c r="VMI22" t="s">
        <v>15641</v>
      </c>
      <c r="VMJ22" t="s">
        <v>15642</v>
      </c>
      <c r="VMK22" t="s">
        <v>15643</v>
      </c>
      <c r="VML22" t="s">
        <v>15644</v>
      </c>
      <c r="VMM22" t="s">
        <v>15645</v>
      </c>
      <c r="VMN22" t="s">
        <v>15646</v>
      </c>
      <c r="VMO22" t="s">
        <v>15647</v>
      </c>
      <c r="VMP22" t="s">
        <v>15648</v>
      </c>
      <c r="VMQ22" t="s">
        <v>15649</v>
      </c>
      <c r="VMR22" t="s">
        <v>15650</v>
      </c>
      <c r="VMS22" t="s">
        <v>15651</v>
      </c>
      <c r="VMT22" t="s">
        <v>15652</v>
      </c>
      <c r="VMU22" t="s">
        <v>15653</v>
      </c>
      <c r="VMV22" t="s">
        <v>15654</v>
      </c>
      <c r="VMW22" t="s">
        <v>15655</v>
      </c>
      <c r="VMX22" t="s">
        <v>15656</v>
      </c>
      <c r="VMY22" t="s">
        <v>15657</v>
      </c>
      <c r="VMZ22" t="s">
        <v>15658</v>
      </c>
      <c r="VNA22" t="s">
        <v>15659</v>
      </c>
      <c r="VNB22" t="s">
        <v>15660</v>
      </c>
      <c r="VNC22" t="s">
        <v>15661</v>
      </c>
      <c r="VND22" t="s">
        <v>15662</v>
      </c>
      <c r="VNE22" t="s">
        <v>15663</v>
      </c>
      <c r="VNF22" t="s">
        <v>15664</v>
      </c>
      <c r="VNG22" t="s">
        <v>15665</v>
      </c>
      <c r="VNH22" t="s">
        <v>15666</v>
      </c>
      <c r="VNI22" t="s">
        <v>15667</v>
      </c>
      <c r="VNJ22" t="s">
        <v>15668</v>
      </c>
      <c r="VNK22" t="s">
        <v>15669</v>
      </c>
      <c r="VNL22" t="s">
        <v>15670</v>
      </c>
      <c r="VNM22" t="s">
        <v>15671</v>
      </c>
      <c r="VNN22" t="s">
        <v>15672</v>
      </c>
      <c r="VNO22" t="s">
        <v>15673</v>
      </c>
      <c r="VNP22" t="s">
        <v>15674</v>
      </c>
      <c r="VNQ22" t="s">
        <v>15675</v>
      </c>
      <c r="VNR22" t="s">
        <v>15676</v>
      </c>
      <c r="VNS22" t="s">
        <v>15677</v>
      </c>
      <c r="VNT22" t="s">
        <v>15678</v>
      </c>
      <c r="VNU22" t="s">
        <v>15679</v>
      </c>
      <c r="VNV22" t="s">
        <v>15680</v>
      </c>
      <c r="VNW22" t="s">
        <v>15681</v>
      </c>
      <c r="VNX22" t="s">
        <v>15682</v>
      </c>
      <c r="VNY22" t="s">
        <v>15683</v>
      </c>
      <c r="VNZ22" t="s">
        <v>15684</v>
      </c>
      <c r="VOA22" t="s">
        <v>15685</v>
      </c>
      <c r="VOB22" t="s">
        <v>15686</v>
      </c>
      <c r="VOC22" t="s">
        <v>15687</v>
      </c>
      <c r="VOD22" t="s">
        <v>15688</v>
      </c>
      <c r="VOE22" t="s">
        <v>15689</v>
      </c>
      <c r="VOF22" t="s">
        <v>15690</v>
      </c>
      <c r="VOG22" t="s">
        <v>15691</v>
      </c>
      <c r="VOH22" t="s">
        <v>15692</v>
      </c>
      <c r="VOI22" t="s">
        <v>15693</v>
      </c>
      <c r="VOJ22" t="s">
        <v>15694</v>
      </c>
      <c r="VOK22" t="s">
        <v>15695</v>
      </c>
      <c r="VOL22" t="s">
        <v>15696</v>
      </c>
      <c r="VOM22" t="s">
        <v>15697</v>
      </c>
      <c r="VON22" t="s">
        <v>15698</v>
      </c>
      <c r="VOO22" t="s">
        <v>15699</v>
      </c>
      <c r="VOP22" t="s">
        <v>15700</v>
      </c>
      <c r="VOQ22" t="s">
        <v>15701</v>
      </c>
      <c r="VOR22" t="s">
        <v>15702</v>
      </c>
      <c r="VOS22" t="s">
        <v>15703</v>
      </c>
      <c r="VOT22" t="s">
        <v>15704</v>
      </c>
      <c r="VOU22" t="s">
        <v>15705</v>
      </c>
      <c r="VOV22" t="s">
        <v>15706</v>
      </c>
      <c r="VOW22" t="s">
        <v>15707</v>
      </c>
      <c r="VOX22" t="s">
        <v>15708</v>
      </c>
      <c r="VOY22" t="s">
        <v>15709</v>
      </c>
      <c r="VOZ22" t="s">
        <v>15710</v>
      </c>
      <c r="VPA22" t="s">
        <v>15711</v>
      </c>
      <c r="VPB22" t="s">
        <v>15712</v>
      </c>
      <c r="VPC22" t="s">
        <v>15713</v>
      </c>
      <c r="VPD22" t="s">
        <v>15714</v>
      </c>
      <c r="VPE22" t="s">
        <v>15715</v>
      </c>
      <c r="VPF22" t="s">
        <v>15716</v>
      </c>
      <c r="VPG22" t="s">
        <v>15717</v>
      </c>
      <c r="VPH22" t="s">
        <v>15718</v>
      </c>
      <c r="VPI22" t="s">
        <v>15719</v>
      </c>
      <c r="VPJ22" t="s">
        <v>15720</v>
      </c>
      <c r="VPK22" t="s">
        <v>15721</v>
      </c>
      <c r="VPL22" t="s">
        <v>15722</v>
      </c>
      <c r="VPM22" t="s">
        <v>15723</v>
      </c>
      <c r="VPN22" t="s">
        <v>15724</v>
      </c>
      <c r="VPO22" t="s">
        <v>15725</v>
      </c>
      <c r="VPP22" t="s">
        <v>15726</v>
      </c>
      <c r="VPQ22" t="s">
        <v>15727</v>
      </c>
      <c r="VPR22" t="s">
        <v>15728</v>
      </c>
      <c r="VPS22" t="s">
        <v>15729</v>
      </c>
      <c r="VPT22" t="s">
        <v>15730</v>
      </c>
      <c r="VPU22" t="s">
        <v>15731</v>
      </c>
      <c r="VPV22" t="s">
        <v>15732</v>
      </c>
      <c r="VPW22" t="s">
        <v>15733</v>
      </c>
      <c r="VPX22" t="s">
        <v>15734</v>
      </c>
      <c r="VPY22" t="s">
        <v>15735</v>
      </c>
      <c r="VPZ22" t="s">
        <v>15736</v>
      </c>
      <c r="VQA22" t="s">
        <v>15737</v>
      </c>
      <c r="VQB22" t="s">
        <v>15738</v>
      </c>
      <c r="VQC22" t="s">
        <v>15739</v>
      </c>
      <c r="VQD22" t="s">
        <v>15740</v>
      </c>
      <c r="VQE22" t="s">
        <v>15741</v>
      </c>
      <c r="VQF22" t="s">
        <v>15742</v>
      </c>
      <c r="VQG22" t="s">
        <v>15743</v>
      </c>
      <c r="VQH22" t="s">
        <v>15744</v>
      </c>
      <c r="VQI22" t="s">
        <v>15745</v>
      </c>
      <c r="VQJ22" t="s">
        <v>15746</v>
      </c>
      <c r="VQK22" t="s">
        <v>15747</v>
      </c>
      <c r="VQL22" t="s">
        <v>15748</v>
      </c>
      <c r="VQM22" t="s">
        <v>15749</v>
      </c>
      <c r="VQN22" t="s">
        <v>15750</v>
      </c>
      <c r="VQO22" t="s">
        <v>15751</v>
      </c>
      <c r="VQP22" t="s">
        <v>15752</v>
      </c>
      <c r="VQQ22" t="s">
        <v>15753</v>
      </c>
      <c r="VQR22" t="s">
        <v>15754</v>
      </c>
      <c r="VQS22" t="s">
        <v>15755</v>
      </c>
      <c r="VQT22" t="s">
        <v>15756</v>
      </c>
      <c r="VQU22" t="s">
        <v>15757</v>
      </c>
      <c r="VQV22" t="s">
        <v>15758</v>
      </c>
      <c r="VQW22" t="s">
        <v>15759</v>
      </c>
      <c r="VQX22" t="s">
        <v>15760</v>
      </c>
      <c r="VQY22" t="s">
        <v>15761</v>
      </c>
      <c r="VQZ22" t="s">
        <v>15762</v>
      </c>
      <c r="VRA22" t="s">
        <v>15763</v>
      </c>
      <c r="VRB22" t="s">
        <v>15764</v>
      </c>
      <c r="VRC22" t="s">
        <v>15765</v>
      </c>
      <c r="VRD22" t="s">
        <v>15766</v>
      </c>
      <c r="VRE22" t="s">
        <v>15767</v>
      </c>
      <c r="VRF22" t="s">
        <v>15768</v>
      </c>
      <c r="VRG22" t="s">
        <v>15769</v>
      </c>
      <c r="VRH22" t="s">
        <v>15770</v>
      </c>
      <c r="VRI22" t="s">
        <v>15771</v>
      </c>
      <c r="VRJ22" t="s">
        <v>15772</v>
      </c>
      <c r="VRK22" t="s">
        <v>15773</v>
      </c>
      <c r="VRL22" t="s">
        <v>15774</v>
      </c>
      <c r="VRM22" t="s">
        <v>15775</v>
      </c>
      <c r="VRN22" t="s">
        <v>15776</v>
      </c>
      <c r="VRO22" t="s">
        <v>15777</v>
      </c>
      <c r="VRP22" t="s">
        <v>15778</v>
      </c>
      <c r="VRQ22" t="s">
        <v>15779</v>
      </c>
      <c r="VRR22" t="s">
        <v>15780</v>
      </c>
      <c r="VRS22" t="s">
        <v>15781</v>
      </c>
      <c r="VRT22" t="s">
        <v>15782</v>
      </c>
      <c r="VRU22" t="s">
        <v>15783</v>
      </c>
      <c r="VRV22" t="s">
        <v>15784</v>
      </c>
      <c r="VRW22" t="s">
        <v>15785</v>
      </c>
      <c r="VRX22" t="s">
        <v>15786</v>
      </c>
      <c r="VRY22" t="s">
        <v>15787</v>
      </c>
      <c r="VRZ22" t="s">
        <v>15788</v>
      </c>
      <c r="VSA22" t="s">
        <v>15789</v>
      </c>
      <c r="VSB22" t="s">
        <v>15790</v>
      </c>
      <c r="VSC22" t="s">
        <v>15791</v>
      </c>
      <c r="VSD22" t="s">
        <v>15792</v>
      </c>
      <c r="VSE22" t="s">
        <v>15793</v>
      </c>
      <c r="VSF22" t="s">
        <v>15794</v>
      </c>
      <c r="VSG22" t="s">
        <v>15795</v>
      </c>
      <c r="VSH22" t="s">
        <v>15796</v>
      </c>
      <c r="VSI22" t="s">
        <v>15797</v>
      </c>
      <c r="VSJ22" t="s">
        <v>15798</v>
      </c>
      <c r="VSK22" t="s">
        <v>15799</v>
      </c>
      <c r="VSL22" t="s">
        <v>15800</v>
      </c>
      <c r="VSM22" t="s">
        <v>15801</v>
      </c>
      <c r="VSN22" t="s">
        <v>15802</v>
      </c>
      <c r="VSO22" t="s">
        <v>15803</v>
      </c>
      <c r="VSP22" t="s">
        <v>15804</v>
      </c>
      <c r="VSQ22" t="s">
        <v>15805</v>
      </c>
      <c r="VSR22" t="s">
        <v>15806</v>
      </c>
      <c r="VSS22" t="s">
        <v>15807</v>
      </c>
      <c r="VST22" t="s">
        <v>15808</v>
      </c>
      <c r="VSU22" t="s">
        <v>15809</v>
      </c>
      <c r="VSV22" t="s">
        <v>15810</v>
      </c>
      <c r="VSW22" t="s">
        <v>15811</v>
      </c>
      <c r="VSX22" t="s">
        <v>15812</v>
      </c>
      <c r="VSY22" t="s">
        <v>15813</v>
      </c>
      <c r="VSZ22" t="s">
        <v>15814</v>
      </c>
      <c r="VTA22" t="s">
        <v>15815</v>
      </c>
      <c r="VTB22" t="s">
        <v>15816</v>
      </c>
      <c r="VTC22" t="s">
        <v>15817</v>
      </c>
      <c r="VTD22" t="s">
        <v>15818</v>
      </c>
      <c r="VTE22" t="s">
        <v>15819</v>
      </c>
      <c r="VTF22" t="s">
        <v>15820</v>
      </c>
      <c r="VTG22" t="s">
        <v>15821</v>
      </c>
      <c r="VTH22" t="s">
        <v>15822</v>
      </c>
      <c r="VTI22" t="s">
        <v>15823</v>
      </c>
      <c r="VTJ22" t="s">
        <v>15824</v>
      </c>
      <c r="VTK22" t="s">
        <v>15825</v>
      </c>
      <c r="VTL22" t="s">
        <v>15826</v>
      </c>
      <c r="VTM22" t="s">
        <v>15827</v>
      </c>
      <c r="VTN22" t="s">
        <v>15828</v>
      </c>
      <c r="VTO22" t="s">
        <v>15829</v>
      </c>
      <c r="VTP22" t="s">
        <v>15830</v>
      </c>
      <c r="VTQ22" t="s">
        <v>15831</v>
      </c>
      <c r="VTR22" t="s">
        <v>15832</v>
      </c>
      <c r="VTS22" t="s">
        <v>15833</v>
      </c>
      <c r="VTT22" t="s">
        <v>15834</v>
      </c>
      <c r="VTU22" t="s">
        <v>15835</v>
      </c>
      <c r="VTV22" t="s">
        <v>15836</v>
      </c>
      <c r="VTW22" t="s">
        <v>15837</v>
      </c>
      <c r="VTX22" t="s">
        <v>15838</v>
      </c>
      <c r="VTY22" t="s">
        <v>15839</v>
      </c>
      <c r="VTZ22" t="s">
        <v>15840</v>
      </c>
      <c r="VUA22" t="s">
        <v>15841</v>
      </c>
      <c r="VUB22" t="s">
        <v>15842</v>
      </c>
      <c r="VUC22" t="s">
        <v>15843</v>
      </c>
      <c r="VUD22" t="s">
        <v>15844</v>
      </c>
      <c r="VUE22" t="s">
        <v>15845</v>
      </c>
      <c r="VUF22" t="s">
        <v>15846</v>
      </c>
      <c r="VUG22" t="s">
        <v>15847</v>
      </c>
      <c r="VUH22" t="s">
        <v>15848</v>
      </c>
      <c r="VUI22" t="s">
        <v>15849</v>
      </c>
      <c r="VUJ22" t="s">
        <v>15850</v>
      </c>
      <c r="VUK22" t="s">
        <v>15851</v>
      </c>
      <c r="VUL22" t="s">
        <v>15852</v>
      </c>
      <c r="VUM22" t="s">
        <v>15853</v>
      </c>
      <c r="VUN22" t="s">
        <v>15854</v>
      </c>
      <c r="VUO22" t="s">
        <v>15855</v>
      </c>
      <c r="VUP22" t="s">
        <v>15856</v>
      </c>
      <c r="VUQ22" t="s">
        <v>15857</v>
      </c>
      <c r="VUR22" t="s">
        <v>15858</v>
      </c>
      <c r="VUS22" t="s">
        <v>15859</v>
      </c>
      <c r="VUT22" t="s">
        <v>15860</v>
      </c>
      <c r="VUU22" t="s">
        <v>15861</v>
      </c>
      <c r="VUV22" t="s">
        <v>15862</v>
      </c>
      <c r="VUW22" t="s">
        <v>15863</v>
      </c>
      <c r="VUX22" t="s">
        <v>15864</v>
      </c>
      <c r="VUY22" t="s">
        <v>15865</v>
      </c>
      <c r="VUZ22" t="s">
        <v>15866</v>
      </c>
      <c r="VVA22" t="s">
        <v>15867</v>
      </c>
      <c r="VVB22" t="s">
        <v>15868</v>
      </c>
      <c r="VVC22" t="s">
        <v>15869</v>
      </c>
      <c r="VVD22" t="s">
        <v>15870</v>
      </c>
      <c r="VVE22" t="s">
        <v>15871</v>
      </c>
      <c r="VVF22" t="s">
        <v>15872</v>
      </c>
      <c r="VVG22" t="s">
        <v>15873</v>
      </c>
      <c r="VVH22" t="s">
        <v>15874</v>
      </c>
      <c r="VVI22" t="s">
        <v>15875</v>
      </c>
      <c r="VVJ22" t="s">
        <v>15876</v>
      </c>
      <c r="VVK22" t="s">
        <v>15877</v>
      </c>
      <c r="VVL22" t="s">
        <v>15878</v>
      </c>
      <c r="VVM22" t="s">
        <v>15879</v>
      </c>
      <c r="VVN22" t="s">
        <v>15880</v>
      </c>
      <c r="VVO22" t="s">
        <v>15881</v>
      </c>
      <c r="VVP22" t="s">
        <v>15882</v>
      </c>
      <c r="VVQ22" t="s">
        <v>15883</v>
      </c>
      <c r="VVR22" t="s">
        <v>15884</v>
      </c>
      <c r="VVS22" t="s">
        <v>15885</v>
      </c>
      <c r="VVT22" t="s">
        <v>15886</v>
      </c>
      <c r="VVU22" t="s">
        <v>15887</v>
      </c>
      <c r="VVV22" t="s">
        <v>15888</v>
      </c>
      <c r="VVW22" t="s">
        <v>15889</v>
      </c>
      <c r="VVX22" t="s">
        <v>15890</v>
      </c>
      <c r="VVY22" t="s">
        <v>15891</v>
      </c>
      <c r="VVZ22" t="s">
        <v>15892</v>
      </c>
      <c r="VWA22" t="s">
        <v>15893</v>
      </c>
      <c r="VWB22" t="s">
        <v>15894</v>
      </c>
      <c r="VWC22" t="s">
        <v>15895</v>
      </c>
      <c r="VWD22" t="s">
        <v>15896</v>
      </c>
      <c r="VWE22" t="s">
        <v>15897</v>
      </c>
      <c r="VWF22" t="s">
        <v>15898</v>
      </c>
      <c r="VWG22" t="s">
        <v>15899</v>
      </c>
      <c r="VWH22" t="s">
        <v>15900</v>
      </c>
      <c r="VWI22" t="s">
        <v>15901</v>
      </c>
      <c r="VWJ22" t="s">
        <v>15902</v>
      </c>
      <c r="VWK22" t="s">
        <v>15903</v>
      </c>
      <c r="VWL22" t="s">
        <v>15904</v>
      </c>
      <c r="VWM22" t="s">
        <v>15905</v>
      </c>
      <c r="VWN22" t="s">
        <v>15906</v>
      </c>
      <c r="VWO22" t="s">
        <v>15907</v>
      </c>
      <c r="VWP22" t="s">
        <v>15908</v>
      </c>
      <c r="VWQ22" t="s">
        <v>15909</v>
      </c>
      <c r="VWR22" t="s">
        <v>15910</v>
      </c>
      <c r="VWS22" t="s">
        <v>15911</v>
      </c>
      <c r="VWT22" t="s">
        <v>15912</v>
      </c>
      <c r="VWU22" t="s">
        <v>15913</v>
      </c>
      <c r="VWV22" t="s">
        <v>15914</v>
      </c>
      <c r="VWW22" t="s">
        <v>15915</v>
      </c>
      <c r="VWX22" t="s">
        <v>15916</v>
      </c>
      <c r="VWY22" t="s">
        <v>15917</v>
      </c>
      <c r="VWZ22" t="s">
        <v>15918</v>
      </c>
      <c r="VXA22" t="s">
        <v>15919</v>
      </c>
      <c r="VXB22" t="s">
        <v>15920</v>
      </c>
      <c r="VXC22" t="s">
        <v>15921</v>
      </c>
      <c r="VXD22" t="s">
        <v>15922</v>
      </c>
      <c r="VXE22" t="s">
        <v>15923</v>
      </c>
      <c r="VXF22" t="s">
        <v>15924</v>
      </c>
      <c r="VXG22" t="s">
        <v>15925</v>
      </c>
      <c r="VXH22" t="s">
        <v>15926</v>
      </c>
      <c r="VXI22" t="s">
        <v>15927</v>
      </c>
      <c r="VXJ22" t="s">
        <v>15928</v>
      </c>
      <c r="VXK22" t="s">
        <v>15929</v>
      </c>
      <c r="VXL22" t="s">
        <v>15930</v>
      </c>
      <c r="VXM22" t="s">
        <v>15931</v>
      </c>
      <c r="VXN22" t="s">
        <v>15932</v>
      </c>
      <c r="VXO22" t="s">
        <v>15933</v>
      </c>
      <c r="VXP22" t="s">
        <v>15934</v>
      </c>
      <c r="VXQ22" t="s">
        <v>15935</v>
      </c>
      <c r="VXR22" t="s">
        <v>15936</v>
      </c>
      <c r="VXS22" t="s">
        <v>15937</v>
      </c>
      <c r="VXT22" t="s">
        <v>15938</v>
      </c>
      <c r="VXU22" t="s">
        <v>15939</v>
      </c>
      <c r="VXV22" t="s">
        <v>15940</v>
      </c>
      <c r="VXW22" t="s">
        <v>15941</v>
      </c>
      <c r="VXX22" t="s">
        <v>15942</v>
      </c>
      <c r="VXY22" t="s">
        <v>15943</v>
      </c>
      <c r="VXZ22" t="s">
        <v>15944</v>
      </c>
      <c r="VYA22" t="s">
        <v>15945</v>
      </c>
      <c r="VYB22" t="s">
        <v>15946</v>
      </c>
      <c r="VYC22" t="s">
        <v>15947</v>
      </c>
      <c r="VYD22" t="s">
        <v>15948</v>
      </c>
      <c r="VYE22" t="s">
        <v>15949</v>
      </c>
      <c r="VYF22" t="s">
        <v>15950</v>
      </c>
      <c r="VYG22" t="s">
        <v>15951</v>
      </c>
      <c r="VYH22" t="s">
        <v>15952</v>
      </c>
      <c r="VYI22" t="s">
        <v>15953</v>
      </c>
      <c r="VYJ22" t="s">
        <v>15954</v>
      </c>
      <c r="VYK22" t="s">
        <v>15955</v>
      </c>
      <c r="VYL22" t="s">
        <v>15956</v>
      </c>
      <c r="VYM22" t="s">
        <v>15957</v>
      </c>
      <c r="VYN22" t="s">
        <v>15958</v>
      </c>
      <c r="VYO22" t="s">
        <v>15959</v>
      </c>
      <c r="VYP22" t="s">
        <v>15960</v>
      </c>
      <c r="VYQ22" t="s">
        <v>15961</v>
      </c>
      <c r="VYR22" t="s">
        <v>15962</v>
      </c>
      <c r="VYS22" t="s">
        <v>15963</v>
      </c>
      <c r="VYT22" t="s">
        <v>15964</v>
      </c>
      <c r="VYU22" t="s">
        <v>15965</v>
      </c>
      <c r="VYV22" t="s">
        <v>15966</v>
      </c>
      <c r="VYW22" t="s">
        <v>15967</v>
      </c>
      <c r="VYX22" t="s">
        <v>15968</v>
      </c>
      <c r="VYY22" t="s">
        <v>15969</v>
      </c>
      <c r="VYZ22" t="s">
        <v>15970</v>
      </c>
      <c r="VZA22" t="s">
        <v>15971</v>
      </c>
      <c r="VZB22" t="s">
        <v>15972</v>
      </c>
      <c r="VZC22" t="s">
        <v>15973</v>
      </c>
      <c r="VZD22" t="s">
        <v>15974</v>
      </c>
      <c r="VZE22" t="s">
        <v>15975</v>
      </c>
      <c r="VZF22" t="s">
        <v>15976</v>
      </c>
      <c r="VZG22" t="s">
        <v>15977</v>
      </c>
      <c r="VZH22" t="s">
        <v>15978</v>
      </c>
      <c r="VZI22" t="s">
        <v>15979</v>
      </c>
      <c r="VZJ22" t="s">
        <v>15980</v>
      </c>
      <c r="VZK22" t="s">
        <v>15981</v>
      </c>
      <c r="VZL22" t="s">
        <v>15982</v>
      </c>
      <c r="VZM22" t="s">
        <v>15983</v>
      </c>
      <c r="VZN22" t="s">
        <v>15984</v>
      </c>
      <c r="VZO22" t="s">
        <v>15985</v>
      </c>
      <c r="VZP22" t="s">
        <v>15986</v>
      </c>
      <c r="VZQ22" t="s">
        <v>15987</v>
      </c>
      <c r="VZR22" t="s">
        <v>15988</v>
      </c>
      <c r="VZS22" t="s">
        <v>15989</v>
      </c>
      <c r="VZT22" t="s">
        <v>15990</v>
      </c>
      <c r="VZU22" t="s">
        <v>15991</v>
      </c>
      <c r="VZV22" t="s">
        <v>15992</v>
      </c>
      <c r="VZW22" t="s">
        <v>15993</v>
      </c>
      <c r="VZX22" t="s">
        <v>15994</v>
      </c>
      <c r="VZY22" t="s">
        <v>15995</v>
      </c>
      <c r="VZZ22" t="s">
        <v>15996</v>
      </c>
      <c r="WAA22" t="s">
        <v>15997</v>
      </c>
      <c r="WAB22" t="s">
        <v>15998</v>
      </c>
      <c r="WAC22" t="s">
        <v>15999</v>
      </c>
      <c r="WAD22" t="s">
        <v>16000</v>
      </c>
      <c r="WAE22" t="s">
        <v>16001</v>
      </c>
      <c r="WAF22" t="s">
        <v>16002</v>
      </c>
      <c r="WAG22" t="s">
        <v>16003</v>
      </c>
      <c r="WAH22" t="s">
        <v>16004</v>
      </c>
      <c r="WAI22" t="s">
        <v>16005</v>
      </c>
      <c r="WAJ22" t="s">
        <v>16006</v>
      </c>
      <c r="WAK22" t="s">
        <v>16007</v>
      </c>
      <c r="WAL22" t="s">
        <v>16008</v>
      </c>
      <c r="WAM22" t="s">
        <v>16009</v>
      </c>
      <c r="WAN22" t="s">
        <v>16010</v>
      </c>
      <c r="WAO22" t="s">
        <v>16011</v>
      </c>
      <c r="WAP22" t="s">
        <v>16012</v>
      </c>
      <c r="WAQ22" t="s">
        <v>16013</v>
      </c>
      <c r="WAR22" t="s">
        <v>16014</v>
      </c>
      <c r="WAS22" t="s">
        <v>16015</v>
      </c>
      <c r="WAT22" t="s">
        <v>16016</v>
      </c>
      <c r="WAU22" t="s">
        <v>16017</v>
      </c>
      <c r="WAV22" t="s">
        <v>16018</v>
      </c>
      <c r="WAW22" t="s">
        <v>16019</v>
      </c>
      <c r="WAX22" t="s">
        <v>16020</v>
      </c>
      <c r="WAY22" t="s">
        <v>16021</v>
      </c>
      <c r="WAZ22" t="s">
        <v>16022</v>
      </c>
      <c r="WBA22" t="s">
        <v>16023</v>
      </c>
      <c r="WBB22" t="s">
        <v>16024</v>
      </c>
      <c r="WBC22" t="s">
        <v>16025</v>
      </c>
      <c r="WBD22" t="s">
        <v>16026</v>
      </c>
      <c r="WBE22" t="s">
        <v>16027</v>
      </c>
      <c r="WBF22" t="s">
        <v>16028</v>
      </c>
      <c r="WBG22" t="s">
        <v>16029</v>
      </c>
      <c r="WBH22" t="s">
        <v>16030</v>
      </c>
      <c r="WBI22" t="s">
        <v>16031</v>
      </c>
      <c r="WBJ22" t="s">
        <v>16032</v>
      </c>
      <c r="WBK22" t="s">
        <v>16033</v>
      </c>
      <c r="WBL22" t="s">
        <v>16034</v>
      </c>
      <c r="WBM22" t="s">
        <v>16035</v>
      </c>
      <c r="WBN22" t="s">
        <v>16036</v>
      </c>
      <c r="WBO22" t="s">
        <v>16037</v>
      </c>
      <c r="WBP22" t="s">
        <v>16038</v>
      </c>
      <c r="WBQ22" t="s">
        <v>16039</v>
      </c>
      <c r="WBR22" t="s">
        <v>16040</v>
      </c>
      <c r="WBS22" t="s">
        <v>16041</v>
      </c>
      <c r="WBT22" t="s">
        <v>16042</v>
      </c>
      <c r="WBU22" t="s">
        <v>16043</v>
      </c>
      <c r="WBV22" t="s">
        <v>16044</v>
      </c>
      <c r="WBW22" t="s">
        <v>16045</v>
      </c>
      <c r="WBX22" t="s">
        <v>16046</v>
      </c>
      <c r="WBY22" t="s">
        <v>16047</v>
      </c>
      <c r="WBZ22" t="s">
        <v>16048</v>
      </c>
      <c r="WCA22" t="s">
        <v>16049</v>
      </c>
      <c r="WCB22" t="s">
        <v>16050</v>
      </c>
      <c r="WCC22" t="s">
        <v>16051</v>
      </c>
      <c r="WCD22" t="s">
        <v>16052</v>
      </c>
      <c r="WCE22" t="s">
        <v>16053</v>
      </c>
      <c r="WCF22" t="s">
        <v>16054</v>
      </c>
      <c r="WCG22" t="s">
        <v>16055</v>
      </c>
      <c r="WCH22" t="s">
        <v>16056</v>
      </c>
      <c r="WCI22" t="s">
        <v>16057</v>
      </c>
      <c r="WCJ22" t="s">
        <v>16058</v>
      </c>
      <c r="WCK22" t="s">
        <v>16059</v>
      </c>
      <c r="WCL22" t="s">
        <v>16060</v>
      </c>
      <c r="WCM22" t="s">
        <v>16061</v>
      </c>
      <c r="WCN22" t="s">
        <v>16062</v>
      </c>
      <c r="WCO22" t="s">
        <v>16063</v>
      </c>
      <c r="WCP22" t="s">
        <v>16064</v>
      </c>
      <c r="WCQ22" t="s">
        <v>16065</v>
      </c>
      <c r="WCR22" t="s">
        <v>16066</v>
      </c>
      <c r="WCS22" t="s">
        <v>16067</v>
      </c>
      <c r="WCT22" t="s">
        <v>16068</v>
      </c>
      <c r="WCU22" t="s">
        <v>16069</v>
      </c>
      <c r="WCV22" t="s">
        <v>16070</v>
      </c>
      <c r="WCW22" t="s">
        <v>16071</v>
      </c>
      <c r="WCX22" t="s">
        <v>16072</v>
      </c>
      <c r="WCY22" t="s">
        <v>16073</v>
      </c>
      <c r="WCZ22" t="s">
        <v>16074</v>
      </c>
      <c r="WDA22" t="s">
        <v>16075</v>
      </c>
      <c r="WDB22" t="s">
        <v>16076</v>
      </c>
      <c r="WDC22" t="s">
        <v>16077</v>
      </c>
      <c r="WDD22" t="s">
        <v>16078</v>
      </c>
      <c r="WDE22" t="s">
        <v>16079</v>
      </c>
      <c r="WDF22" t="s">
        <v>16080</v>
      </c>
      <c r="WDG22" t="s">
        <v>16081</v>
      </c>
      <c r="WDH22" t="s">
        <v>16082</v>
      </c>
      <c r="WDI22" t="s">
        <v>16083</v>
      </c>
      <c r="WDJ22" t="s">
        <v>16084</v>
      </c>
      <c r="WDK22" t="s">
        <v>16085</v>
      </c>
      <c r="WDL22" t="s">
        <v>16086</v>
      </c>
      <c r="WDM22" t="s">
        <v>16087</v>
      </c>
      <c r="WDN22" t="s">
        <v>16088</v>
      </c>
      <c r="WDO22" t="s">
        <v>16089</v>
      </c>
      <c r="WDP22" t="s">
        <v>16090</v>
      </c>
      <c r="WDQ22" t="s">
        <v>16091</v>
      </c>
      <c r="WDR22" t="s">
        <v>16092</v>
      </c>
      <c r="WDS22" t="s">
        <v>16093</v>
      </c>
      <c r="WDT22" t="s">
        <v>16094</v>
      </c>
      <c r="WDU22" t="s">
        <v>16095</v>
      </c>
      <c r="WDV22" t="s">
        <v>16096</v>
      </c>
      <c r="WDW22" t="s">
        <v>16097</v>
      </c>
      <c r="WDX22" t="s">
        <v>16098</v>
      </c>
      <c r="WDY22" t="s">
        <v>16099</v>
      </c>
      <c r="WDZ22" t="s">
        <v>16100</v>
      </c>
      <c r="WEA22" t="s">
        <v>16101</v>
      </c>
      <c r="WEB22" t="s">
        <v>16102</v>
      </c>
      <c r="WEC22" t="s">
        <v>16103</v>
      </c>
      <c r="WED22" t="s">
        <v>16104</v>
      </c>
      <c r="WEE22" t="s">
        <v>16105</v>
      </c>
      <c r="WEF22" t="s">
        <v>16106</v>
      </c>
      <c r="WEG22" t="s">
        <v>16107</v>
      </c>
      <c r="WEH22" t="s">
        <v>16108</v>
      </c>
      <c r="WEI22" t="s">
        <v>16109</v>
      </c>
      <c r="WEJ22" t="s">
        <v>16110</v>
      </c>
      <c r="WEK22" t="s">
        <v>16111</v>
      </c>
      <c r="WEL22" t="s">
        <v>16112</v>
      </c>
      <c r="WEM22" t="s">
        <v>16113</v>
      </c>
      <c r="WEN22" t="s">
        <v>16114</v>
      </c>
      <c r="WEO22" t="s">
        <v>16115</v>
      </c>
      <c r="WEP22" t="s">
        <v>16116</v>
      </c>
      <c r="WEQ22" t="s">
        <v>16117</v>
      </c>
      <c r="WER22" t="s">
        <v>16118</v>
      </c>
      <c r="WES22" t="s">
        <v>16119</v>
      </c>
      <c r="WET22" t="s">
        <v>16120</v>
      </c>
      <c r="WEU22" t="s">
        <v>16121</v>
      </c>
      <c r="WEV22" t="s">
        <v>16122</v>
      </c>
      <c r="WEW22" t="s">
        <v>16123</v>
      </c>
      <c r="WEX22" t="s">
        <v>16124</v>
      </c>
      <c r="WEY22" t="s">
        <v>16125</v>
      </c>
      <c r="WEZ22" t="s">
        <v>16126</v>
      </c>
      <c r="WFA22" t="s">
        <v>16127</v>
      </c>
      <c r="WFB22" t="s">
        <v>16128</v>
      </c>
      <c r="WFC22" t="s">
        <v>16129</v>
      </c>
      <c r="WFD22" t="s">
        <v>16130</v>
      </c>
      <c r="WFE22" t="s">
        <v>16131</v>
      </c>
      <c r="WFF22" t="s">
        <v>16132</v>
      </c>
      <c r="WFG22" t="s">
        <v>16133</v>
      </c>
      <c r="WFH22" t="s">
        <v>16134</v>
      </c>
      <c r="WFI22" t="s">
        <v>16135</v>
      </c>
      <c r="WFJ22" t="s">
        <v>16136</v>
      </c>
      <c r="WFK22" t="s">
        <v>16137</v>
      </c>
      <c r="WFL22" t="s">
        <v>16138</v>
      </c>
      <c r="WFM22" t="s">
        <v>16139</v>
      </c>
      <c r="WFN22" t="s">
        <v>16140</v>
      </c>
      <c r="WFO22" t="s">
        <v>16141</v>
      </c>
      <c r="WFP22" t="s">
        <v>16142</v>
      </c>
      <c r="WFQ22" t="s">
        <v>16143</v>
      </c>
      <c r="WFR22" t="s">
        <v>16144</v>
      </c>
      <c r="WFS22" t="s">
        <v>16145</v>
      </c>
      <c r="WFT22" t="s">
        <v>16146</v>
      </c>
      <c r="WFU22" t="s">
        <v>16147</v>
      </c>
      <c r="WFV22" t="s">
        <v>16148</v>
      </c>
      <c r="WFW22" t="s">
        <v>16149</v>
      </c>
      <c r="WFX22" t="s">
        <v>16150</v>
      </c>
      <c r="WFY22" t="s">
        <v>16151</v>
      </c>
      <c r="WFZ22" t="s">
        <v>16152</v>
      </c>
      <c r="WGA22" t="s">
        <v>16153</v>
      </c>
      <c r="WGB22" t="s">
        <v>16154</v>
      </c>
      <c r="WGC22" t="s">
        <v>16155</v>
      </c>
      <c r="WGD22" t="s">
        <v>16156</v>
      </c>
      <c r="WGE22" t="s">
        <v>16157</v>
      </c>
      <c r="WGF22" t="s">
        <v>16158</v>
      </c>
      <c r="WGG22" t="s">
        <v>16159</v>
      </c>
      <c r="WGH22" t="s">
        <v>16160</v>
      </c>
      <c r="WGI22" t="s">
        <v>16161</v>
      </c>
      <c r="WGJ22" t="s">
        <v>16162</v>
      </c>
      <c r="WGK22" t="s">
        <v>16163</v>
      </c>
      <c r="WGL22" t="s">
        <v>16164</v>
      </c>
      <c r="WGM22" t="s">
        <v>16165</v>
      </c>
      <c r="WGN22" t="s">
        <v>16166</v>
      </c>
      <c r="WGO22" t="s">
        <v>16167</v>
      </c>
      <c r="WGP22" t="s">
        <v>16168</v>
      </c>
      <c r="WGQ22" t="s">
        <v>16169</v>
      </c>
      <c r="WGR22" t="s">
        <v>16170</v>
      </c>
      <c r="WGS22" t="s">
        <v>16171</v>
      </c>
      <c r="WGT22" t="s">
        <v>16172</v>
      </c>
      <c r="WGU22" t="s">
        <v>16173</v>
      </c>
      <c r="WGV22" t="s">
        <v>16174</v>
      </c>
      <c r="WGW22" t="s">
        <v>16175</v>
      </c>
      <c r="WGX22" t="s">
        <v>16176</v>
      </c>
      <c r="WGY22" t="s">
        <v>16177</v>
      </c>
      <c r="WGZ22" t="s">
        <v>16178</v>
      </c>
      <c r="WHA22" t="s">
        <v>16179</v>
      </c>
      <c r="WHB22" t="s">
        <v>16180</v>
      </c>
      <c r="WHC22" t="s">
        <v>16181</v>
      </c>
      <c r="WHD22" t="s">
        <v>16182</v>
      </c>
      <c r="WHE22" t="s">
        <v>16183</v>
      </c>
      <c r="WHF22" t="s">
        <v>16184</v>
      </c>
      <c r="WHG22" t="s">
        <v>16185</v>
      </c>
      <c r="WHH22" t="s">
        <v>16186</v>
      </c>
      <c r="WHI22" t="s">
        <v>16187</v>
      </c>
      <c r="WHJ22" t="s">
        <v>16188</v>
      </c>
      <c r="WHK22" t="s">
        <v>16189</v>
      </c>
      <c r="WHL22" t="s">
        <v>16190</v>
      </c>
      <c r="WHM22" t="s">
        <v>16191</v>
      </c>
      <c r="WHN22" t="s">
        <v>16192</v>
      </c>
      <c r="WHO22" t="s">
        <v>16193</v>
      </c>
      <c r="WHP22" t="s">
        <v>16194</v>
      </c>
      <c r="WHQ22" t="s">
        <v>16195</v>
      </c>
      <c r="WHR22" t="s">
        <v>16196</v>
      </c>
      <c r="WHS22" t="s">
        <v>16197</v>
      </c>
      <c r="WHT22" t="s">
        <v>16198</v>
      </c>
      <c r="WHU22" t="s">
        <v>16199</v>
      </c>
      <c r="WHV22" t="s">
        <v>16200</v>
      </c>
      <c r="WHW22" t="s">
        <v>16201</v>
      </c>
      <c r="WHX22" t="s">
        <v>16202</v>
      </c>
      <c r="WHY22" t="s">
        <v>16203</v>
      </c>
      <c r="WHZ22" t="s">
        <v>16204</v>
      </c>
      <c r="WIA22" t="s">
        <v>16205</v>
      </c>
      <c r="WIB22" t="s">
        <v>16206</v>
      </c>
      <c r="WIC22" t="s">
        <v>16207</v>
      </c>
      <c r="WID22" t="s">
        <v>16208</v>
      </c>
      <c r="WIE22" t="s">
        <v>16209</v>
      </c>
      <c r="WIF22" t="s">
        <v>16210</v>
      </c>
      <c r="WIG22" t="s">
        <v>16211</v>
      </c>
      <c r="WIH22" t="s">
        <v>16212</v>
      </c>
      <c r="WII22" t="s">
        <v>16213</v>
      </c>
      <c r="WIJ22" t="s">
        <v>16214</v>
      </c>
      <c r="WIK22" t="s">
        <v>16215</v>
      </c>
      <c r="WIL22" t="s">
        <v>16216</v>
      </c>
      <c r="WIM22" t="s">
        <v>16217</v>
      </c>
      <c r="WIN22" t="s">
        <v>16218</v>
      </c>
      <c r="WIO22" t="s">
        <v>16219</v>
      </c>
      <c r="WIP22" t="s">
        <v>16220</v>
      </c>
      <c r="WIQ22" t="s">
        <v>16221</v>
      </c>
      <c r="WIR22" t="s">
        <v>16222</v>
      </c>
      <c r="WIS22" t="s">
        <v>16223</v>
      </c>
      <c r="WIT22" t="s">
        <v>16224</v>
      </c>
      <c r="WIU22" t="s">
        <v>16225</v>
      </c>
      <c r="WIV22" t="s">
        <v>16226</v>
      </c>
      <c r="WIW22" t="s">
        <v>16227</v>
      </c>
      <c r="WIX22" t="s">
        <v>16228</v>
      </c>
      <c r="WIY22" t="s">
        <v>16229</v>
      </c>
      <c r="WIZ22" t="s">
        <v>16230</v>
      </c>
      <c r="WJA22" t="s">
        <v>16231</v>
      </c>
      <c r="WJB22" t="s">
        <v>16232</v>
      </c>
      <c r="WJC22" t="s">
        <v>16233</v>
      </c>
      <c r="WJD22" t="s">
        <v>16234</v>
      </c>
      <c r="WJE22" t="s">
        <v>16235</v>
      </c>
      <c r="WJF22" t="s">
        <v>16236</v>
      </c>
      <c r="WJG22" t="s">
        <v>16237</v>
      </c>
      <c r="WJH22" t="s">
        <v>16238</v>
      </c>
      <c r="WJI22" t="s">
        <v>16239</v>
      </c>
      <c r="WJJ22" t="s">
        <v>16240</v>
      </c>
      <c r="WJK22" t="s">
        <v>16241</v>
      </c>
      <c r="WJL22" t="s">
        <v>16242</v>
      </c>
      <c r="WJM22" t="s">
        <v>16243</v>
      </c>
      <c r="WJN22" t="s">
        <v>16244</v>
      </c>
      <c r="WJO22" t="s">
        <v>16245</v>
      </c>
      <c r="WJP22" t="s">
        <v>16246</v>
      </c>
      <c r="WJQ22" t="s">
        <v>16247</v>
      </c>
      <c r="WJR22" t="s">
        <v>16248</v>
      </c>
      <c r="WJS22" t="s">
        <v>16249</v>
      </c>
      <c r="WJT22" t="s">
        <v>16250</v>
      </c>
      <c r="WJU22" t="s">
        <v>16251</v>
      </c>
      <c r="WJV22" t="s">
        <v>16252</v>
      </c>
      <c r="WJW22" t="s">
        <v>16253</v>
      </c>
      <c r="WJX22" t="s">
        <v>16254</v>
      </c>
      <c r="WJY22" t="s">
        <v>16255</v>
      </c>
      <c r="WJZ22" t="s">
        <v>16256</v>
      </c>
      <c r="WKA22" t="s">
        <v>16257</v>
      </c>
      <c r="WKB22" t="s">
        <v>16258</v>
      </c>
      <c r="WKC22" t="s">
        <v>16259</v>
      </c>
      <c r="WKD22" t="s">
        <v>16260</v>
      </c>
      <c r="WKE22" t="s">
        <v>16261</v>
      </c>
      <c r="WKF22" t="s">
        <v>16262</v>
      </c>
      <c r="WKG22" t="s">
        <v>16263</v>
      </c>
      <c r="WKH22" t="s">
        <v>16264</v>
      </c>
      <c r="WKI22" t="s">
        <v>16265</v>
      </c>
      <c r="WKJ22" t="s">
        <v>16266</v>
      </c>
      <c r="WKK22" t="s">
        <v>16267</v>
      </c>
      <c r="WKL22" t="s">
        <v>16268</v>
      </c>
      <c r="WKM22" t="s">
        <v>16269</v>
      </c>
      <c r="WKN22" t="s">
        <v>16270</v>
      </c>
      <c r="WKO22" t="s">
        <v>16271</v>
      </c>
      <c r="WKP22" t="s">
        <v>16272</v>
      </c>
      <c r="WKQ22" t="s">
        <v>16273</v>
      </c>
      <c r="WKR22" t="s">
        <v>16274</v>
      </c>
      <c r="WKS22" t="s">
        <v>16275</v>
      </c>
      <c r="WKT22" t="s">
        <v>16276</v>
      </c>
      <c r="WKU22" t="s">
        <v>16277</v>
      </c>
      <c r="WKV22" t="s">
        <v>16278</v>
      </c>
      <c r="WKW22" t="s">
        <v>16279</v>
      </c>
      <c r="WKX22" t="s">
        <v>16280</v>
      </c>
      <c r="WKY22" t="s">
        <v>16281</v>
      </c>
      <c r="WKZ22" t="s">
        <v>16282</v>
      </c>
      <c r="WLA22" t="s">
        <v>16283</v>
      </c>
      <c r="WLB22" t="s">
        <v>16284</v>
      </c>
      <c r="WLC22" t="s">
        <v>16285</v>
      </c>
      <c r="WLD22" t="s">
        <v>16286</v>
      </c>
      <c r="WLE22" t="s">
        <v>16287</v>
      </c>
      <c r="WLF22" t="s">
        <v>16288</v>
      </c>
      <c r="WLG22" t="s">
        <v>16289</v>
      </c>
      <c r="WLH22" t="s">
        <v>16290</v>
      </c>
      <c r="WLI22" t="s">
        <v>16291</v>
      </c>
      <c r="WLJ22" t="s">
        <v>16292</v>
      </c>
      <c r="WLK22" t="s">
        <v>16293</v>
      </c>
      <c r="WLL22" t="s">
        <v>16294</v>
      </c>
      <c r="WLM22" t="s">
        <v>16295</v>
      </c>
      <c r="WLN22" t="s">
        <v>16296</v>
      </c>
      <c r="WLO22" t="s">
        <v>16297</v>
      </c>
      <c r="WLP22" t="s">
        <v>16298</v>
      </c>
      <c r="WLQ22" t="s">
        <v>16299</v>
      </c>
      <c r="WLR22" t="s">
        <v>16300</v>
      </c>
      <c r="WLS22" t="s">
        <v>16301</v>
      </c>
      <c r="WLT22" t="s">
        <v>16302</v>
      </c>
      <c r="WLU22" t="s">
        <v>16303</v>
      </c>
      <c r="WLV22" t="s">
        <v>16304</v>
      </c>
      <c r="WLW22" t="s">
        <v>16305</v>
      </c>
      <c r="WLX22" t="s">
        <v>16306</v>
      </c>
      <c r="WLY22" t="s">
        <v>16307</v>
      </c>
      <c r="WLZ22" t="s">
        <v>16308</v>
      </c>
      <c r="WMA22" t="s">
        <v>16309</v>
      </c>
      <c r="WMB22" t="s">
        <v>16310</v>
      </c>
      <c r="WMC22" t="s">
        <v>16311</v>
      </c>
      <c r="WMD22" t="s">
        <v>16312</v>
      </c>
      <c r="WME22" t="s">
        <v>16313</v>
      </c>
      <c r="WMF22" t="s">
        <v>16314</v>
      </c>
      <c r="WMG22" t="s">
        <v>16315</v>
      </c>
      <c r="WMH22" t="s">
        <v>16316</v>
      </c>
      <c r="WMI22" t="s">
        <v>16317</v>
      </c>
      <c r="WMJ22" t="s">
        <v>16318</v>
      </c>
      <c r="WMK22" t="s">
        <v>16319</v>
      </c>
      <c r="WML22" t="s">
        <v>16320</v>
      </c>
      <c r="WMM22" t="s">
        <v>16321</v>
      </c>
      <c r="WMN22" t="s">
        <v>16322</v>
      </c>
      <c r="WMO22" t="s">
        <v>16323</v>
      </c>
      <c r="WMP22" t="s">
        <v>16324</v>
      </c>
      <c r="WMQ22" t="s">
        <v>16325</v>
      </c>
      <c r="WMR22" t="s">
        <v>16326</v>
      </c>
      <c r="WMS22" t="s">
        <v>16327</v>
      </c>
      <c r="WMT22" t="s">
        <v>16328</v>
      </c>
      <c r="WMU22" t="s">
        <v>16329</v>
      </c>
      <c r="WMV22" t="s">
        <v>16330</v>
      </c>
      <c r="WMW22" t="s">
        <v>16331</v>
      </c>
      <c r="WMX22" t="s">
        <v>16332</v>
      </c>
      <c r="WMY22" t="s">
        <v>16333</v>
      </c>
      <c r="WMZ22" t="s">
        <v>16334</v>
      </c>
      <c r="WNA22" t="s">
        <v>16335</v>
      </c>
      <c r="WNB22" t="s">
        <v>16336</v>
      </c>
      <c r="WNC22" t="s">
        <v>16337</v>
      </c>
      <c r="WND22" t="s">
        <v>16338</v>
      </c>
      <c r="WNE22" t="s">
        <v>16339</v>
      </c>
      <c r="WNF22" t="s">
        <v>16340</v>
      </c>
      <c r="WNG22" t="s">
        <v>16341</v>
      </c>
      <c r="WNH22" t="s">
        <v>16342</v>
      </c>
      <c r="WNI22" t="s">
        <v>16343</v>
      </c>
      <c r="WNJ22" t="s">
        <v>16344</v>
      </c>
      <c r="WNK22" t="s">
        <v>16345</v>
      </c>
      <c r="WNL22" t="s">
        <v>16346</v>
      </c>
      <c r="WNM22" t="s">
        <v>16347</v>
      </c>
      <c r="WNN22" t="s">
        <v>16348</v>
      </c>
      <c r="WNO22" t="s">
        <v>16349</v>
      </c>
      <c r="WNP22" t="s">
        <v>16350</v>
      </c>
      <c r="WNQ22" t="s">
        <v>16351</v>
      </c>
      <c r="WNR22" t="s">
        <v>16352</v>
      </c>
      <c r="WNS22" t="s">
        <v>16353</v>
      </c>
      <c r="WNT22" t="s">
        <v>16354</v>
      </c>
      <c r="WNU22" t="s">
        <v>16355</v>
      </c>
      <c r="WNV22" t="s">
        <v>16356</v>
      </c>
      <c r="WNW22" t="s">
        <v>16357</v>
      </c>
      <c r="WNX22" t="s">
        <v>16358</v>
      </c>
      <c r="WNY22" t="s">
        <v>16359</v>
      </c>
      <c r="WNZ22" t="s">
        <v>16360</v>
      </c>
      <c r="WOA22" t="s">
        <v>16361</v>
      </c>
      <c r="WOB22" t="s">
        <v>16362</v>
      </c>
      <c r="WOC22" t="s">
        <v>16363</v>
      </c>
      <c r="WOD22" t="s">
        <v>16364</v>
      </c>
      <c r="WOE22" t="s">
        <v>16365</v>
      </c>
      <c r="WOF22" t="s">
        <v>16366</v>
      </c>
      <c r="WOG22" t="s">
        <v>16367</v>
      </c>
      <c r="WOH22" t="s">
        <v>16368</v>
      </c>
      <c r="WOI22" t="s">
        <v>16369</v>
      </c>
      <c r="WOJ22" t="s">
        <v>16370</v>
      </c>
      <c r="WOK22" t="s">
        <v>16371</v>
      </c>
      <c r="WOL22" t="s">
        <v>16372</v>
      </c>
      <c r="WOM22" t="s">
        <v>16373</v>
      </c>
      <c r="WON22" t="s">
        <v>16374</v>
      </c>
      <c r="WOO22" t="s">
        <v>16375</v>
      </c>
      <c r="WOP22" t="s">
        <v>16376</v>
      </c>
      <c r="WOQ22" t="s">
        <v>16377</v>
      </c>
      <c r="WOR22" t="s">
        <v>16378</v>
      </c>
      <c r="WOS22" t="s">
        <v>16379</v>
      </c>
      <c r="WOT22" t="s">
        <v>16380</v>
      </c>
      <c r="WOU22" t="s">
        <v>16381</v>
      </c>
      <c r="WOV22" t="s">
        <v>16382</v>
      </c>
      <c r="WOW22" t="s">
        <v>16383</v>
      </c>
      <c r="WOX22" t="s">
        <v>16384</v>
      </c>
      <c r="WOY22" t="s">
        <v>16385</v>
      </c>
      <c r="WOZ22" t="s">
        <v>16386</v>
      </c>
      <c r="WPA22" t="s">
        <v>16387</v>
      </c>
      <c r="WPB22" t="s">
        <v>16388</v>
      </c>
      <c r="WPC22" t="s">
        <v>16389</v>
      </c>
      <c r="WPD22" t="s">
        <v>16390</v>
      </c>
      <c r="WPE22" t="s">
        <v>16391</v>
      </c>
      <c r="WPF22" t="s">
        <v>16392</v>
      </c>
      <c r="WPG22" t="s">
        <v>16393</v>
      </c>
      <c r="WPH22" t="s">
        <v>16394</v>
      </c>
      <c r="WPI22" t="s">
        <v>16395</v>
      </c>
      <c r="WPJ22" t="s">
        <v>16396</v>
      </c>
      <c r="WPK22" t="s">
        <v>16397</v>
      </c>
      <c r="WPL22" t="s">
        <v>16398</v>
      </c>
      <c r="WPM22" t="s">
        <v>16399</v>
      </c>
      <c r="WPN22" t="s">
        <v>16400</v>
      </c>
      <c r="WPO22" t="s">
        <v>16401</v>
      </c>
      <c r="WPP22" t="s">
        <v>16402</v>
      </c>
      <c r="WPQ22" t="s">
        <v>16403</v>
      </c>
      <c r="WPR22" t="s">
        <v>16404</v>
      </c>
      <c r="WPS22" t="s">
        <v>16405</v>
      </c>
      <c r="WPT22" t="s">
        <v>16406</v>
      </c>
      <c r="WPU22" t="s">
        <v>16407</v>
      </c>
      <c r="WPV22" t="s">
        <v>16408</v>
      </c>
      <c r="WPW22" t="s">
        <v>16409</v>
      </c>
      <c r="WPX22" t="s">
        <v>16410</v>
      </c>
      <c r="WPY22" t="s">
        <v>16411</v>
      </c>
      <c r="WPZ22" t="s">
        <v>16412</v>
      </c>
      <c r="WQA22" t="s">
        <v>16413</v>
      </c>
      <c r="WQB22" t="s">
        <v>16414</v>
      </c>
      <c r="WQC22" t="s">
        <v>16415</v>
      </c>
      <c r="WQD22" t="s">
        <v>16416</v>
      </c>
      <c r="WQE22" t="s">
        <v>16417</v>
      </c>
      <c r="WQF22" t="s">
        <v>16418</v>
      </c>
      <c r="WQG22" t="s">
        <v>16419</v>
      </c>
      <c r="WQH22" t="s">
        <v>16420</v>
      </c>
      <c r="WQI22" t="s">
        <v>16421</v>
      </c>
      <c r="WQJ22" t="s">
        <v>16422</v>
      </c>
      <c r="WQK22" t="s">
        <v>16423</v>
      </c>
      <c r="WQL22" t="s">
        <v>16424</v>
      </c>
      <c r="WQM22" t="s">
        <v>16425</v>
      </c>
      <c r="WQN22" t="s">
        <v>16426</v>
      </c>
      <c r="WQO22" t="s">
        <v>16427</v>
      </c>
      <c r="WQP22" t="s">
        <v>16428</v>
      </c>
      <c r="WQQ22" t="s">
        <v>16429</v>
      </c>
      <c r="WQR22" t="s">
        <v>16430</v>
      </c>
      <c r="WQS22" t="s">
        <v>16431</v>
      </c>
      <c r="WQT22" t="s">
        <v>16432</v>
      </c>
      <c r="WQU22" t="s">
        <v>16433</v>
      </c>
      <c r="WQV22" t="s">
        <v>16434</v>
      </c>
      <c r="WQW22" t="s">
        <v>16435</v>
      </c>
      <c r="WQX22" t="s">
        <v>16436</v>
      </c>
      <c r="WQY22" t="s">
        <v>16437</v>
      </c>
      <c r="WQZ22" t="s">
        <v>16438</v>
      </c>
      <c r="WRA22" t="s">
        <v>16439</v>
      </c>
      <c r="WRB22" t="s">
        <v>16440</v>
      </c>
      <c r="WRC22" t="s">
        <v>16441</v>
      </c>
      <c r="WRD22" t="s">
        <v>16442</v>
      </c>
      <c r="WRE22" t="s">
        <v>16443</v>
      </c>
      <c r="WRF22" t="s">
        <v>16444</v>
      </c>
      <c r="WRG22" t="s">
        <v>16445</v>
      </c>
      <c r="WRH22" t="s">
        <v>16446</v>
      </c>
      <c r="WRI22" t="s">
        <v>16447</v>
      </c>
      <c r="WRJ22" t="s">
        <v>16448</v>
      </c>
      <c r="WRK22" t="s">
        <v>16449</v>
      </c>
      <c r="WRL22" t="s">
        <v>16450</v>
      </c>
      <c r="WRM22" t="s">
        <v>16451</v>
      </c>
      <c r="WRN22" t="s">
        <v>16452</v>
      </c>
      <c r="WRO22" t="s">
        <v>16453</v>
      </c>
      <c r="WRP22" t="s">
        <v>16454</v>
      </c>
      <c r="WRQ22" t="s">
        <v>16455</v>
      </c>
      <c r="WRR22" t="s">
        <v>16456</v>
      </c>
      <c r="WRS22" t="s">
        <v>16457</v>
      </c>
      <c r="WRT22" t="s">
        <v>16458</v>
      </c>
      <c r="WRU22" t="s">
        <v>16459</v>
      </c>
      <c r="WRV22" t="s">
        <v>16460</v>
      </c>
      <c r="WRW22" t="s">
        <v>16461</v>
      </c>
      <c r="WRX22" t="s">
        <v>16462</v>
      </c>
      <c r="WRY22" t="s">
        <v>16463</v>
      </c>
      <c r="WRZ22" t="s">
        <v>16464</v>
      </c>
      <c r="WSA22" t="s">
        <v>16465</v>
      </c>
      <c r="WSB22" t="s">
        <v>16466</v>
      </c>
      <c r="WSC22" t="s">
        <v>16467</v>
      </c>
      <c r="WSD22" t="s">
        <v>16468</v>
      </c>
      <c r="WSE22" t="s">
        <v>16469</v>
      </c>
      <c r="WSF22" t="s">
        <v>16470</v>
      </c>
      <c r="WSG22" t="s">
        <v>16471</v>
      </c>
      <c r="WSH22" t="s">
        <v>16472</v>
      </c>
      <c r="WSI22" t="s">
        <v>16473</v>
      </c>
      <c r="WSJ22" t="s">
        <v>16474</v>
      </c>
      <c r="WSK22" t="s">
        <v>16475</v>
      </c>
      <c r="WSL22" t="s">
        <v>16476</v>
      </c>
      <c r="WSM22" t="s">
        <v>16477</v>
      </c>
      <c r="WSN22" t="s">
        <v>16478</v>
      </c>
      <c r="WSO22" t="s">
        <v>16479</v>
      </c>
      <c r="WSP22" t="s">
        <v>16480</v>
      </c>
      <c r="WSQ22" t="s">
        <v>16481</v>
      </c>
      <c r="WSR22" t="s">
        <v>16482</v>
      </c>
      <c r="WSS22" t="s">
        <v>16483</v>
      </c>
      <c r="WST22" t="s">
        <v>16484</v>
      </c>
      <c r="WSU22" t="s">
        <v>16485</v>
      </c>
      <c r="WSV22" t="s">
        <v>16486</v>
      </c>
      <c r="WSW22" t="s">
        <v>16487</v>
      </c>
      <c r="WSX22" t="s">
        <v>16488</v>
      </c>
      <c r="WSY22" t="s">
        <v>16489</v>
      </c>
      <c r="WSZ22" t="s">
        <v>16490</v>
      </c>
      <c r="WTA22" t="s">
        <v>16491</v>
      </c>
      <c r="WTB22" t="s">
        <v>16492</v>
      </c>
      <c r="WTC22" t="s">
        <v>16493</v>
      </c>
      <c r="WTD22" t="s">
        <v>16494</v>
      </c>
      <c r="WTE22" t="s">
        <v>16495</v>
      </c>
      <c r="WTF22" t="s">
        <v>16496</v>
      </c>
      <c r="WTG22" t="s">
        <v>16497</v>
      </c>
      <c r="WTH22" t="s">
        <v>16498</v>
      </c>
      <c r="WTI22" t="s">
        <v>16499</v>
      </c>
      <c r="WTJ22" t="s">
        <v>16500</v>
      </c>
      <c r="WTK22" t="s">
        <v>16501</v>
      </c>
      <c r="WTL22" t="s">
        <v>16502</v>
      </c>
      <c r="WTM22" t="s">
        <v>16503</v>
      </c>
      <c r="WTN22" t="s">
        <v>16504</v>
      </c>
      <c r="WTO22" t="s">
        <v>16505</v>
      </c>
      <c r="WTP22" t="s">
        <v>16506</v>
      </c>
      <c r="WTQ22" t="s">
        <v>16507</v>
      </c>
      <c r="WTR22" t="s">
        <v>16508</v>
      </c>
      <c r="WTS22" t="s">
        <v>16509</v>
      </c>
      <c r="WTT22" t="s">
        <v>16510</v>
      </c>
      <c r="WTU22" t="s">
        <v>16511</v>
      </c>
      <c r="WTV22" t="s">
        <v>16512</v>
      </c>
      <c r="WTW22" t="s">
        <v>16513</v>
      </c>
      <c r="WTX22" t="s">
        <v>16514</v>
      </c>
      <c r="WTY22" t="s">
        <v>16515</v>
      </c>
      <c r="WTZ22" t="s">
        <v>16516</v>
      </c>
      <c r="WUA22" t="s">
        <v>16517</v>
      </c>
      <c r="WUB22" t="s">
        <v>16518</v>
      </c>
      <c r="WUC22" t="s">
        <v>16519</v>
      </c>
      <c r="WUD22" t="s">
        <v>16520</v>
      </c>
      <c r="WUE22" t="s">
        <v>16521</v>
      </c>
      <c r="WUF22" t="s">
        <v>16522</v>
      </c>
      <c r="WUG22" t="s">
        <v>16523</v>
      </c>
      <c r="WUH22" t="s">
        <v>16524</v>
      </c>
      <c r="WUI22" t="s">
        <v>16525</v>
      </c>
      <c r="WUJ22" t="s">
        <v>16526</v>
      </c>
      <c r="WUK22" t="s">
        <v>16527</v>
      </c>
      <c r="WUL22" t="s">
        <v>16528</v>
      </c>
      <c r="WUM22" t="s">
        <v>16529</v>
      </c>
      <c r="WUN22" t="s">
        <v>16530</v>
      </c>
      <c r="WUO22" t="s">
        <v>16531</v>
      </c>
      <c r="WUP22" t="s">
        <v>16532</v>
      </c>
      <c r="WUQ22" t="s">
        <v>16533</v>
      </c>
      <c r="WUR22" t="s">
        <v>16534</v>
      </c>
      <c r="WUS22" t="s">
        <v>16535</v>
      </c>
      <c r="WUT22" t="s">
        <v>16536</v>
      </c>
      <c r="WUU22" t="s">
        <v>16537</v>
      </c>
      <c r="WUV22" t="s">
        <v>16538</v>
      </c>
      <c r="WUW22" t="s">
        <v>16539</v>
      </c>
      <c r="WUX22" t="s">
        <v>16540</v>
      </c>
      <c r="WUY22" t="s">
        <v>16541</v>
      </c>
      <c r="WUZ22" t="s">
        <v>16542</v>
      </c>
      <c r="WVA22" t="s">
        <v>16543</v>
      </c>
      <c r="WVB22" t="s">
        <v>16544</v>
      </c>
      <c r="WVC22" t="s">
        <v>16545</v>
      </c>
      <c r="WVD22" t="s">
        <v>16546</v>
      </c>
      <c r="WVE22" t="s">
        <v>16547</v>
      </c>
      <c r="WVF22" t="s">
        <v>16548</v>
      </c>
      <c r="WVG22" t="s">
        <v>16549</v>
      </c>
      <c r="WVH22" t="s">
        <v>16550</v>
      </c>
      <c r="WVI22" t="s">
        <v>16551</v>
      </c>
      <c r="WVJ22" t="s">
        <v>16552</v>
      </c>
      <c r="WVK22" t="s">
        <v>16553</v>
      </c>
      <c r="WVL22" t="s">
        <v>16554</v>
      </c>
      <c r="WVM22" t="s">
        <v>16555</v>
      </c>
      <c r="WVN22" t="s">
        <v>16556</v>
      </c>
      <c r="WVO22" t="s">
        <v>16557</v>
      </c>
      <c r="WVP22" t="s">
        <v>16558</v>
      </c>
      <c r="WVQ22" t="s">
        <v>16559</v>
      </c>
      <c r="WVR22" t="s">
        <v>16560</v>
      </c>
      <c r="WVS22" t="s">
        <v>16561</v>
      </c>
      <c r="WVT22" t="s">
        <v>16562</v>
      </c>
      <c r="WVU22" t="s">
        <v>16563</v>
      </c>
      <c r="WVV22" t="s">
        <v>16564</v>
      </c>
      <c r="WVW22" t="s">
        <v>16565</v>
      </c>
      <c r="WVX22" t="s">
        <v>16566</v>
      </c>
      <c r="WVY22" t="s">
        <v>16567</v>
      </c>
      <c r="WVZ22" t="s">
        <v>16568</v>
      </c>
      <c r="WWA22" t="s">
        <v>16569</v>
      </c>
      <c r="WWB22" t="s">
        <v>16570</v>
      </c>
      <c r="WWC22" t="s">
        <v>16571</v>
      </c>
      <c r="WWD22" t="s">
        <v>16572</v>
      </c>
      <c r="WWE22" t="s">
        <v>16573</v>
      </c>
      <c r="WWF22" t="s">
        <v>16574</v>
      </c>
      <c r="WWG22" t="s">
        <v>16575</v>
      </c>
      <c r="WWH22" t="s">
        <v>16576</v>
      </c>
      <c r="WWI22" t="s">
        <v>16577</v>
      </c>
      <c r="WWJ22" t="s">
        <v>16578</v>
      </c>
      <c r="WWK22" t="s">
        <v>16579</v>
      </c>
      <c r="WWL22" t="s">
        <v>16580</v>
      </c>
      <c r="WWM22" t="s">
        <v>16581</v>
      </c>
      <c r="WWN22" t="s">
        <v>16582</v>
      </c>
      <c r="WWO22" t="s">
        <v>16583</v>
      </c>
      <c r="WWP22" t="s">
        <v>16584</v>
      </c>
      <c r="WWQ22" t="s">
        <v>16585</v>
      </c>
      <c r="WWR22" t="s">
        <v>16586</v>
      </c>
      <c r="WWS22" t="s">
        <v>16587</v>
      </c>
      <c r="WWT22" t="s">
        <v>16588</v>
      </c>
      <c r="WWU22" t="s">
        <v>16589</v>
      </c>
      <c r="WWV22" t="s">
        <v>16590</v>
      </c>
      <c r="WWW22" t="s">
        <v>16591</v>
      </c>
      <c r="WWX22" t="s">
        <v>16592</v>
      </c>
      <c r="WWY22" t="s">
        <v>16593</v>
      </c>
      <c r="WWZ22" t="s">
        <v>16594</v>
      </c>
      <c r="WXA22" t="s">
        <v>16595</v>
      </c>
      <c r="WXB22" t="s">
        <v>16596</v>
      </c>
      <c r="WXC22" t="s">
        <v>16597</v>
      </c>
      <c r="WXD22" t="s">
        <v>16598</v>
      </c>
      <c r="WXE22" t="s">
        <v>16599</v>
      </c>
      <c r="WXF22" t="s">
        <v>16600</v>
      </c>
      <c r="WXG22" t="s">
        <v>16601</v>
      </c>
      <c r="WXH22" t="s">
        <v>16602</v>
      </c>
      <c r="WXI22" t="s">
        <v>16603</v>
      </c>
      <c r="WXJ22" t="s">
        <v>16604</v>
      </c>
      <c r="WXK22" t="s">
        <v>16605</v>
      </c>
      <c r="WXL22" t="s">
        <v>16606</v>
      </c>
      <c r="WXM22" t="s">
        <v>16607</v>
      </c>
      <c r="WXN22" t="s">
        <v>16608</v>
      </c>
      <c r="WXO22" t="s">
        <v>16609</v>
      </c>
      <c r="WXP22" t="s">
        <v>16610</v>
      </c>
      <c r="WXQ22" t="s">
        <v>16611</v>
      </c>
      <c r="WXR22" t="s">
        <v>16612</v>
      </c>
      <c r="WXS22" t="s">
        <v>16613</v>
      </c>
      <c r="WXT22" t="s">
        <v>16614</v>
      </c>
      <c r="WXU22" t="s">
        <v>16615</v>
      </c>
      <c r="WXV22" t="s">
        <v>16616</v>
      </c>
      <c r="WXW22" t="s">
        <v>16617</v>
      </c>
      <c r="WXX22" t="s">
        <v>16618</v>
      </c>
      <c r="WXY22" t="s">
        <v>16619</v>
      </c>
      <c r="WXZ22" t="s">
        <v>16620</v>
      </c>
      <c r="WYA22" t="s">
        <v>16621</v>
      </c>
      <c r="WYB22" t="s">
        <v>16622</v>
      </c>
      <c r="WYC22" t="s">
        <v>16623</v>
      </c>
      <c r="WYD22" t="s">
        <v>16624</v>
      </c>
      <c r="WYE22" t="s">
        <v>16625</v>
      </c>
      <c r="WYF22" t="s">
        <v>16626</v>
      </c>
      <c r="WYG22" t="s">
        <v>16627</v>
      </c>
      <c r="WYH22" t="s">
        <v>16628</v>
      </c>
      <c r="WYI22" t="s">
        <v>16629</v>
      </c>
      <c r="WYJ22" t="s">
        <v>16630</v>
      </c>
      <c r="WYK22" t="s">
        <v>16631</v>
      </c>
      <c r="WYL22" t="s">
        <v>16632</v>
      </c>
      <c r="WYM22" t="s">
        <v>16633</v>
      </c>
      <c r="WYN22" t="s">
        <v>16634</v>
      </c>
      <c r="WYO22" t="s">
        <v>16635</v>
      </c>
      <c r="WYP22" t="s">
        <v>16636</v>
      </c>
      <c r="WYQ22" t="s">
        <v>16637</v>
      </c>
      <c r="WYR22" t="s">
        <v>16638</v>
      </c>
      <c r="WYS22" t="s">
        <v>16639</v>
      </c>
      <c r="WYT22" t="s">
        <v>16640</v>
      </c>
      <c r="WYU22" t="s">
        <v>16641</v>
      </c>
      <c r="WYV22" t="s">
        <v>16642</v>
      </c>
      <c r="WYW22" t="s">
        <v>16643</v>
      </c>
      <c r="WYX22" t="s">
        <v>16644</v>
      </c>
      <c r="WYY22" t="s">
        <v>16645</v>
      </c>
      <c r="WYZ22" t="s">
        <v>16646</v>
      </c>
      <c r="WZA22" t="s">
        <v>16647</v>
      </c>
      <c r="WZB22" t="s">
        <v>16648</v>
      </c>
      <c r="WZC22" t="s">
        <v>16649</v>
      </c>
      <c r="WZD22" t="s">
        <v>16650</v>
      </c>
      <c r="WZE22" t="s">
        <v>16651</v>
      </c>
      <c r="WZF22" t="s">
        <v>16652</v>
      </c>
      <c r="WZG22" t="s">
        <v>16653</v>
      </c>
      <c r="WZH22" t="s">
        <v>16654</v>
      </c>
      <c r="WZI22" t="s">
        <v>16655</v>
      </c>
      <c r="WZJ22" t="s">
        <v>16656</v>
      </c>
      <c r="WZK22" t="s">
        <v>16657</v>
      </c>
      <c r="WZL22" t="s">
        <v>16658</v>
      </c>
      <c r="WZM22" t="s">
        <v>16659</v>
      </c>
      <c r="WZN22" t="s">
        <v>16660</v>
      </c>
      <c r="WZO22" t="s">
        <v>16661</v>
      </c>
      <c r="WZP22" t="s">
        <v>16662</v>
      </c>
      <c r="WZQ22" t="s">
        <v>16663</v>
      </c>
      <c r="WZR22" t="s">
        <v>16664</v>
      </c>
      <c r="WZS22" t="s">
        <v>16665</v>
      </c>
      <c r="WZT22" t="s">
        <v>16666</v>
      </c>
      <c r="WZU22" t="s">
        <v>16667</v>
      </c>
      <c r="WZV22" t="s">
        <v>16668</v>
      </c>
      <c r="WZW22" t="s">
        <v>16669</v>
      </c>
      <c r="WZX22" t="s">
        <v>16670</v>
      </c>
      <c r="WZY22" t="s">
        <v>16671</v>
      </c>
      <c r="WZZ22" t="s">
        <v>16672</v>
      </c>
      <c r="XAA22" t="s">
        <v>16673</v>
      </c>
      <c r="XAB22" t="s">
        <v>16674</v>
      </c>
      <c r="XAC22" t="s">
        <v>16675</v>
      </c>
      <c r="XAD22" t="s">
        <v>16676</v>
      </c>
      <c r="XAE22" t="s">
        <v>16677</v>
      </c>
      <c r="XAF22" t="s">
        <v>16678</v>
      </c>
      <c r="XAG22" t="s">
        <v>16679</v>
      </c>
      <c r="XAH22" t="s">
        <v>16680</v>
      </c>
      <c r="XAI22" t="s">
        <v>16681</v>
      </c>
      <c r="XAJ22" t="s">
        <v>16682</v>
      </c>
      <c r="XAK22" t="s">
        <v>16683</v>
      </c>
      <c r="XAL22" t="s">
        <v>16684</v>
      </c>
      <c r="XAM22" t="s">
        <v>16685</v>
      </c>
      <c r="XAN22" t="s">
        <v>16686</v>
      </c>
      <c r="XAO22" t="s">
        <v>16687</v>
      </c>
      <c r="XAP22" t="s">
        <v>16688</v>
      </c>
      <c r="XAQ22" t="s">
        <v>16689</v>
      </c>
      <c r="XAR22" t="s">
        <v>16690</v>
      </c>
      <c r="XAS22" t="s">
        <v>16691</v>
      </c>
      <c r="XAT22" t="s">
        <v>16692</v>
      </c>
      <c r="XAU22" t="s">
        <v>16693</v>
      </c>
      <c r="XAV22" t="s">
        <v>16694</v>
      </c>
      <c r="XAW22" t="s">
        <v>16695</v>
      </c>
      <c r="XAX22" t="s">
        <v>16696</v>
      </c>
      <c r="XAY22" t="s">
        <v>16697</v>
      </c>
      <c r="XAZ22" t="s">
        <v>16698</v>
      </c>
      <c r="XBA22" t="s">
        <v>16699</v>
      </c>
      <c r="XBB22" t="s">
        <v>16700</v>
      </c>
      <c r="XBC22" t="s">
        <v>16701</v>
      </c>
      <c r="XBD22" t="s">
        <v>16702</v>
      </c>
      <c r="XBE22" t="s">
        <v>16703</v>
      </c>
      <c r="XBF22" t="s">
        <v>16704</v>
      </c>
      <c r="XBG22" t="s">
        <v>16705</v>
      </c>
      <c r="XBH22" t="s">
        <v>16706</v>
      </c>
      <c r="XBI22" t="s">
        <v>16707</v>
      </c>
      <c r="XBJ22" t="s">
        <v>16708</v>
      </c>
      <c r="XBK22" t="s">
        <v>16709</v>
      </c>
      <c r="XBL22" t="s">
        <v>16710</v>
      </c>
      <c r="XBM22" t="s">
        <v>16711</v>
      </c>
      <c r="XBN22" t="s">
        <v>16712</v>
      </c>
      <c r="XBO22" t="s">
        <v>16713</v>
      </c>
      <c r="XBP22" t="s">
        <v>16714</v>
      </c>
      <c r="XBQ22" t="s">
        <v>16715</v>
      </c>
      <c r="XBR22" t="s">
        <v>16716</v>
      </c>
      <c r="XBS22" t="s">
        <v>16717</v>
      </c>
      <c r="XBT22" t="s">
        <v>16718</v>
      </c>
      <c r="XBU22" t="s">
        <v>16719</v>
      </c>
      <c r="XBV22" t="s">
        <v>16720</v>
      </c>
      <c r="XBW22" t="s">
        <v>16721</v>
      </c>
      <c r="XBX22" t="s">
        <v>16722</v>
      </c>
      <c r="XBY22" t="s">
        <v>16723</v>
      </c>
      <c r="XBZ22" t="s">
        <v>16724</v>
      </c>
      <c r="XCA22" t="s">
        <v>16725</v>
      </c>
      <c r="XCB22" t="s">
        <v>16726</v>
      </c>
      <c r="XCC22" t="s">
        <v>16727</v>
      </c>
      <c r="XCD22" t="s">
        <v>16728</v>
      </c>
      <c r="XCE22" t="s">
        <v>16729</v>
      </c>
      <c r="XCF22" t="s">
        <v>16730</v>
      </c>
      <c r="XCG22" t="s">
        <v>16731</v>
      </c>
      <c r="XCH22" t="s">
        <v>16732</v>
      </c>
      <c r="XCI22" t="s">
        <v>16733</v>
      </c>
      <c r="XCJ22" t="s">
        <v>16734</v>
      </c>
      <c r="XCK22" t="s">
        <v>16735</v>
      </c>
      <c r="XCL22" t="s">
        <v>16736</v>
      </c>
      <c r="XCM22" t="s">
        <v>16737</v>
      </c>
      <c r="XCN22" t="s">
        <v>16738</v>
      </c>
      <c r="XCO22" t="s">
        <v>16739</v>
      </c>
      <c r="XCP22" t="s">
        <v>16740</v>
      </c>
      <c r="XCQ22" t="s">
        <v>16741</v>
      </c>
      <c r="XCR22" t="s">
        <v>16742</v>
      </c>
      <c r="XCS22" t="s">
        <v>16743</v>
      </c>
      <c r="XCT22" t="s">
        <v>16744</v>
      </c>
      <c r="XCU22" t="s">
        <v>16745</v>
      </c>
      <c r="XCV22" t="s">
        <v>16746</v>
      </c>
      <c r="XCW22" t="s">
        <v>16747</v>
      </c>
      <c r="XCX22" t="s">
        <v>16748</v>
      </c>
      <c r="XCY22" t="s">
        <v>16749</v>
      </c>
      <c r="XCZ22" t="s">
        <v>16750</v>
      </c>
      <c r="XDA22" t="s">
        <v>16751</v>
      </c>
      <c r="XDB22" t="s">
        <v>16752</v>
      </c>
      <c r="XDC22" t="s">
        <v>16753</v>
      </c>
      <c r="XDD22" t="s">
        <v>16754</v>
      </c>
      <c r="XDE22" t="s">
        <v>16755</v>
      </c>
      <c r="XDF22" t="s">
        <v>16756</v>
      </c>
      <c r="XDG22" t="s">
        <v>16757</v>
      </c>
      <c r="XDH22" t="s">
        <v>16758</v>
      </c>
      <c r="XDI22" t="s">
        <v>16759</v>
      </c>
      <c r="XDJ22" t="s">
        <v>16760</v>
      </c>
      <c r="XDK22" t="s">
        <v>16761</v>
      </c>
      <c r="XDL22" t="s">
        <v>16762</v>
      </c>
      <c r="XDM22" t="s">
        <v>16763</v>
      </c>
      <c r="XDN22" t="s">
        <v>16764</v>
      </c>
      <c r="XDO22" t="s">
        <v>16765</v>
      </c>
      <c r="XDP22" t="s">
        <v>16766</v>
      </c>
      <c r="XDQ22" t="s">
        <v>16767</v>
      </c>
      <c r="XDR22" t="s">
        <v>16768</v>
      </c>
      <c r="XDS22" t="s">
        <v>16769</v>
      </c>
      <c r="XDT22" t="s">
        <v>16770</v>
      </c>
      <c r="XDU22" t="s">
        <v>16771</v>
      </c>
      <c r="XDV22" t="s">
        <v>16772</v>
      </c>
      <c r="XDW22" t="s">
        <v>16773</v>
      </c>
      <c r="XDX22" t="s">
        <v>16774</v>
      </c>
      <c r="XDY22" t="s">
        <v>16775</v>
      </c>
      <c r="XDZ22" t="s">
        <v>16776</v>
      </c>
      <c r="XEA22" t="s">
        <v>16777</v>
      </c>
      <c r="XEB22" t="s">
        <v>16778</v>
      </c>
      <c r="XEC22" t="s">
        <v>16779</v>
      </c>
      <c r="XED22" t="s">
        <v>16780</v>
      </c>
      <c r="XEE22" t="s">
        <v>16781</v>
      </c>
      <c r="XEF22" t="s">
        <v>16782</v>
      </c>
      <c r="XEG22" t="s">
        <v>16783</v>
      </c>
      <c r="XEH22" t="s">
        <v>16784</v>
      </c>
      <c r="XEI22" t="s">
        <v>16785</v>
      </c>
      <c r="XEJ22" t="s">
        <v>16786</v>
      </c>
      <c r="XEK22" t="s">
        <v>16787</v>
      </c>
      <c r="XEL22" t="s">
        <v>16788</v>
      </c>
      <c r="XEM22" t="s">
        <v>16789</v>
      </c>
      <c r="XEN22" t="s">
        <v>16790</v>
      </c>
      <c r="XEO22" t="s">
        <v>16791</v>
      </c>
      <c r="XEP22" t="s">
        <v>16792</v>
      </c>
      <c r="XEQ22" t="s">
        <v>16793</v>
      </c>
      <c r="XER22" t="s">
        <v>16794</v>
      </c>
      <c r="XES22" t="s">
        <v>16795</v>
      </c>
      <c r="XET22" t="s">
        <v>16796</v>
      </c>
      <c r="XEU22" t="s">
        <v>16797</v>
      </c>
      <c r="XEV22" t="s">
        <v>16798</v>
      </c>
      <c r="XEW22" t="s">
        <v>16799</v>
      </c>
      <c r="XEX22" t="s">
        <v>16800</v>
      </c>
      <c r="XEY22" t="s">
        <v>16801</v>
      </c>
      <c r="XEZ22" t="s">
        <v>16802</v>
      </c>
      <c r="XFA22" t="s">
        <v>16803</v>
      </c>
      <c r="XFB22" t="s">
        <v>16804</v>
      </c>
      <c r="XFC22" t="s">
        <v>16805</v>
      </c>
      <c r="XFD22" t="s">
        <v>16806</v>
      </c>
    </row>
    <row r="23" spans="1:16384" s="10" customFormat="1">
      <c r="A23" s="11" t="s">
        <v>370</v>
      </c>
      <c r="B23" s="10" t="s">
        <v>52</v>
      </c>
      <c r="C23" s="10" t="s">
        <v>58</v>
      </c>
      <c r="D23" s="10" t="s">
        <v>42</v>
      </c>
      <c r="E23" s="10" t="s">
        <v>140</v>
      </c>
    </row>
    <row r="24" spans="1:16384">
      <c r="A24" t="s">
        <v>38</v>
      </c>
      <c r="B24">
        <f>COUNTIFS(Social_Media_Posts!$G:$G,$A24,Social_Media_Posts!$K:$K,B$23)</f>
        <v>5</v>
      </c>
      <c r="C24">
        <f>COUNTIFS(Social_Media_Posts!$G:$G,$A24,Social_Media_Posts!$K:$K,C$23)</f>
        <v>2</v>
      </c>
      <c r="D24">
        <f>COUNTIFS(Social_Media_Posts!$G:$G,$A24,Social_Media_Posts!$K:$K,D$23)</f>
        <v>3</v>
      </c>
      <c r="E24">
        <f>COUNTIFS(Social_Media_Posts!$G:$G,$A24,Social_Media_Posts!$K:$K,E$23)</f>
        <v>1</v>
      </c>
    </row>
    <row r="25" spans="1:16384">
      <c r="A25" t="s">
        <v>63</v>
      </c>
      <c r="B25">
        <f>COUNTIFS(Social_Media_Posts!$G:$G,$A25,Social_Media_Posts!$K:$K,B$23)</f>
        <v>4</v>
      </c>
      <c r="C25">
        <f>COUNTIFS(Social_Media_Posts!$G:$G,$A25,Social_Media_Posts!$K:$K,C$23)</f>
        <v>0</v>
      </c>
      <c r="D25">
        <f>COUNTIFS(Social_Media_Posts!$G:$G,$A25,Social_Media_Posts!$K:$K,D$23)</f>
        <v>5</v>
      </c>
      <c r="E25">
        <f>COUNTIFS(Social_Media_Posts!$G:$G,$A25,Social_Media_Posts!$K:$K,E$23)</f>
        <v>0</v>
      </c>
    </row>
    <row r="26" spans="1:16384">
      <c r="A26" t="s">
        <v>73</v>
      </c>
      <c r="B26">
        <f>COUNTIFS(Social_Media_Posts!$G:$G,$A26,Social_Media_Posts!$K:$K,B$23)</f>
        <v>4</v>
      </c>
      <c r="C26">
        <f>COUNTIFS(Social_Media_Posts!$G:$G,$A26,Social_Media_Posts!$K:$K,C$23)</f>
        <v>4</v>
      </c>
      <c r="D26">
        <f>COUNTIFS(Social_Media_Posts!$G:$G,$A26,Social_Media_Posts!$K:$K,D$23)</f>
        <v>1</v>
      </c>
      <c r="E26">
        <f>COUNTIFS(Social_Media_Posts!$G:$G,$A26,Social_Media_Posts!$K:$K,E$23)</f>
        <v>4</v>
      </c>
    </row>
    <row r="27" spans="1:16384">
      <c r="A27" t="s">
        <v>78</v>
      </c>
      <c r="B27">
        <f>COUNTIFS(Social_Media_Posts!$G:$G,$A27,Social_Media_Posts!$K:$K,B$23)</f>
        <v>0</v>
      </c>
      <c r="C27">
        <f>COUNTIFS(Social_Media_Posts!$G:$G,$A27,Social_Media_Posts!$K:$K,C$23)</f>
        <v>0</v>
      </c>
      <c r="D27">
        <f>COUNTIFS(Social_Media_Posts!$G:$G,$A27,Social_Media_Posts!$K:$K,D$23)</f>
        <v>1</v>
      </c>
      <c r="E27">
        <f>COUNTIFS(Social_Media_Posts!$G:$G,$A27,Social_Media_Posts!$K:$K,E$23)</f>
        <v>0</v>
      </c>
    </row>
    <row r="28" spans="1:16384">
      <c r="A28" t="s">
        <v>88</v>
      </c>
      <c r="B28">
        <f>COUNTIFS(Social_Media_Posts!$G:$G,$A28,Social_Media_Posts!$K:$K,B$23)</f>
        <v>2</v>
      </c>
      <c r="C28">
        <f>COUNTIFS(Social_Media_Posts!$G:$G,$A28,Social_Media_Posts!$K:$K,C$23)</f>
        <v>0</v>
      </c>
      <c r="D28">
        <f>COUNTIFS(Social_Media_Posts!$G:$G,$A28,Social_Media_Posts!$K:$K,D$23)</f>
        <v>0</v>
      </c>
      <c r="E28">
        <f>COUNTIFS(Social_Media_Posts!$G:$G,$A28,Social_Media_Posts!$K:$K,E$23)</f>
        <v>1</v>
      </c>
    </row>
    <row r="29" spans="1:16384">
      <c r="A29" t="s">
        <v>92</v>
      </c>
      <c r="B29">
        <f>COUNTIFS(Social_Media_Posts!$G:$G,$A29,Social_Media_Posts!$K:$K,B$23)</f>
        <v>1</v>
      </c>
      <c r="C29">
        <f>COUNTIFS(Social_Media_Posts!$G:$G,$A29,Social_Media_Posts!$K:$K,C$23)</f>
        <v>2</v>
      </c>
      <c r="D29">
        <f>COUNTIFS(Social_Media_Posts!$G:$G,$A29,Social_Media_Posts!$K:$K,D$23)</f>
        <v>2</v>
      </c>
      <c r="E29">
        <f>COUNTIFS(Social_Media_Posts!$G:$G,$A29,Social_Media_Posts!$K:$K,E$23)</f>
        <v>0</v>
      </c>
    </row>
    <row r="30" spans="1:16384">
      <c r="A30" t="s">
        <v>104</v>
      </c>
      <c r="B30">
        <f>COUNTIFS(Social_Media_Posts!$G:$G,$A30,Social_Media_Posts!$K:$K,B$23)</f>
        <v>3</v>
      </c>
      <c r="C30">
        <f>COUNTIFS(Social_Media_Posts!$G:$G,$A30,Social_Media_Posts!$K:$K,C$23)</f>
        <v>0</v>
      </c>
      <c r="D30">
        <f>COUNTIFS(Social_Media_Posts!$G:$G,$A30,Social_Media_Posts!$K:$K,D$23)</f>
        <v>1</v>
      </c>
      <c r="E30">
        <f>COUNTIFS(Social_Media_Posts!$G:$G,$A30,Social_Media_Posts!$K:$K,E$23)</f>
        <v>1</v>
      </c>
    </row>
    <row r="31" spans="1:16384">
      <c r="A31" t="s">
        <v>117</v>
      </c>
      <c r="B31">
        <f>COUNTIFS(Social_Media_Posts!$G:$G,$A31,Social_Media_Posts!$K:$K,B$23)</f>
        <v>4</v>
      </c>
      <c r="C31">
        <f>COUNTIFS(Social_Media_Posts!$G:$G,$A31,Social_Media_Posts!$K:$K,C$23)</f>
        <v>0</v>
      </c>
      <c r="D31">
        <f>COUNTIFS(Social_Media_Posts!$G:$G,$A31,Social_Media_Posts!$K:$K,D$23)</f>
        <v>0</v>
      </c>
      <c r="E31">
        <f>COUNTIFS(Social_Media_Posts!$G:$G,$A31,Social_Media_Posts!$K:$K,E$23)</f>
        <v>0</v>
      </c>
    </row>
    <row r="32" spans="1:16384">
      <c r="A32" t="s">
        <v>126</v>
      </c>
      <c r="B32">
        <f>COUNTIFS(Social_Media_Posts!$G:$G,$A32,Social_Media_Posts!$K:$K,B$23)</f>
        <v>0</v>
      </c>
      <c r="C32">
        <f>COUNTIFS(Social_Media_Posts!$G:$G,$A32,Social_Media_Posts!$K:$K,C$23)</f>
        <v>3</v>
      </c>
      <c r="D32">
        <f>COUNTIFS(Social_Media_Posts!$G:$G,$A32,Social_Media_Posts!$K:$K,D$23)</f>
        <v>0</v>
      </c>
      <c r="E32">
        <f>COUNTIFS(Social_Media_Posts!$G:$G,$A32,Social_Media_Posts!$K:$K,E$23)</f>
        <v>0</v>
      </c>
    </row>
    <row r="33" spans="1:5">
      <c r="A33" t="s">
        <v>365</v>
      </c>
      <c r="B33">
        <f>COUNTIFS(Social_Media_Posts!$G:$G,$A33,Social_Media_Posts!$K:$K,B$23)</f>
        <v>2</v>
      </c>
      <c r="C33">
        <f>COUNTIFS(Social_Media_Posts!$G:$G,$A33,Social_Media_Posts!$K:$K,C$23)</f>
        <v>0</v>
      </c>
      <c r="D33">
        <f>COUNTIFS(Social_Media_Posts!$G:$G,$A33,Social_Media_Posts!$K:$K,D$23)</f>
        <v>2</v>
      </c>
      <c r="E33">
        <f>COUNTIFS(Social_Media_Posts!$G:$G,$A33,Social_Media_Posts!$K:$K,E$23)</f>
        <v>0</v>
      </c>
    </row>
    <row r="34" spans="1:5">
      <c r="A34" t="s">
        <v>194</v>
      </c>
      <c r="B34">
        <f>COUNTIFS(Social_Media_Posts!$G:$G,$A34,Social_Media_Posts!$K:$K,B$23)</f>
        <v>1</v>
      </c>
      <c r="C34">
        <f>COUNTIFS(Social_Media_Posts!$G:$G,$A34,Social_Media_Posts!$K:$K,C$23)</f>
        <v>0</v>
      </c>
      <c r="D34">
        <f>COUNTIFS(Social_Media_Posts!$G:$G,$A34,Social_Media_Posts!$K:$K,D$23)</f>
        <v>0</v>
      </c>
      <c r="E34">
        <f>COUNTIFS(Social_Media_Posts!$G:$G,$A34,Social_Media_Posts!$K:$K,E$23)</f>
        <v>1</v>
      </c>
    </row>
    <row r="35" spans="1:5" ht="25.8" customHeight="1">
      <c r="A35" s="10" t="s">
        <v>366</v>
      </c>
    </row>
    <row r="36" spans="1:5" ht="41.4">
      <c r="A36" t="s">
        <v>357</v>
      </c>
      <c r="B36" s="3" t="s">
        <v>367</v>
      </c>
    </row>
    <row r="37" spans="1:5" ht="69">
      <c r="A37" t="s">
        <v>359</v>
      </c>
      <c r="B37" s="12" t="s">
        <v>368</v>
      </c>
    </row>
    <row r="38" spans="1:5" ht="27.6">
      <c r="A38" s="10" t="s">
        <v>369</v>
      </c>
      <c r="B38" s="3" t="s">
        <v>329</v>
      </c>
    </row>
    <row r="39" spans="1:5" s="10" customFormat="1">
      <c r="A39" s="10" t="s">
        <v>370</v>
      </c>
      <c r="B39" s="10" t="s">
        <v>371</v>
      </c>
    </row>
    <row r="40" spans="1:5">
      <c r="A40" t="s">
        <v>38</v>
      </c>
      <c r="B40">
        <f>COUNTIFS(Social_Media_Posts!$G:$G,$A40,Social_Media_Posts!$W:$W,"Yes")</f>
        <v>2</v>
      </c>
    </row>
    <row r="41" spans="1:5">
      <c r="A41" t="s">
        <v>63</v>
      </c>
      <c r="B41">
        <f>COUNTIFS(Social_Media_Posts!$G:$G,$A41,Social_Media_Posts!$W:$W,"Yes")</f>
        <v>0</v>
      </c>
    </row>
    <row r="42" spans="1:5">
      <c r="A42" t="s">
        <v>73</v>
      </c>
      <c r="B42">
        <f>COUNTIFS(Social_Media_Posts!$G:$G,$A42,Social_Media_Posts!$W:$W,"Yes")</f>
        <v>3</v>
      </c>
    </row>
    <row r="43" spans="1:5">
      <c r="A43" t="s">
        <v>78</v>
      </c>
      <c r="B43">
        <f>COUNTIFS(Social_Media_Posts!$G:$G,$A43,Social_Media_Posts!$W:$W,"Yes")</f>
        <v>0</v>
      </c>
    </row>
    <row r="44" spans="1:5">
      <c r="A44" t="s">
        <v>88</v>
      </c>
      <c r="B44">
        <f>COUNTIFS(Social_Media_Posts!$G:$G,$A44,Social_Media_Posts!$W:$W,"Yes")</f>
        <v>0</v>
      </c>
    </row>
    <row r="45" spans="1:5">
      <c r="A45" t="s">
        <v>92</v>
      </c>
      <c r="B45">
        <f>COUNTIFS(Social_Media_Posts!$G:$G,$A45,Social_Media_Posts!$W:$W,"Yes")</f>
        <v>2</v>
      </c>
    </row>
    <row r="46" spans="1:5">
      <c r="A46" t="s">
        <v>104</v>
      </c>
      <c r="B46">
        <f>COUNTIFS(Social_Media_Posts!$G:$G,$A46,Social_Media_Posts!$W:$W,"Yes")</f>
        <v>0</v>
      </c>
    </row>
    <row r="47" spans="1:5">
      <c r="A47" t="s">
        <v>117</v>
      </c>
      <c r="B47">
        <f>COUNTIFS(Social_Media_Posts!$G:$G,$A47,Social_Media_Posts!$W:$W,"Yes")</f>
        <v>0</v>
      </c>
    </row>
    <row r="48" spans="1:5">
      <c r="A48" t="s">
        <v>126</v>
      </c>
      <c r="B48">
        <f>COUNTIFS(Social_Media_Posts!$G:$G,$A48,Social_Media_Posts!$W:$W,"Yes")</f>
        <v>3</v>
      </c>
    </row>
    <row r="49" spans="1:5">
      <c r="A49" t="s">
        <v>365</v>
      </c>
      <c r="B49">
        <f>COUNTIFS(Social_Media_Posts!$G:$G,$A49,Social_Media_Posts!$W:$W,"Yes")</f>
        <v>1</v>
      </c>
    </row>
    <row r="50" spans="1:5">
      <c r="A50" t="s">
        <v>194</v>
      </c>
      <c r="B50">
        <f>COUNTIFS(Social_Media_Posts!$G:$G,$A50,Social_Media_Posts!$W:$W,"Yes")</f>
        <v>0</v>
      </c>
    </row>
    <row r="51" spans="1:5">
      <c r="A51" s="10" t="s">
        <v>372</v>
      </c>
    </row>
    <row r="52" spans="1:5" ht="41.4">
      <c r="A52" s="3" t="s">
        <v>373</v>
      </c>
      <c r="B52" s="3" t="s">
        <v>374</v>
      </c>
    </row>
    <row r="53" spans="1:5" ht="69">
      <c r="A53" t="s">
        <v>359</v>
      </c>
      <c r="B53" s="3" t="s">
        <v>375</v>
      </c>
    </row>
    <row r="54" spans="1:5" ht="27.6">
      <c r="A54" s="10" t="s">
        <v>376</v>
      </c>
      <c r="B54" s="3" t="s">
        <v>332</v>
      </c>
      <c r="C54" t="s">
        <v>425</v>
      </c>
      <c r="D54" t="s">
        <v>426</v>
      </c>
      <c r="E54" t="s">
        <v>427</v>
      </c>
    </row>
    <row r="55" spans="1:5">
      <c r="A55" t="s">
        <v>386</v>
      </c>
      <c r="B55" s="3"/>
    </row>
    <row r="56" spans="1:5" s="10" customFormat="1">
      <c r="A56" s="10" t="s">
        <v>377</v>
      </c>
      <c r="B56" s="11" t="s">
        <v>355</v>
      </c>
    </row>
    <row r="57" spans="1:5">
      <c r="A57" t="s">
        <v>378</v>
      </c>
      <c r="B57">
        <f>COUNTIF(Social_Media_Posts!$U:$U,A57)</f>
        <v>6</v>
      </c>
    </row>
    <row r="58" spans="1:5">
      <c r="A58" t="s">
        <v>379</v>
      </c>
      <c r="B58">
        <f>COUNTIF(Social_Media_Posts!$U:$U,A58)</f>
        <v>11</v>
      </c>
    </row>
    <row r="59" spans="1:5">
      <c r="A59" t="s">
        <v>380</v>
      </c>
      <c r="B59">
        <f>COUNTIF(Social_Media_Posts!$U:$U,A59)</f>
        <v>11</v>
      </c>
    </row>
    <row r="60" spans="1:5">
      <c r="A60" t="s">
        <v>381</v>
      </c>
      <c r="B60">
        <f>COUNTIF(Social_Media_Posts!$U:$U,A60)</f>
        <v>10</v>
      </c>
    </row>
    <row r="61" spans="1:5">
      <c r="A61" t="s">
        <v>382</v>
      </c>
      <c r="B61">
        <f>COUNTIF(Social_Media_Posts!$U:$U,A61)</f>
        <v>8</v>
      </c>
    </row>
    <row r="62" spans="1:5">
      <c r="A62" t="s">
        <v>383</v>
      </c>
      <c r="B62">
        <f>COUNTIF(Social_Media_Posts!$U:$U,A62)</f>
        <v>7</v>
      </c>
    </row>
    <row r="63" spans="1:5">
      <c r="A63" t="s">
        <v>384</v>
      </c>
      <c r="B63">
        <f>COUNTIF(Social_Media_Posts!$U:$U,A63)</f>
        <v>7</v>
      </c>
    </row>
    <row r="65" spans="1:5">
      <c r="A65" t="s">
        <v>385</v>
      </c>
    </row>
    <row r="66" spans="1:5" s="10" customFormat="1">
      <c r="A66" s="10" t="s">
        <v>377</v>
      </c>
      <c r="B66" s="10" t="s">
        <v>52</v>
      </c>
      <c r="C66" s="10" t="s">
        <v>58</v>
      </c>
      <c r="D66" s="10" t="s">
        <v>42</v>
      </c>
      <c r="E66" s="10" t="s">
        <v>140</v>
      </c>
    </row>
    <row r="67" spans="1:5">
      <c r="A67" t="s">
        <v>378</v>
      </c>
      <c r="B67">
        <f>COUNTIFS(Social_Media_Posts!$U:$U,$A67,Social_Media_Posts!$K:$K,B$66)</f>
        <v>1</v>
      </c>
      <c r="C67">
        <f>COUNTIFS(Social_Media_Posts!$U:$U,$A67,Social_Media_Posts!$K:$K,"Negative")</f>
        <v>1</v>
      </c>
      <c r="D67">
        <f>COUNTIFS(Social_Media_Posts!$U:$U,$A67,Social_Media_Posts!$K:$K,"Neutral")</f>
        <v>3</v>
      </c>
      <c r="E67">
        <f>COUNTIFS(Social_Media_Posts!$U:$U,$A67,Social_Media_Posts!$K:$K,"Mixed")</f>
        <v>1</v>
      </c>
    </row>
    <row r="68" spans="1:5">
      <c r="A68" t="s">
        <v>379</v>
      </c>
      <c r="B68">
        <f>COUNTIFS(Social_Media_Posts!$U:$U,$A68,Social_Media_Posts!$K:$K,B$66)</f>
        <v>6</v>
      </c>
      <c r="C68">
        <f>COUNTIFS(Social_Media_Posts!$U:$U,$A68,Social_Media_Posts!$K:$K,"Negative")</f>
        <v>2</v>
      </c>
      <c r="D68">
        <f>COUNTIFS(Social_Media_Posts!$U:$U,$A68,Social_Media_Posts!$K:$K,"Neutral")</f>
        <v>1</v>
      </c>
      <c r="E68">
        <f>COUNTIFS(Social_Media_Posts!$U:$U,$A68,Social_Media_Posts!$K:$K,"Mixed")</f>
        <v>2</v>
      </c>
    </row>
    <row r="69" spans="1:5">
      <c r="A69" t="s">
        <v>380</v>
      </c>
      <c r="B69">
        <f>COUNTIFS(Social_Media_Posts!$U:$U,$A69,Social_Media_Posts!$K:$K,B$66)</f>
        <v>5</v>
      </c>
      <c r="C69">
        <f>COUNTIFS(Social_Media_Posts!$U:$U,$A69,Social_Media_Posts!$K:$K,"Negative")</f>
        <v>4</v>
      </c>
      <c r="D69">
        <f>COUNTIFS(Social_Media_Posts!$U:$U,$A69,Social_Media_Posts!$K:$K,"Neutral")</f>
        <v>1</v>
      </c>
      <c r="E69">
        <f>COUNTIFS(Social_Media_Posts!$U:$U,$A69,Social_Media_Posts!$K:$K,"Mixed")</f>
        <v>1</v>
      </c>
    </row>
    <row r="70" spans="1:5">
      <c r="A70" t="s">
        <v>381</v>
      </c>
      <c r="B70">
        <f>COUNTIFS(Social_Media_Posts!$U:$U,$A70,Social_Media_Posts!$K:$K,B$66)</f>
        <v>6</v>
      </c>
      <c r="C70">
        <f>COUNTIFS(Social_Media_Posts!$U:$U,$A70,Social_Media_Posts!$K:$K,"Negative")</f>
        <v>1</v>
      </c>
      <c r="D70">
        <f>COUNTIFS(Social_Media_Posts!$U:$U,$A70,Social_Media_Posts!$K:$K,"Neutral")</f>
        <v>2</v>
      </c>
      <c r="E70">
        <f>COUNTIFS(Social_Media_Posts!$U:$U,$A70,Social_Media_Posts!$K:$K,"Mixed")</f>
        <v>1</v>
      </c>
    </row>
    <row r="71" spans="1:5">
      <c r="A71" t="s">
        <v>382</v>
      </c>
      <c r="B71">
        <f>COUNTIFS(Social_Media_Posts!$U:$U,$A71,Social_Media_Posts!$K:$K,B$66)</f>
        <v>3</v>
      </c>
      <c r="C71">
        <f>COUNTIFS(Social_Media_Posts!$U:$U,$A71,Social_Media_Posts!$K:$K,"Negative")</f>
        <v>2</v>
      </c>
      <c r="D71">
        <f>COUNTIFS(Social_Media_Posts!$U:$U,$A71,Social_Media_Posts!$K:$K,"Neutral")</f>
        <v>2</v>
      </c>
      <c r="E71">
        <f>COUNTIFS(Social_Media_Posts!$U:$U,$A71,Social_Media_Posts!$K:$K,"Mixed")</f>
        <v>1</v>
      </c>
    </row>
    <row r="72" spans="1:5">
      <c r="A72" t="s">
        <v>383</v>
      </c>
      <c r="B72">
        <f>COUNTIFS(Social_Media_Posts!$U:$U,$A72,Social_Media_Posts!$K:$K,B$66)</f>
        <v>1</v>
      </c>
      <c r="C72">
        <f>COUNTIFS(Social_Media_Posts!$U:$U,$A72,Social_Media_Posts!$K:$K,"Negative")</f>
        <v>1</v>
      </c>
      <c r="D72">
        <f>COUNTIFS(Social_Media_Posts!$U:$U,$A72,Social_Media_Posts!$K:$K,"Neutral")</f>
        <v>4</v>
      </c>
      <c r="E72">
        <f>COUNTIFS(Social_Media_Posts!$U:$U,$A72,Social_Media_Posts!$K:$K,"Mixed")</f>
        <v>1</v>
      </c>
    </row>
    <row r="73" spans="1:5">
      <c r="A73" t="s">
        <v>384</v>
      </c>
      <c r="B73">
        <f>COUNTIFS(Social_Media_Posts!$U:$U,$A73,Social_Media_Posts!$K:$K,B$66)</f>
        <v>4</v>
      </c>
      <c r="C73">
        <f>COUNTIFS(Social_Media_Posts!$U:$U,$A73,Social_Media_Posts!$K:$K,"Negative")</f>
        <v>0</v>
      </c>
      <c r="D73">
        <f>COUNTIFS(Social_Media_Posts!$U:$U,$A73,Social_Media_Posts!$K:$K,"Neutral")</f>
        <v>2</v>
      </c>
      <c r="E73">
        <f>COUNTIFS(Social_Media_Posts!$U:$U,$A73,Social_Media_Posts!$K:$K,"Mixed")</f>
        <v>1</v>
      </c>
    </row>
    <row r="75" spans="1:5">
      <c r="A75" s="10" t="s">
        <v>389</v>
      </c>
      <c r="B75" t="s">
        <v>335</v>
      </c>
      <c r="C75" t="s">
        <v>425</v>
      </c>
      <c r="D75" t="s">
        <v>426</v>
      </c>
    </row>
    <row r="76" spans="1:5" s="14" customFormat="1">
      <c r="A76" s="13" t="s">
        <v>390</v>
      </c>
      <c r="B76" s="14" t="s">
        <v>355</v>
      </c>
      <c r="C76" s="14" t="s">
        <v>391</v>
      </c>
    </row>
    <row r="77" spans="1:5">
      <c r="A77" t="s">
        <v>50</v>
      </c>
      <c r="B77">
        <f>COUNTIF(Social_Media_Posts!$H:$H,A77)</f>
        <v>36</v>
      </c>
      <c r="C77">
        <f>SUMIF(Social_Media_Posts!$H:$H,$A77,Social_Media_Posts!$S:$S)</f>
        <v>3809</v>
      </c>
    </row>
    <row r="78" spans="1:5">
      <c r="A78" t="s">
        <v>82</v>
      </c>
      <c r="B78">
        <f>COUNTIF(Social_Media_Posts!$H:$H,A78)</f>
        <v>6</v>
      </c>
      <c r="C78">
        <f>SUMIF(Social_Media_Posts!$H:$H,$A78,Social_Media_Posts!$S:$S)</f>
        <v>21738</v>
      </c>
    </row>
    <row r="79" spans="1:5">
      <c r="A79" t="s">
        <v>39</v>
      </c>
      <c r="B79">
        <f>COUNTIF(Social_Media_Posts!$H:$H,A79)</f>
        <v>14</v>
      </c>
      <c r="C79">
        <f>SUMIF(Social_Media_Posts!$H:$H,$A79,Social_Media_Posts!$S:$S)</f>
        <v>73358</v>
      </c>
    </row>
    <row r="80" spans="1:5">
      <c r="A80" t="s">
        <v>105</v>
      </c>
      <c r="B80">
        <f>COUNTIF(Social_Media_Posts!$H:$H,A80)</f>
        <v>4</v>
      </c>
      <c r="C80">
        <f>SUMIF(Social_Media_Posts!$H:$H,$A80,Social_Media_Posts!$S:$S)</f>
        <v>27084</v>
      </c>
    </row>
    <row r="81" spans="1:4" ht="124.2">
      <c r="A81" s="3" t="s">
        <v>392</v>
      </c>
    </row>
    <row r="82" spans="1:4">
      <c r="A82" s="3"/>
    </row>
    <row r="83" spans="1:4">
      <c r="A83" t="s">
        <v>393</v>
      </c>
      <c r="B83" t="s">
        <v>394</v>
      </c>
    </row>
    <row r="84" spans="1:4">
      <c r="A84" s="13" t="s">
        <v>390</v>
      </c>
      <c r="B84" s="14" t="s">
        <v>355</v>
      </c>
      <c r="C84" s="14" t="s">
        <v>391</v>
      </c>
      <c r="D84" t="s">
        <v>391</v>
      </c>
    </row>
    <row r="85" spans="1:4">
      <c r="A85" t="s">
        <v>50</v>
      </c>
      <c r="B85">
        <f>COUNTIF(Social_Media_Posts!$H:$H,A85)</f>
        <v>36</v>
      </c>
      <c r="C85">
        <f>SUMIF(Social_Media_Posts!$H:$H,$A85,Social_Media_Posts!$S:$S)</f>
        <v>3809</v>
      </c>
      <c r="D85">
        <f>C77/B77</f>
        <v>105.80555555555556</v>
      </c>
    </row>
    <row r="86" spans="1:4">
      <c r="A86" t="s">
        <v>82</v>
      </c>
      <c r="B86">
        <f>COUNTIF(Social_Media_Posts!$H:$H,A86)</f>
        <v>6</v>
      </c>
      <c r="C86">
        <f>SUMIF(Social_Media_Posts!$H:$H,$A86,Social_Media_Posts!$S:$S)</f>
        <v>21738</v>
      </c>
      <c r="D86">
        <f t="shared" ref="D86:D88" si="0">C78/B78</f>
        <v>3623</v>
      </c>
    </row>
    <row r="87" spans="1:4">
      <c r="A87" t="s">
        <v>39</v>
      </c>
      <c r="B87">
        <f>COUNTIF(Social_Media_Posts!$H:$H,A87)</f>
        <v>14</v>
      </c>
      <c r="C87">
        <f>SUMIF(Social_Media_Posts!$H:$H,$A87,Social_Media_Posts!$S:$S)</f>
        <v>73358</v>
      </c>
      <c r="D87">
        <f t="shared" si="0"/>
        <v>5239.8571428571431</v>
      </c>
    </row>
    <row r="88" spans="1:4">
      <c r="A88" t="s">
        <v>105</v>
      </c>
      <c r="B88">
        <f>COUNTIF(Social_Media_Posts!$H:$H,A88)</f>
        <v>4</v>
      </c>
      <c r="C88">
        <f>SUMIF(Social_Media_Posts!$H:$H,$A88,Social_Media_Posts!$S:$S)</f>
        <v>27084</v>
      </c>
      <c r="D88">
        <f t="shared" si="0"/>
        <v>6771</v>
      </c>
    </row>
    <row r="89" spans="1:4">
      <c r="A89" s="10" t="s">
        <v>395</v>
      </c>
    </row>
    <row r="90" spans="1:4" ht="41.4">
      <c r="A90" t="s">
        <v>357</v>
      </c>
      <c r="B90" s="3" t="s">
        <v>396</v>
      </c>
    </row>
    <row r="91" spans="1:4" ht="69">
      <c r="A91" t="s">
        <v>359</v>
      </c>
      <c r="B91" s="3" t="s">
        <v>397</v>
      </c>
    </row>
    <row r="93" spans="1:4">
      <c r="A93" s="10" t="s">
        <v>398</v>
      </c>
      <c r="B93" t="s">
        <v>338</v>
      </c>
      <c r="C93" t="s">
        <v>425</v>
      </c>
      <c r="D93" t="s">
        <v>426</v>
      </c>
    </row>
    <row r="94" spans="1:4" s="10" customFormat="1" ht="27.6">
      <c r="A94" s="10" t="s">
        <v>399</v>
      </c>
      <c r="B94" s="10" t="s">
        <v>400</v>
      </c>
      <c r="C94" s="15" t="s">
        <v>407</v>
      </c>
      <c r="D94" s="15" t="s">
        <v>399</v>
      </c>
    </row>
    <row r="95" spans="1:4" ht="27.6">
      <c r="A95" t="s">
        <v>401</v>
      </c>
      <c r="B95">
        <f>COUNTIF($D$95:$D$105,A95)</f>
        <v>2</v>
      </c>
      <c r="C95" s="12" t="s">
        <v>156</v>
      </c>
      <c r="D95" s="12" t="s">
        <v>401</v>
      </c>
    </row>
    <row r="96" spans="1:4" ht="27.6">
      <c r="A96" t="s">
        <v>402</v>
      </c>
      <c r="B96">
        <f t="shared" ref="B96:B105" si="1">COUNTIF($D$95:$D$105,A96)</f>
        <v>1</v>
      </c>
      <c r="C96" s="12" t="s">
        <v>225</v>
      </c>
      <c r="D96" s="12" t="s">
        <v>401</v>
      </c>
    </row>
    <row r="97" spans="1:4">
      <c r="A97" t="s">
        <v>408</v>
      </c>
      <c r="B97">
        <f t="shared" si="1"/>
        <v>1</v>
      </c>
      <c r="C97" s="12" t="s">
        <v>218</v>
      </c>
      <c r="D97" s="12" t="s">
        <v>403</v>
      </c>
    </row>
    <row r="98" spans="1:4" ht="27.6">
      <c r="A98" t="s">
        <v>403</v>
      </c>
      <c r="B98">
        <f t="shared" si="1"/>
        <v>3</v>
      </c>
      <c r="C98" s="12" t="s">
        <v>196</v>
      </c>
      <c r="D98" s="12" t="s">
        <v>406</v>
      </c>
    </row>
    <row r="99" spans="1:4">
      <c r="A99" t="s">
        <v>404</v>
      </c>
      <c r="B99">
        <f t="shared" si="1"/>
        <v>2</v>
      </c>
      <c r="C99" s="12" t="s">
        <v>149</v>
      </c>
      <c r="D99" s="12" t="s">
        <v>403</v>
      </c>
    </row>
    <row r="100" spans="1:4">
      <c r="A100" t="s">
        <v>405</v>
      </c>
      <c r="B100">
        <f t="shared" si="1"/>
        <v>1</v>
      </c>
      <c r="C100" s="12" t="s">
        <v>241</v>
      </c>
      <c r="D100" s="12" t="s">
        <v>403</v>
      </c>
    </row>
    <row r="101" spans="1:4" ht="27.6">
      <c r="A101" t="s">
        <v>406</v>
      </c>
      <c r="B101">
        <f t="shared" si="1"/>
        <v>1</v>
      </c>
      <c r="C101" s="12" t="s">
        <v>174</v>
      </c>
      <c r="D101" s="12" t="s">
        <v>402</v>
      </c>
    </row>
    <row r="102" spans="1:4">
      <c r="B102">
        <f t="shared" si="1"/>
        <v>0</v>
      </c>
      <c r="C102" s="12" t="s">
        <v>137</v>
      </c>
      <c r="D102" s="12" t="s">
        <v>408</v>
      </c>
    </row>
    <row r="103" spans="1:4">
      <c r="B103">
        <f t="shared" si="1"/>
        <v>0</v>
      </c>
      <c r="C103" s="12" t="s">
        <v>209</v>
      </c>
      <c r="D103" s="12" t="s">
        <v>404</v>
      </c>
    </row>
    <row r="104" spans="1:4">
      <c r="B104">
        <f t="shared" si="1"/>
        <v>0</v>
      </c>
      <c r="C104" s="12" t="s">
        <v>66</v>
      </c>
      <c r="D104" s="12" t="s">
        <v>404</v>
      </c>
    </row>
    <row r="105" spans="1:4">
      <c r="B105">
        <f t="shared" si="1"/>
        <v>0</v>
      </c>
      <c r="C105" s="12" t="s">
        <v>161</v>
      </c>
      <c r="D105" s="12" t="s">
        <v>405</v>
      </c>
    </row>
    <row r="106" spans="1:4">
      <c r="A106" s="10" t="s">
        <v>409</v>
      </c>
    </row>
    <row r="107" spans="1:4" ht="55.2">
      <c r="A107" t="s">
        <v>357</v>
      </c>
      <c r="B107" s="3" t="s">
        <v>410</v>
      </c>
    </row>
    <row r="108" spans="1:4" ht="69">
      <c r="A108" t="s">
        <v>359</v>
      </c>
      <c r="B108" s="3" t="s">
        <v>411</v>
      </c>
    </row>
    <row r="110" spans="1:4">
      <c r="A110" s="10" t="s">
        <v>412</v>
      </c>
      <c r="B110" t="s">
        <v>341</v>
      </c>
      <c r="C110" s="15" t="s">
        <v>425</v>
      </c>
      <c r="D110" s="15" t="s">
        <v>426</v>
      </c>
    </row>
    <row r="111" spans="1:4">
      <c r="A111" s="15" t="s">
        <v>413</v>
      </c>
      <c r="B111" s="15" t="s">
        <v>355</v>
      </c>
      <c r="C111" s="15" t="s">
        <v>407</v>
      </c>
      <c r="D111" s="15" t="s">
        <v>421</v>
      </c>
    </row>
    <row r="112" spans="1:4" ht="27.6">
      <c r="A112" s="12" t="s">
        <v>414</v>
      </c>
      <c r="B112" s="12">
        <f>COUNTIF($D$112:$D$127,A112)</f>
        <v>2</v>
      </c>
      <c r="C112" s="12" t="s">
        <v>211</v>
      </c>
      <c r="D112" s="12" t="s">
        <v>416</v>
      </c>
    </row>
    <row r="113" spans="1:4" ht="27.6">
      <c r="A113" s="12" t="s">
        <v>415</v>
      </c>
      <c r="B113" s="12">
        <f>COUNTIF($D$112:$D$127,A113)</f>
        <v>3</v>
      </c>
      <c r="C113" s="12" t="s">
        <v>165</v>
      </c>
      <c r="D113" s="12" t="s">
        <v>414</v>
      </c>
    </row>
    <row r="114" spans="1:4" ht="41.4">
      <c r="A114" s="12" t="s">
        <v>416</v>
      </c>
      <c r="B114" s="12">
        <f>COUNTIF($D$112:$D$127,A114)</f>
        <v>6</v>
      </c>
      <c r="C114" s="12" t="s">
        <v>102</v>
      </c>
      <c r="D114" s="12" t="s">
        <v>415</v>
      </c>
    </row>
    <row r="115" spans="1:4" ht="27.6">
      <c r="A115" s="12" t="s">
        <v>417</v>
      </c>
      <c r="B115" s="12">
        <f>COUNTIF($D$112:$D$127,A115)</f>
        <v>2</v>
      </c>
      <c r="C115" s="12" t="s">
        <v>233</v>
      </c>
      <c r="D115" s="12" t="s">
        <v>416</v>
      </c>
    </row>
    <row r="116" spans="1:4" ht="27.6">
      <c r="A116" s="12" t="s">
        <v>418</v>
      </c>
      <c r="B116" s="12">
        <f>COUNTIF($D$112:$D$127,A116)</f>
        <v>1</v>
      </c>
      <c r="C116" s="12" t="s">
        <v>158</v>
      </c>
      <c r="D116" s="12" t="s">
        <v>417</v>
      </c>
    </row>
    <row r="117" spans="1:4" ht="27.6">
      <c r="A117" s="12" t="s">
        <v>419</v>
      </c>
      <c r="B117" s="12">
        <f>COUNTIF($D$112:$D$127,A117)</f>
        <v>1</v>
      </c>
      <c r="C117" s="12" t="s">
        <v>171</v>
      </c>
      <c r="D117" s="12" t="s">
        <v>416</v>
      </c>
    </row>
    <row r="118" spans="1:4" ht="41.4">
      <c r="A118" s="12" t="s">
        <v>420</v>
      </c>
      <c r="B118" s="12">
        <f>COUNTIF($D$112:$D$127,A118)</f>
        <v>1</v>
      </c>
      <c r="C118" s="12" t="s">
        <v>33</v>
      </c>
      <c r="D118" s="12" t="s">
        <v>415</v>
      </c>
    </row>
    <row r="119" spans="1:4" ht="27.6">
      <c r="B119" s="12"/>
      <c r="C119" s="12" t="s">
        <v>168</v>
      </c>
      <c r="D119" s="12" t="s">
        <v>414</v>
      </c>
    </row>
    <row r="120" spans="1:4" ht="27.6">
      <c r="B120" s="12"/>
      <c r="C120" s="12" t="s">
        <v>220</v>
      </c>
      <c r="D120" s="12" t="s">
        <v>416</v>
      </c>
    </row>
    <row r="121" spans="1:4" ht="41.4">
      <c r="B121" s="12"/>
      <c r="C121" s="12" t="s">
        <v>108</v>
      </c>
      <c r="D121" s="12" t="s">
        <v>415</v>
      </c>
    </row>
    <row r="122" spans="1:4" ht="27.6">
      <c r="B122" s="12"/>
      <c r="C122" s="12" t="s">
        <v>214</v>
      </c>
      <c r="D122" s="12" t="s">
        <v>416</v>
      </c>
    </row>
    <row r="123" spans="1:4" ht="27.6">
      <c r="B123" s="12"/>
      <c r="C123" s="12" t="s">
        <v>236</v>
      </c>
      <c r="D123" s="12" t="s">
        <v>420</v>
      </c>
    </row>
    <row r="124" spans="1:4" ht="27.6">
      <c r="B124" s="12"/>
      <c r="C124" s="12" t="s">
        <v>174</v>
      </c>
      <c r="D124" s="12" t="s">
        <v>416</v>
      </c>
    </row>
    <row r="125" spans="1:4" ht="27.6">
      <c r="B125" s="12"/>
      <c r="C125" s="12" t="s">
        <v>161</v>
      </c>
      <c r="D125" s="12" t="s">
        <v>417</v>
      </c>
    </row>
    <row r="126" spans="1:4">
      <c r="B126" s="12"/>
      <c r="C126" s="12" t="s">
        <v>45</v>
      </c>
      <c r="D126" s="12" t="s">
        <v>418</v>
      </c>
    </row>
    <row r="127" spans="1:4" ht="27.6">
      <c r="B127" s="12"/>
      <c r="C127" s="12" t="s">
        <v>55</v>
      </c>
      <c r="D127" s="12" t="s">
        <v>419</v>
      </c>
    </row>
    <row r="128" spans="1:4">
      <c r="A128" s="16" t="s">
        <v>422</v>
      </c>
    </row>
    <row r="129" spans="1:3" ht="41.4">
      <c r="A129" t="s">
        <v>357</v>
      </c>
      <c r="B129" s="3" t="s">
        <v>423</v>
      </c>
    </row>
    <row r="130" spans="1:3" ht="69">
      <c r="A130" t="s">
        <v>359</v>
      </c>
      <c r="B130" s="3" t="s">
        <v>424</v>
      </c>
    </row>
    <row r="132" spans="1:3" s="10" customFormat="1">
      <c r="A132" s="10" t="s">
        <v>16817</v>
      </c>
      <c r="B132" s="10" t="s">
        <v>425</v>
      </c>
      <c r="C132" s="10" t="s">
        <v>426</v>
      </c>
    </row>
    <row r="133" spans="1:3" s="10" customFormat="1">
      <c r="A133" s="11" t="s">
        <v>101</v>
      </c>
      <c r="B133" s="11" t="s">
        <v>357</v>
      </c>
      <c r="C133" s="11" t="s">
        <v>359</v>
      </c>
    </row>
    <row r="134" spans="1:3" ht="248.4">
      <c r="A134" s="3" t="s">
        <v>16807</v>
      </c>
      <c r="B134" s="3" t="s">
        <v>358</v>
      </c>
      <c r="C134" s="3" t="s">
        <v>360</v>
      </c>
    </row>
    <row r="135" spans="1:3" ht="234.6">
      <c r="A135" s="3" t="s">
        <v>16808</v>
      </c>
      <c r="B135" s="3" t="s">
        <v>362</v>
      </c>
      <c r="C135" s="3" t="s">
        <v>363</v>
      </c>
    </row>
    <row r="136" spans="1:3" ht="234.6">
      <c r="A136" s="3" t="s">
        <v>16809</v>
      </c>
      <c r="B136" s="3" t="s">
        <v>367</v>
      </c>
      <c r="C136" s="3" t="s">
        <v>368</v>
      </c>
    </row>
    <row r="137" spans="1:3" ht="220.8">
      <c r="A137" s="3" t="s">
        <v>16810</v>
      </c>
      <c r="B137" s="3" t="s">
        <v>374</v>
      </c>
      <c r="C137" s="3" t="s">
        <v>375</v>
      </c>
    </row>
    <row r="138" spans="1:3" ht="193.2">
      <c r="A138" s="3" t="s">
        <v>16811</v>
      </c>
      <c r="B138" s="3" t="s">
        <v>16812</v>
      </c>
      <c r="C138" s="3" t="s">
        <v>16813</v>
      </c>
    </row>
    <row r="139" spans="1:3" ht="220.8">
      <c r="A139" s="3" t="s">
        <v>16814</v>
      </c>
      <c r="B139" s="3" t="s">
        <v>396</v>
      </c>
      <c r="C139" s="3" t="s">
        <v>397</v>
      </c>
    </row>
    <row r="140" spans="1:3" ht="234.6">
      <c r="A140" s="3" t="s">
        <v>16815</v>
      </c>
      <c r="B140" s="3" t="s">
        <v>410</v>
      </c>
      <c r="C140" s="3" t="s">
        <v>411</v>
      </c>
    </row>
    <row r="141" spans="1:3" ht="220.8">
      <c r="A141" s="3" t="s">
        <v>16816</v>
      </c>
      <c r="B141" s="3" t="s">
        <v>423</v>
      </c>
      <c r="C141" s="3" t="s">
        <v>424</v>
      </c>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election activeCell="A31" sqref="A31"/>
    </sheetView>
  </sheetViews>
  <sheetFormatPr defaultRowHeight="13.8"/>
  <cols>
    <col min="1" max="1" width="28" customWidth="1"/>
    <col min="2" max="2" width="48" customWidth="1"/>
    <col min="3" max="3" width="110" customWidth="1"/>
  </cols>
  <sheetData>
    <row r="1" spans="1:3">
      <c r="A1" s="5" t="s">
        <v>343</v>
      </c>
      <c r="B1" s="5" t="s">
        <v>344</v>
      </c>
      <c r="C1" s="5" t="s">
        <v>345</v>
      </c>
    </row>
    <row r="2" spans="1:3" ht="27.6">
      <c r="A2" s="3" t="s">
        <v>346</v>
      </c>
      <c r="B2" s="3" t="s">
        <v>347</v>
      </c>
      <c r="C2" s="3" t="s">
        <v>348</v>
      </c>
    </row>
    <row r="3" spans="1:3" ht="27.6">
      <c r="A3" s="3" t="s">
        <v>349</v>
      </c>
      <c r="B3" s="3" t="s">
        <v>350</v>
      </c>
      <c r="C3" s="3" t="s">
        <v>351</v>
      </c>
    </row>
    <row r="4" spans="1:3" ht="27.6">
      <c r="A4" s="3" t="s">
        <v>352</v>
      </c>
      <c r="B4" s="3" t="s">
        <v>353</v>
      </c>
      <c r="C4" s="3" t="s">
        <v>354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Social_Media_Posts</vt:lpstr>
      <vt:lpstr>Data_Dictionary</vt:lpstr>
      <vt:lpstr>Analysis_Prompts</vt:lpstr>
      <vt:lpstr>Analysis</vt:lpstr>
      <vt:lpstr>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Saurabh Jain</cp:lastModifiedBy>
  <dcterms:modified xsi:type="dcterms:W3CDTF">2026-09-18T11:42:43Z</dcterms:modified>
</cp:coreProperties>
</file>